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11.xml" ContentType="application/vnd.openxmlformats-officedocument.drawingml.chart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drawings/charts/chart12.xml" ContentType="application/vnd.openxmlformats-officedocument.drawingml.char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drawings/drawing4.xml" ContentType="application/vnd.openxmlformats-officedocument.drawing+xml"/>
  <Override PartName="/xl/drawings/charts/chart13.xml" ContentType="application/vnd.openxmlformats-officedocument.drawingml.char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b26a91785b40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b52547ab21a4763"/>
    <x:sheet xmlns:r="http://schemas.openxmlformats.org/officeDocument/2006/relationships" name="Configurações" sheetId="2" r:id="Rab66429dd250419e"/>
    <x:sheet xmlns:r="http://schemas.openxmlformats.org/officeDocument/2006/relationships" name="Planejamento de Viagens" sheetId="3" r:id="R9ff878e9b04d4b77"/>
    <x:sheet xmlns:r="http://schemas.openxmlformats.org/officeDocument/2006/relationships" name="Custos Planejados - Pedro" sheetId="4" r:id="Rb29ad913e86e4434"/>
    <x:sheet xmlns:r="http://schemas.openxmlformats.org/officeDocument/2006/relationships" name="Custos Planejados - Camilly" sheetId="5" r:id="Rcf99e5b5b56343bb"/>
    <x:sheet xmlns:r="http://schemas.openxmlformats.org/officeDocument/2006/relationships" name="Histórico de Gastos" sheetId="6" r:id="R1e967f433d98443d"/>
    <x:sheet xmlns:r="http://schemas.openxmlformats.org/officeDocument/2006/relationships" name="Divisão e Acertos" sheetId="7" r:id="Rd743457dbea248a3"/>
    <x:sheet xmlns:r="http://schemas.openxmlformats.org/officeDocument/2006/relationships" name="Simulador de Viagem" sheetId="8" r:id="Rd6cb85a0d6404cef"/>
    <x:sheet xmlns:r="http://schemas.openxmlformats.org/officeDocument/2006/relationships" name="Checklist de Viagem" sheetId="9" r:id="Ra49ab3d3d77e42df"/>
    <x:sheet xmlns:r="http://schemas.openxmlformats.org/officeDocument/2006/relationships" name="Roteiro e Agenda" sheetId="10" r:id="Rfea0379561a64eda"/>
    <x:sheet xmlns:r="http://schemas.openxmlformats.org/officeDocument/2006/relationships" name="Economia e Metas" sheetId="11" r:id="R6eba77ed76b445f5"/>
    <x:sheet xmlns:r="http://schemas.openxmlformats.org/officeDocument/2006/relationships" name="Parcelamentos" sheetId="12" r:id="Rbd1c6bbbcc05421d"/>
    <x:sheet xmlns:r="http://schemas.openxmlformats.org/officeDocument/2006/relationships" name="Comparativo de Viagens" sheetId="13" r:id="R69e4067d72134680"/>
    <x:sheet xmlns:r="http://schemas.openxmlformats.org/officeDocument/2006/relationships" name="Base de Categorias" sheetId="14" r:id="R01664e588dd1465c"/>
    <x:sheet xmlns:r="http://schemas.openxmlformats.org/officeDocument/2006/relationships" name="Documentação" sheetId="15" r:id="Re26398b957954e4e"/>
    <x:sheet xmlns:r="http://schemas.openxmlformats.org/officeDocument/2006/relationships" name="Guia Rápido" sheetId="16" r:id="R84da1a5b255d41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R$ #,##0.00;[Red]-R$ #,##0.00;R$ -"/>
    <x:numFmt numFmtId="201" formatCode="0.0%"/>
    <x:numFmt numFmtId="202" formatCode="dd/mm/yyyy"/>
    <x:numFmt numFmtId="203" formatCode="#,##0"/>
    <x:numFmt numFmtId="204" formatCode="0.00"/>
    <x:numFmt numFmtId="205" formatCode="@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4748B"/>
      <x:name val="Carlito"/>
    </x:font>
    <x:font>
      <x:b/>
      <x:sz val="11"/>
      <x:color rgb="FFFFFFFF"/>
      <x:name val="Carlito"/>
    </x:font>
    <x:font>
      <x:sz val="11"/>
      <x:color rgb="FF263238"/>
      <x:name val="Carlito"/>
    </x:font>
    <x:font>
      <x:sz val="11"/>
      <x:color rgb="FF0000FF"/>
      <x:name val="Carlito"/>
    </x:font>
    <x:font>
      <x:i/>
      <x:sz val="11"/>
      <x:color rgb="FF263238"/>
      <x:name val="Carlito"/>
    </x:font>
    <x:font>
      <x:sz val="11"/>
      <x:color rgb="FF000000"/>
      <x:name val="Carlito"/>
    </x:font>
    <x:font>
      <x:b/>
      <x:sz val="11"/>
      <x:color rgb="FF263238"/>
      <x:name val="Carlito"/>
    </x:font>
    <x:font>
      <x:b/>
      <x:sz val="20"/>
      <x:color rgb="FFFFFFFF"/>
      <x:name val="Carlito"/>
    </x:font>
    <x:font>
      <x:b/>
      <x:sz val="14"/>
      <x:color rgb="FF334E68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334E68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4779C4"/>
      </x:patternFill>
    </x:fill>
    <x:fill>
      <x:patternFill patternType="solid">
        <x:fgColor rgb="FF6C63B7"/>
      </x:patternFill>
    </x:fill>
    <x:fill>
      <x:patternFill patternType="solid">
        <x:fgColor rgb="FF2F9E65"/>
      </x:patternFill>
    </x:fill>
    <x:fill>
      <x:patternFill patternType="solid">
        <x:fgColor rgb="FFEFF6FF"/>
      </x:patternFill>
    </x:fill>
    <x:fill>
      <x:patternFill patternType="solid">
        <x:fgColor rgb="FFEEE3FF"/>
      </x:patternFill>
    </x:fill>
    <x:fill>
      <x:patternFill patternType="solid">
        <x:fgColor rgb="FFFFF3C4"/>
      </x:patternFill>
    </x:fill>
    <x:fill>
      <x:patternFill patternType="solid">
        <x:fgColor rgb="FFF1F5F9"/>
      </x:patternFill>
    </x:fill>
    <x:fill>
      <x:patternFill patternType="solid">
        <x:fgColor rgb="FFC067A0"/>
      </x:patternFill>
    </x:fill>
    <x:fill>
      <x:patternFill patternType="solid">
        <x:fgColor rgb="FF7C6A46"/>
      </x:patternFill>
    </x:fill>
    <x:fill>
      <x:patternFill patternType="solid">
        <x:fgColor rgb="FF8A6FAE"/>
      </x:patternFill>
    </x:fill>
    <x:fill>
      <x:patternFill patternType="solid">
        <x:fgColor rgb="FFDDEBFF"/>
      </x:patternFill>
    </x:fill>
    <x:fill>
      <x:patternFill patternType="solid">
        <x:fgColor rgb="FFFCE0EC"/>
      </x:patternFill>
    </x:fill>
    <x:fill>
      <x:patternFill patternType="solid">
        <x:fgColor rgb="FFDDF7E9"/>
      </x:patternFill>
    </x:fill>
  </x:fills>
  <x:borders count="11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</x:borders>
  <x:cellStyleXfs count="1">
    <x:xf numFmtId="0" fontId="0" fillId="0" borderId="0"/>
  </x:cellStyleXfs>
  <x:cellXfs count="2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top" wrapText="1"/>
    </x:xf>
    <x:xf numFmtId="200" fontId="5" fillId="8" borderId="1" xfId="0" applyNumberFormat="1" applyFont="1" applyFill="1" applyBorder="1" applyAlignment="1">
      <x:alignment vertical="top" wrapText="1"/>
    </x:xf>
    <x:xf numFmtId="201" fontId="5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0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2" xfId="0" applyNumberFormat="1" applyFont="1" applyFill="1" applyBorder="1"/>
    <x:xf numFmtId="0" fontId="6" fillId="10" borderId="3" xfId="0" applyNumberFormat="1" applyFont="1" applyFill="1" applyBorder="1"/>
    <x:xf numFmtId="0" fontId="6" fillId="10" borderId="4" xfId="0" applyNumberFormat="1" applyFont="1" applyFill="1" applyBorder="1"/>
    <x:xf numFmtId="0" fontId="6" fillId="10" borderId="2" xfId="0" applyNumberFormat="1" applyFont="1" applyFill="1" applyBorder="1" applyAlignment="1">
      <x:alignment wrapText="1"/>
    </x:xf>
    <x:xf numFmtId="0" fontId="6" fillId="10" borderId="3" xfId="0" applyNumberFormat="1" applyFont="1" applyFill="1" applyBorder="1" applyAlignment="1">
      <x:alignment wrapText="1"/>
    </x:xf>
    <x:xf numFmtId="0" fontId="6" fillId="10" borderId="4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202" fontId="4" fillId="4" borderId="1" xfId="0" applyNumberFormat="1" applyFont="1" applyFill="1" applyBorder="1" applyAlignment="1">
      <x:alignment vertical="top" wrapText="1"/>
    </x:xf>
    <x:xf numFmtId="203" fontId="4" fillId="4" borderId="1" xfId="0" applyNumberFormat="1" applyFont="1" applyFill="1" applyBorder="1" applyAlignment="1">
      <x:alignment vertical="top" wrapText="1"/>
    </x:xf>
    <x:xf numFmtId="200" fontId="4" fillId="4" borderId="1" xfId="0" applyNumberFormat="1" applyFont="1" applyFill="1" applyBorder="1" applyAlignment="1">
      <x:alignment vertical="top" wrapText="1"/>
    </x:xf>
    <x:xf numFmtId="201" fontId="4" fillId="4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202" fontId="4" fillId="8" borderId="1" xfId="0" applyNumberFormat="1" applyFont="1" applyFill="1" applyBorder="1" applyAlignment="1">
      <x:alignment vertical="top" wrapText="1"/>
    </x:xf>
    <x:xf numFmtId="202" fontId="5" fillId="8" borderId="1" xfId="0" applyNumberFormat="1" applyFont="1" applyFill="1" applyBorder="1" applyAlignment="1">
      <x:alignment vertical="top" wrapText="1"/>
    </x:xf>
    <x:xf numFmtId="203" fontId="4" fillId="11" borderId="1" xfId="0" applyNumberFormat="1" applyFont="1" applyFill="1" applyBorder="1" applyAlignment="1">
      <x:alignment vertical="top" wrapText="1"/>
    </x:xf>
    <x:xf numFmtId="203" fontId="7" fillId="11" borderId="1" xfId="0" applyNumberFormat="1" applyFont="1" applyFill="1" applyBorder="1" applyAlignment="1">
      <x:alignment vertical="top" wrapText="1"/>
    </x:xf>
    <x:xf numFmtId="200" fontId="4" fillId="11" borderId="1" xfId="0" applyNumberFormat="1" applyFont="1" applyFill="1" applyBorder="1" applyAlignment="1">
      <x:alignment vertical="top" wrapText="1"/>
    </x:xf>
    <x:xf numFmtId="200" fontId="7" fillId="11" borderId="1" xfId="0" applyNumberFormat="1" applyFont="1" applyFill="1" applyBorder="1" applyAlignment="1">
      <x:alignment vertical="top" wrapText="1"/>
    </x:xf>
    <x:xf numFmtId="201" fontId="4" fillId="11" borderId="1" xfId="0" applyNumberFormat="1" applyFont="1" applyFill="1" applyBorder="1" applyAlignment="1">
      <x:alignment vertical="top" wrapText="1"/>
    </x:xf>
    <x:xf numFmtId="201" fontId="7" fillId="11" borderId="1" xfId="0" applyNumberFormat="1" applyFont="1" applyFill="1" applyBorder="1" applyAlignment="1">
      <x:alignment vertical="top" wrapText="1"/>
    </x:xf>
    <x:xf numFmtId="0" fontId="4" fillId="11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204" fontId="4" fillId="4" borderId="1" xfId="0" applyNumberFormat="1" applyFont="1" applyFill="1" applyBorder="1" applyAlignment="1">
      <x:alignment vertical="top" wrapText="1"/>
    </x:xf>
    <x:xf numFmtId="200" fontId="4" fillId="8" borderId="1" xfId="0" applyNumberFormat="1" applyFont="1" applyFill="1" applyBorder="1" applyAlignment="1">
      <x:alignment vertical="top" wrapText="1"/>
    </x:xf>
    <x:xf numFmtId="201" fontId="4" fillId="8" borderId="1" xfId="0" applyNumberFormat="1" applyFont="1" applyFill="1" applyBorder="1" applyAlignment="1">
      <x:alignment vertical="top" wrapText="1"/>
    </x:xf>
    <x:xf numFmtId="204" fontId="4" fillId="8" borderId="1" xfId="0" applyNumberFormat="1" applyFont="1" applyFill="1" applyBorder="1" applyAlignment="1">
      <x:alignment vertical="top" wrapText="1"/>
    </x:xf>
    <x:xf numFmtId="204" fontId="5" fillId="8" borderId="1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1" xfId="0" applyNumberFormat="1" applyFont="1" applyFill="1" applyBorder="1"/>
    <x:xf numFmtId="0" fontId="3" fillId="12" borderId="1" xfId="0" applyNumberFormat="1" applyFont="1" applyFill="1" applyBorder="1" applyAlignment="1">
      <x:alignment wrapText="1"/>
    </x:xf>
    <x:xf numFmtId="0" fontId="3" fillId="12" borderId="1" xfId="0" applyNumberFormat="1" applyFont="1" applyFill="1" applyBorder="1" applyAlignment="1">
      <x:alignment horizontal="center" wrapText="1"/>
    </x:xf>
    <x:xf numFmtId="0" fontId="3" fillId="12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203" fontId="5" fillId="8" borderId="1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1" xfId="0" applyNumberFormat="1" applyFont="1" applyFill="1" applyBorder="1"/>
    <x:xf numFmtId="0" fontId="7" fillId="11" borderId="1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1" xfId="0" applyNumberFormat="1" applyFont="1" applyFill="1" applyBorder="1"/>
    <x:xf numFmtId="0" fontId="3" fillId="13" borderId="1" xfId="0" applyNumberFormat="1" applyFont="1" applyFill="1" applyBorder="1" applyAlignment="1">
      <x:alignment wrapText="1"/>
    </x:xf>
    <x:xf numFmtId="0" fontId="3" fillId="13" borderId="1" xfId="0" applyNumberFormat="1" applyFont="1" applyFill="1" applyBorder="1" applyAlignment="1">
      <x:alignment horizontal="center" wrapText="1"/>
    </x:xf>
    <x:xf numFmtId="0" fontId="3" fillId="13" borderId="1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1" xfId="0" applyNumberFormat="1" applyFont="1" applyFill="1" applyBorder="1"/>
    <x:xf numFmtId="0" fontId="3" fillId="14" borderId="1" xfId="0" applyNumberFormat="1" applyFont="1" applyFill="1" applyBorder="1" applyAlignment="1">
      <x:alignment wrapText="1"/>
    </x:xf>
    <x:xf numFmtId="0" fontId="3" fillId="14" borderId="1" xfId="0" applyNumberFormat="1" applyFont="1" applyFill="1" applyBorder="1" applyAlignment="1">
      <x:alignment horizontal="center" wrapText="1"/>
    </x:xf>
    <x:xf numFmtId="0" fontId="3" fillId="14" borderId="1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8" fillId="15" borderId="0" xfId="0" applyNumberFormat="1" applyFont="1" applyFill="1" applyBorder="1"/>
    <x:xf numFmtId="0" fontId="8" fillId="15" borderId="2" xfId="0" applyNumberFormat="1" applyFont="1" applyFill="1" applyBorder="1"/>
    <x:xf numFmtId="0" fontId="8" fillId="15" borderId="3" xfId="0" applyNumberFormat="1" applyFont="1" applyFill="1" applyBorder="1"/>
    <x:xf numFmtId="0" fontId="8" fillId="15" borderId="4" xfId="0" applyNumberFormat="1" applyFont="1" applyFill="1" applyBorder="1"/>
    <x:xf numFmtId="0" fontId="8" fillId="15" borderId="2" xfId="0" applyNumberFormat="1" applyFont="1" applyFill="1" applyBorder="1" applyAlignment="1">
      <x:alignment wrapText="1"/>
    </x:xf>
    <x:xf numFmtId="0" fontId="8" fillId="15" borderId="3" xfId="0" applyNumberFormat="1" applyFont="1" applyFill="1" applyBorder="1" applyAlignment="1">
      <x:alignment wrapText="1"/>
    </x:xf>
    <x:xf numFmtId="0" fontId="8" fillId="15" borderId="4" xfId="0" applyNumberFormat="1" applyFont="1" applyFill="1" applyBorder="1" applyAlignment="1">
      <x:alignment wrapText="1"/>
    </x:xf>
    <x:xf numFmtId="0" fontId="8" fillId="15" borderId="2" xfId="0" applyNumberFormat="1" applyFont="1" applyFill="1" applyBorder="1" applyAlignment="1">
      <x:alignment horizontal="center" wrapText="1"/>
    </x:xf>
    <x:xf numFmtId="0" fontId="8" fillId="15" borderId="3" xfId="0" applyNumberFormat="1" applyFont="1" applyFill="1" applyBorder="1" applyAlignment="1">
      <x:alignment horizontal="center" wrapText="1"/>
    </x:xf>
    <x:xf numFmtId="0" fontId="8" fillId="15" borderId="4" xfId="0" applyNumberFormat="1" applyFont="1" applyFill="1" applyBorder="1" applyAlignment="1">
      <x:alignment horizontal="center" wrapText="1"/>
    </x:xf>
    <x:xf numFmtId="0" fontId="8" fillId="15" borderId="2" xfId="0" applyNumberFormat="1" applyFont="1" applyFill="1" applyBorder="1" applyAlignment="1">
      <x:alignment horizontal="center" vertical="center" wrapText="1"/>
    </x:xf>
    <x:xf numFmtId="0" fontId="8" fillId="15" borderId="3" xfId="0" applyNumberFormat="1" applyFont="1" applyFill="1" applyBorder="1" applyAlignment="1">
      <x:alignment horizontal="center" vertical="center" wrapText="1"/>
    </x:xf>
    <x:xf numFmtId="0" fontId="8" fillId="15" borderId="4" xfId="0" applyNumberFormat="1" applyFont="1" applyFill="1" applyBorder="1" applyAlignment="1">
      <x:alignment horizontal="center" vertical="center" wrapText="1"/>
    </x:xf>
    <x:xf numFmtId="0" fontId="10" fillId="4" borderId="0" xfId="0" applyNumberFormat="1" applyFont="1" applyFill="1" applyBorder="1"/>
    <x:xf numFmtId="0" fontId="10" fillId="4" borderId="5" xfId="0" applyNumberFormat="1" applyFont="1" applyFill="1" applyBorder="1"/>
    <x:xf numFmtId="0" fontId="10" fillId="4" borderId="6" xfId="0" applyNumberFormat="1" applyFont="1" applyFill="1" applyBorder="1"/>
    <x:xf numFmtId="0" fontId="10" fillId="4" borderId="7" xfId="0" applyNumberFormat="1" applyFont="1" applyFill="1" applyBorder="1"/>
    <x:xf numFmtId="0" fontId="10" fillId="4" borderId="8" xfId="0" applyNumberFormat="1" applyFont="1" applyFill="1" applyBorder="1"/>
    <x:xf numFmtId="0" fontId="10" fillId="4" borderId="9" xfId="0" applyNumberFormat="1" applyFont="1" applyFill="1" applyBorder="1"/>
    <x:xf numFmtId="0" fontId="10" fillId="4" borderId="10" xfId="0" applyNumberFormat="1" applyFont="1" applyFill="1" applyBorder="1"/>
    <x:xf numFmtId="0" fontId="10" fillId="4" borderId="5" xfId="0" applyNumberFormat="1" applyFont="1" applyFill="1" applyBorder="1" applyAlignment="1">
      <x:alignment wrapText="1"/>
    </x:xf>
    <x:xf numFmtId="0" fontId="10" fillId="4" borderId="6" xfId="0" applyNumberFormat="1" applyFont="1" applyFill="1" applyBorder="1" applyAlignment="1">
      <x:alignment wrapText="1"/>
    </x:xf>
    <x:xf numFmtId="0" fontId="10" fillId="4" borderId="7" xfId="0" applyNumberFormat="1" applyFont="1" applyFill="1" applyBorder="1" applyAlignment="1">
      <x:alignment wrapText="1"/>
    </x:xf>
    <x:xf numFmtId="0" fontId="10" fillId="4" borderId="8" xfId="0" applyNumberFormat="1" applyFont="1" applyFill="1" applyBorder="1" applyAlignment="1">
      <x:alignment wrapText="1"/>
    </x:xf>
    <x:xf numFmtId="0" fontId="10" fillId="4" borderId="9" xfId="0" applyNumberFormat="1" applyFont="1" applyFill="1" applyBorder="1" applyAlignment="1">
      <x:alignment wrapText="1"/>
    </x:xf>
    <x:xf numFmtId="0" fontId="10" fillId="4" borderId="10" xfId="0" applyNumberFormat="1" applyFont="1" applyFill="1" applyBorder="1" applyAlignment="1">
      <x:alignment wrapText="1"/>
    </x:xf>
    <x:xf numFmtId="0" fontId="10" fillId="4" borderId="5" xfId="0" applyNumberFormat="1" applyFont="1" applyFill="1" applyBorder="1" applyAlignment="1">
      <x:alignment horizontal="center" wrapText="1"/>
    </x:xf>
    <x:xf numFmtId="0" fontId="10" fillId="4" borderId="6" xfId="0" applyNumberFormat="1" applyFont="1" applyFill="1" applyBorder="1" applyAlignment="1">
      <x:alignment horizontal="center" wrapText="1"/>
    </x:xf>
    <x:xf numFmtId="0" fontId="10" fillId="4" borderId="7" xfId="0" applyNumberFormat="1" applyFont="1" applyFill="1" applyBorder="1" applyAlignment="1">
      <x:alignment horizontal="center" wrapText="1"/>
    </x:xf>
    <x:xf numFmtId="0" fontId="10" fillId="4" borderId="8" xfId="0" applyNumberFormat="1" applyFont="1" applyFill="1" applyBorder="1" applyAlignment="1">
      <x:alignment horizontal="center" wrapText="1"/>
    </x:xf>
    <x:xf numFmtId="0" fontId="10" fillId="4" borderId="9" xfId="0" applyNumberFormat="1" applyFont="1" applyFill="1" applyBorder="1" applyAlignment="1">
      <x:alignment horizontal="center" wrapText="1"/>
    </x:xf>
    <x:xf numFmtId="0" fontId="10" fillId="4" borderId="10" xfId="0" applyNumberFormat="1" applyFont="1" applyFill="1" applyBorder="1" applyAlignment="1">
      <x:alignment horizontal="center" wrapText="1"/>
    </x:xf>
    <x:xf numFmtId="0" fontId="10" fillId="4" borderId="5" xfId="0" applyNumberFormat="1" applyFont="1" applyFill="1" applyBorder="1" applyAlignment="1">
      <x:alignment horizontal="center" vertical="center" wrapText="1"/>
    </x:xf>
    <x:xf numFmtId="0" fontId="10" fillId="4" borderId="6" xfId="0" applyNumberFormat="1" applyFont="1" applyFill="1" applyBorder="1" applyAlignment="1">
      <x:alignment horizontal="center" vertical="center" wrapText="1"/>
    </x:xf>
    <x:xf numFmtId="0" fontId="10" fillId="4" borderId="7" xfId="0" applyNumberFormat="1" applyFont="1" applyFill="1" applyBorder="1" applyAlignment="1">
      <x:alignment horizontal="center" vertical="center" wrapText="1"/>
    </x:xf>
    <x:xf numFmtId="0" fontId="10" fillId="4" borderId="8" xfId="0" applyNumberFormat="1" applyFont="1" applyFill="1" applyBorder="1" applyAlignment="1">
      <x:alignment horizontal="center" vertical="center" wrapText="1"/>
    </x:xf>
    <x:xf numFmtId="0" fontId="10" fillId="4" borderId="9" xfId="0" applyNumberFormat="1" applyFont="1" applyFill="1" applyBorder="1" applyAlignment="1">
      <x:alignment horizontal="center" vertical="center" wrapText="1"/>
    </x:xf>
    <x:xf numFmtId="0" fontId="10" fillId="4" borderId="10" xfId="0" applyNumberFormat="1" applyFont="1" applyFill="1" applyBorder="1" applyAlignment="1">
      <x:alignment horizontal="center" vertical="center" wrapText="1"/>
    </x:xf>
    <x:xf numFmtId="200" fontId="10" fillId="4" borderId="5" xfId="0" applyNumberFormat="1" applyFont="1" applyFill="1" applyBorder="1" applyAlignment="1">
      <x:alignment horizontal="center" vertical="center" wrapText="1"/>
    </x:xf>
    <x:xf numFmtId="200" fontId="10" fillId="4" borderId="6" xfId="0" applyNumberFormat="1" applyFont="1" applyFill="1" applyBorder="1" applyAlignment="1">
      <x:alignment horizontal="center" vertical="center" wrapText="1"/>
    </x:xf>
    <x:xf numFmtId="200" fontId="10" fillId="4" borderId="7" xfId="0" applyNumberFormat="1" applyFont="1" applyFill="1" applyBorder="1" applyAlignment="1">
      <x:alignment horizontal="center" vertical="center" wrapText="1"/>
    </x:xf>
    <x:xf numFmtId="200" fontId="10" fillId="4" borderId="8" xfId="0" applyNumberFormat="1" applyFont="1" applyFill="1" applyBorder="1" applyAlignment="1">
      <x:alignment horizontal="center" vertical="center" wrapText="1"/>
    </x:xf>
    <x:xf numFmtId="200" fontId="10" fillId="4" borderId="9" xfId="0" applyNumberFormat="1" applyFont="1" applyFill="1" applyBorder="1" applyAlignment="1">
      <x:alignment horizontal="center" vertical="center" wrapText="1"/>
    </x:xf>
    <x:xf numFmtId="200" fontId="10" fillId="4" borderId="1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8" fillId="16" borderId="0" xfId="0" applyNumberFormat="1" applyFont="1" applyFill="1" applyBorder="1"/>
    <x:xf numFmtId="0" fontId="8" fillId="16" borderId="2" xfId="0" applyNumberFormat="1" applyFont="1" applyFill="1" applyBorder="1"/>
    <x:xf numFmtId="0" fontId="8" fillId="16" borderId="3" xfId="0" applyNumberFormat="1" applyFont="1" applyFill="1" applyBorder="1"/>
    <x:xf numFmtId="0" fontId="8" fillId="16" borderId="4" xfId="0" applyNumberFormat="1" applyFont="1" applyFill="1" applyBorder="1"/>
    <x:xf numFmtId="0" fontId="8" fillId="16" borderId="2" xfId="0" applyNumberFormat="1" applyFont="1" applyFill="1" applyBorder="1" applyAlignment="1">
      <x:alignment wrapText="1"/>
    </x:xf>
    <x:xf numFmtId="0" fontId="8" fillId="16" borderId="3" xfId="0" applyNumberFormat="1" applyFont="1" applyFill="1" applyBorder="1" applyAlignment="1">
      <x:alignment wrapText="1"/>
    </x:xf>
    <x:xf numFmtId="0" fontId="8" fillId="16" borderId="4" xfId="0" applyNumberFormat="1" applyFont="1" applyFill="1" applyBorder="1" applyAlignment="1">
      <x:alignment wrapText="1"/>
    </x:xf>
    <x:xf numFmtId="0" fontId="8" fillId="16" borderId="2" xfId="0" applyNumberFormat="1" applyFont="1" applyFill="1" applyBorder="1" applyAlignment="1">
      <x:alignment horizontal="center" wrapText="1"/>
    </x:xf>
    <x:xf numFmtId="0" fontId="8" fillId="16" borderId="3" xfId="0" applyNumberFormat="1" applyFont="1" applyFill="1" applyBorder="1" applyAlignment="1">
      <x:alignment horizontal="center" wrapText="1"/>
    </x:xf>
    <x:xf numFmtId="0" fontId="8" fillId="16" borderId="4" xfId="0" applyNumberFormat="1" applyFont="1" applyFill="1" applyBorder="1" applyAlignment="1">
      <x:alignment horizontal="center" wrapText="1"/>
    </x:xf>
    <x:xf numFmtId="0" fontId="8" fillId="16" borderId="2" xfId="0" applyNumberFormat="1" applyFont="1" applyFill="1" applyBorder="1" applyAlignment="1">
      <x:alignment horizontal="center" vertical="center" wrapText="1"/>
    </x:xf>
    <x:xf numFmtId="0" fontId="8" fillId="16" borderId="3" xfId="0" applyNumberFormat="1" applyFont="1" applyFill="1" applyBorder="1" applyAlignment="1">
      <x:alignment horizontal="center" vertical="center" wrapText="1"/>
    </x:xf>
    <x:xf numFmtId="0" fontId="8" fillId="16" borderId="4" xfId="0" applyNumberFormat="1" applyFont="1" applyFill="1" applyBorder="1" applyAlignment="1">
      <x:alignment horizontal="center" vertical="center" wrapText="1"/>
    </x:xf>
    <x:xf numFmtId="205" fontId="10" fillId="4" borderId="5" xfId="0" applyNumberFormat="1" applyFont="1" applyFill="1" applyBorder="1" applyAlignment="1">
      <x:alignment horizontal="center" vertical="center" wrapText="1"/>
    </x:xf>
    <x:xf numFmtId="205" fontId="10" fillId="4" borderId="6" xfId="0" applyNumberFormat="1" applyFont="1" applyFill="1" applyBorder="1" applyAlignment="1">
      <x:alignment horizontal="center" vertical="center" wrapText="1"/>
    </x:xf>
    <x:xf numFmtId="205" fontId="10" fillId="4" borderId="7" xfId="0" applyNumberFormat="1" applyFont="1" applyFill="1" applyBorder="1" applyAlignment="1">
      <x:alignment horizontal="center" vertical="center" wrapText="1"/>
    </x:xf>
    <x:xf numFmtId="205" fontId="10" fillId="4" borderId="8" xfId="0" applyNumberFormat="1" applyFont="1" applyFill="1" applyBorder="1" applyAlignment="1">
      <x:alignment horizontal="center" vertical="center" wrapText="1"/>
    </x:xf>
    <x:xf numFmtId="205" fontId="10" fillId="4" borderId="9" xfId="0" applyNumberFormat="1" applyFont="1" applyFill="1" applyBorder="1" applyAlignment="1">
      <x:alignment horizontal="center" vertical="center" wrapText="1"/>
    </x:xf>
    <x:xf numFmtId="205" fontId="10" fillId="4" borderId="10" xfId="0" applyNumberFormat="1" applyFont="1" applyFill="1" applyBorder="1" applyAlignment="1">
      <x:alignment horizontal="center" vertical="center" wrapText="1"/>
    </x:xf>
    <x:xf numFmtId="201" fontId="10" fillId="4" borderId="5" xfId="0" applyNumberFormat="1" applyFont="1" applyFill="1" applyBorder="1" applyAlignment="1">
      <x:alignment horizontal="center" vertical="center" wrapText="1"/>
    </x:xf>
    <x:xf numFmtId="201" fontId="10" fillId="4" borderId="6" xfId="0" applyNumberFormat="1" applyFont="1" applyFill="1" applyBorder="1" applyAlignment="1">
      <x:alignment horizontal="center" vertical="center" wrapText="1"/>
    </x:xf>
    <x:xf numFmtId="201" fontId="10" fillId="4" borderId="7" xfId="0" applyNumberFormat="1" applyFont="1" applyFill="1" applyBorder="1" applyAlignment="1">
      <x:alignment horizontal="center" vertical="center" wrapText="1"/>
    </x:xf>
    <x:xf numFmtId="201" fontId="10" fillId="4" borderId="8" xfId="0" applyNumberFormat="1" applyFont="1" applyFill="1" applyBorder="1" applyAlignment="1">
      <x:alignment horizontal="center" vertical="center" wrapText="1"/>
    </x:xf>
    <x:xf numFmtId="201" fontId="10" fillId="4" borderId="9" xfId="0" applyNumberFormat="1" applyFont="1" applyFill="1" applyBorder="1" applyAlignment="1">
      <x:alignment horizontal="center" vertical="center" wrapText="1"/>
    </x:xf>
    <x:xf numFmtId="201" fontId="10" fillId="4" borderId="10" xfId="0" applyNumberFormat="1" applyFont="1" applyFill="1" applyBorder="1" applyAlignment="1">
      <x:alignment horizontal="center" vertical="center" wrapText="1"/>
    </x:xf>
    <x:xf numFmtId="203" fontId="10" fillId="4" borderId="5" xfId="0" applyNumberFormat="1" applyFont="1" applyFill="1" applyBorder="1" applyAlignment="1">
      <x:alignment horizontal="center" vertical="center" wrapText="1"/>
    </x:xf>
    <x:xf numFmtId="203" fontId="10" fillId="4" borderId="6" xfId="0" applyNumberFormat="1" applyFont="1" applyFill="1" applyBorder="1" applyAlignment="1">
      <x:alignment horizontal="center" vertical="center" wrapText="1"/>
    </x:xf>
    <x:xf numFmtId="203" fontId="10" fillId="4" borderId="7" xfId="0" applyNumberFormat="1" applyFont="1" applyFill="1" applyBorder="1" applyAlignment="1">
      <x:alignment horizontal="center" vertical="center" wrapText="1"/>
    </x:xf>
    <x:xf numFmtId="203" fontId="10" fillId="4" borderId="8" xfId="0" applyNumberFormat="1" applyFont="1" applyFill="1" applyBorder="1" applyAlignment="1">
      <x:alignment horizontal="center" vertical="center" wrapText="1"/>
    </x:xf>
    <x:xf numFmtId="203" fontId="10" fillId="4" borderId="9" xfId="0" applyNumberFormat="1" applyFont="1" applyFill="1" applyBorder="1" applyAlignment="1">
      <x:alignment horizontal="center" vertical="center" wrapText="1"/>
    </x:xf>
    <x:xf numFmtId="203" fontId="10" fillId="4" borderId="10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/>
    <x:xf numFmtId="0" fontId="4" fillId="10" borderId="1" xfId="0" applyNumberFormat="1" applyFont="1" applyFill="1" applyBorder="1"/>
    <x:xf numFmtId="0" fontId="4" fillId="10" borderId="1" xfId="0" applyNumberFormat="1" applyFont="1" applyFill="1" applyBorder="1" applyAlignment="1">
      <x:alignment wrapText="1"/>
    </x:xf>
    <x:xf numFmtId="200" fontId="4" fillId="4" borderId="1" xfId="0" applyNumberFormat="1" applyFont="1" applyFill="1" applyBorder="1" applyAlignment="1">
      <x:alignment wrapText="1"/>
    </x:xf>
    <x:xf numFmtId="201" fontId="4" fillId="4" borderId="1" xfId="0" applyNumberFormat="1" applyFont="1" applyFill="1" applyBorder="1" applyAlignment="1">
      <x:alignment wrapText="1"/>
    </x:xf>
    <x:xf numFmtId="0" fontId="8" fillId="15" borderId="1" xfId="0" applyNumberFormat="1" applyFont="1" applyFill="1" applyBorder="1"/>
    <x:xf numFmtId="0" fontId="8" fillId="15" borderId="1" xfId="0" applyNumberFormat="1" applyFont="1" applyFill="1" applyBorder="1" applyAlignment="1">
      <x:alignment wrapText="1"/>
    </x:xf>
    <x:xf numFmtId="0" fontId="8" fillId="15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8" fillId="16" borderId="1" xfId="0" applyNumberFormat="1" applyFont="1" applyFill="1" applyBorder="1"/>
    <x:xf numFmtId="0" fontId="8" fillId="16" borderId="1" xfId="0" applyNumberFormat="1" applyFont="1" applyFill="1" applyBorder="1" applyAlignment="1">
      <x:alignment wrapText="1"/>
    </x:xf>
    <x:xf numFmtId="0" fontId="8" fillId="16" borderId="1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8" fillId="17" borderId="0" xfId="0" applyNumberFormat="1" applyFont="1" applyFill="1" applyBorder="1"/>
    <x:xf numFmtId="0" fontId="8" fillId="17" borderId="1" xfId="0" applyNumberFormat="1" applyFont="1" applyFill="1" applyBorder="1"/>
    <x:xf numFmtId="0" fontId="8" fillId="17" borderId="1" xfId="0" applyNumberFormat="1" applyFont="1" applyFill="1" applyBorder="1" applyAlignment="1">
      <x:alignment wrapText="1"/>
    </x:xf>
    <x:xf numFmtId="0" fontId="8" fillId="17" borderId="1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/>
    <x:xf numFmtId="0" fontId="8" fillId="9" borderId="1" xfId="0" applyNumberFormat="1" applyFont="1" applyFill="1" applyBorder="1"/>
    <x:xf numFmtId="0" fontId="8" fillId="9" borderId="1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0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FF3C4"/>
        </x:patternFill>
      </x:fill>
    </x:dxf>
    <x:dxf>
      <x:font>
        <x:b/>
        <x:color rgb="FF92400E"/>
      </x:font>
      <x:fill>
        <x:patternFill patternType="solid">
          <x:bgColor rgb="FFFFF3C4"/>
        </x:patternFill>
      </x:fill>
    </x:dxf>
    <x:dxf>
      <x:font>
        <x:b/>
        <x:color rgb="FF92400E"/>
      </x:font>
      <x:fill>
        <x:patternFill patternType="solid">
          <x:bgColor rgb="FFFFF3C4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FF3C4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DF7E9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FF3C4"/>
        </x:patternFill>
      </x:fill>
    </x:dxf>
    <x:dxf>
      <x:font>
        <x:b/>
        <x:color rgb="FF166534"/>
      </x:font>
      <x:fill>
        <x:patternFill patternType="solid">
          <x:bgColor rgb="FFDDF7E9"/>
        </x:patternFill>
      </x:fill>
    </x:dxf>
    <x:dxf>
      <x:font>
        <x:b/>
        <x:color rgb="FF92400E"/>
      </x:font>
      <x:fill>
        <x:patternFill patternType="solid">
          <x:bgColor rgb="FFFFF3C4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DF7E9"/>
        </x:patternFill>
      </x:fill>
    </x:dxf>
    <x:dxf>
      <x:font>
        <x:b/>
        <x:color rgb="FF92400E"/>
      </x:font>
      <x:fill>
        <x:patternFill patternType="solid">
          <x:bgColor rgb="FFFFF3C4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FF3C4"/>
        </x:patternFill>
      </x:fill>
    </x:dxf>
    <x:dxf>
      <x:font>
        <x:b/>
        <x:color rgb="FF166534"/>
      </x:font>
      <x:fill>
        <x:patternFill patternType="solid">
          <x:bgColor rgb="FFDDF7E9"/>
        </x:patternFill>
      </x:fill>
    </x:dxf>
    <x:dxf>
      <x:font>
        <x:b/>
        <x:color rgb="FF92400E"/>
      </x:font>
      <x:fill>
        <x:patternFill patternType="solid">
          <x:bgColor rgb="FFFFF3C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c1adc553bf4a7f" /><Relationship Type="http://schemas.openxmlformats.org/officeDocument/2006/relationships/theme" Target="/xl/theme/theme1.xml" Id="Re16d620a047846a2" /><Relationship Type="http://schemas.openxmlformats.org/officeDocument/2006/relationships/sharedStrings" Target="/xl/sharedStrings.xml" Id="Re2eca34314df43b1" /><Relationship Type="http://schemas.openxmlformats.org/officeDocument/2006/relationships/worksheet" Target="/xl/worksheets/sheet1.xml" Id="R7b52547ab21a4763" /><Relationship Type="http://schemas.openxmlformats.org/officeDocument/2006/relationships/worksheet" Target="/xl/worksheets/sheet2.xml" Id="Rab66429dd250419e" /><Relationship Type="http://schemas.openxmlformats.org/officeDocument/2006/relationships/worksheet" Target="/xl/worksheets/sheet3.xml" Id="R9ff878e9b04d4b77" /><Relationship Type="http://schemas.openxmlformats.org/officeDocument/2006/relationships/worksheet" Target="/xl/worksheets/sheet4.xml" Id="Rb29ad913e86e4434" /><Relationship Type="http://schemas.openxmlformats.org/officeDocument/2006/relationships/worksheet" Target="/xl/worksheets/sheet5.xml" Id="Rcf99e5b5b56343bb" /><Relationship Type="http://schemas.openxmlformats.org/officeDocument/2006/relationships/worksheet" Target="/xl/worksheets/sheet6.xml" Id="R1e967f433d98443d" /><Relationship Type="http://schemas.openxmlformats.org/officeDocument/2006/relationships/worksheet" Target="/xl/worksheets/sheet7.xml" Id="Rd743457dbea248a3" /><Relationship Type="http://schemas.openxmlformats.org/officeDocument/2006/relationships/worksheet" Target="/xl/worksheets/sheet8.xml" Id="Rd6cb85a0d6404cef" /><Relationship Type="http://schemas.openxmlformats.org/officeDocument/2006/relationships/worksheet" Target="/xl/worksheets/sheet9.xml" Id="Ra49ab3d3d77e42df" /><Relationship Type="http://schemas.openxmlformats.org/officeDocument/2006/relationships/worksheet" Target="/xl/worksheets/sheet10.xml" Id="Rfea0379561a64eda" /><Relationship Type="http://schemas.openxmlformats.org/officeDocument/2006/relationships/worksheet" Target="/xl/worksheets/sheet11.xml" Id="R6eba77ed76b445f5" /><Relationship Type="http://schemas.openxmlformats.org/officeDocument/2006/relationships/worksheet" Target="/xl/worksheets/sheet12.xml" Id="Rbd1c6bbbcc05421d" /><Relationship Type="http://schemas.openxmlformats.org/officeDocument/2006/relationships/worksheet" Target="/xl/worksheets/sheet13.xml" Id="R69e4067d72134680" /><Relationship Type="http://schemas.openxmlformats.org/officeDocument/2006/relationships/worksheet" Target="/xl/worksheets/sheet14.xml" Id="R01664e588dd1465c" /><Relationship Type="http://schemas.openxmlformats.org/officeDocument/2006/relationships/worksheet" Target="/xl/worksheets/sheet15.xml" Id="Re26398b957954e4e" /><Relationship Type="http://schemas.openxmlformats.org/officeDocument/2006/relationships/worksheet" Target="/xl/worksheets/sheet16.xml" Id="R84da1a5b255d414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5a623d8be34870" /><Relationship Type="http://schemas.openxmlformats.org/officeDocument/2006/relationships/chart" Target="/xl/drawings/charts/chart2.xml" Id="R00d625c862db4270" /><Relationship Type="http://schemas.openxmlformats.org/officeDocument/2006/relationships/chart" Target="/xl/drawings/charts/chart3.xml" Id="R69cb692a43794d67" /><Relationship Type="http://schemas.openxmlformats.org/officeDocument/2006/relationships/chart" Target="/xl/drawings/charts/chart4.xml" Id="R533a9d6407cb432a" /><Relationship Type="http://schemas.openxmlformats.org/officeDocument/2006/relationships/chart" Target="/xl/drawings/charts/chart5.xml" Id="Rcb14e1a2af5644b5" /><Relationship Type="http://schemas.openxmlformats.org/officeDocument/2006/relationships/chart" Target="/xl/drawings/charts/chart6.xml" Id="Ra105a4d191294f53" /><Relationship Type="http://schemas.openxmlformats.org/officeDocument/2006/relationships/chart" Target="/xl/drawings/charts/chart7.xml" Id="R4457fb1ec39e4b76" /><Relationship Type="http://schemas.openxmlformats.org/officeDocument/2006/relationships/chart" Target="/xl/drawings/charts/chart8.xml" Id="R01b35dcfd983437e" /><Relationship Type="http://schemas.openxmlformats.org/officeDocument/2006/relationships/chart" Target="/xl/drawings/charts/chart9.xml" Id="R26c983da94c14f35" /><Relationship Type="http://schemas.openxmlformats.org/officeDocument/2006/relationships/chart" Target="/xl/drawings/charts/chart10.xml" Id="R2ffc4563a83049a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7b65255e97b34e8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12.xml" Id="R886bb90cc7bb4e8f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4944c25f5b98438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Gastos por categoria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Gastos</c:v>
          </c:tx>
          <c:cat>
            <c:strRef>
              <c:f>'Dashboard'!$AA$5:$AA$18</c:f>
              <c:strCache>
                <c:ptCount val="0"/>
              </c:strCache>
            </c:strRef>
          </c:cat>
          <c:val>
            <c:numRef>
              <c:f>'Dashboard'!$AB$5:$AB$18</c:f>
              <c:numCache>
                <c:formatCode>R$ #,##0.00;[Red]-R$ #,##0.00;R$ 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Gastos por pessoa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Pago</c:v>
          </c:tx>
          <c:cat>
            <c:strRef>
              <c:f>'Dashboard'!$AD$5:$AD$6</c:f>
              <c:strCache>
                <c:ptCount val="0"/>
              </c:strCache>
            </c:strRef>
          </c:cat>
          <c:val>
            <c:numRef>
              <c:f>'Dashboard'!$AE$5:$AE$6</c:f>
              <c:numCache>
                <c:formatCode>R$ #,##0.00;[Red]-R$ #,##0.00;R$ 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Planejado vs realizado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Planejado</c:v>
          </c:tx>
          <c:cat>
            <c:strRef>
              <c:f>'Dashboard'!$AG$5:$AG$7</c:f>
              <c:strCache>
                <c:ptCount val="0"/>
              </c:strCache>
            </c:strRef>
          </c:cat>
          <c:val>
            <c:numRef>
              <c:f>'Dashboard'!$AH$5:$AH$7</c:f>
              <c:numCache>
                <c:formatCode>R$ #,##0.00;[Red]-R$ #,##0.00;R$ -</c:formatCode>
                <c:ptCount val="0"/>
              </c:numCache>
            </c:numRef>
          </c:val>
        </c:ser>
        <c:ser>
          <c:idx val="1"/>
          <c:order val="1"/>
          <c:tx>
            <c:v>Realizado</c:v>
          </c:tx>
          <c:cat>
            <c:strRef>
              <c:f>'Dashboard'!$AG$5:$AG$7</c:f>
              <c:strCache>
                <c:ptCount val="0"/>
              </c:strCache>
            </c:strRef>
          </c:cat>
          <c:val>
            <c:numRef>
              <c:f>'Dashboard'!$AI$5:$AI$7</c:f>
              <c:numCache>
                <c:formatCode>R$ #,##0.00;[Red]-R$ #,##0.00;R$ 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Evolução mensal dos gastos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Gastos</c:v>
          </c:tx>
          <c:cat>
            <c:strRef>
              <c:f>'Dashboard'!$AK$5:$AK$16</c:f>
              <c:strCache>
                <c:ptCount val="0"/>
              </c:strCache>
            </c:strRef>
          </c:cat>
          <c:val>
            <c:numRef>
              <c:f>'Dashboard'!$AL$5:$AL$16</c:f>
              <c:numCache>
                <c:formatCode>R$ #,##0.00;[Red]-R$ #,##0.00;R$ 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Comparativo entre viagens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Custo por dia</c:v>
          </c:tx>
          <c:cat>
            <c:strRef>
              <c:f>'Dashboard'!$AN$5:$AN$7</c:f>
              <c:strCache>
                <c:ptCount val="0"/>
              </c:strCache>
            </c:strRef>
          </c:cat>
          <c:val>
            <c:numRef>
              <c:f>'Dashboard'!$AO$5:$AO$7</c:f>
              <c:numCache>
                <c:formatCode>R$ #,##0.00;[Red]-R$ #,##0.00;R$ 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Distribuição percentual por categoria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Percentual</c:v>
          </c:tx>
          <c:cat>
            <c:strRef>
              <c:f>'Dashboard'!$AQ$5:$AQ$18</c:f>
              <c:strCache>
                <c:ptCount val="0"/>
              </c:strCache>
            </c:strRef>
          </c:cat>
          <c:val>
            <c:numRef>
              <c:f>'Dashboard'!$AR$5:$AR$18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Custos fixos vs variáveis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Planejado</c:v>
          </c:tx>
          <c:cat>
            <c:strRef>
              <c:f>'Dashboard'!$AT$5:$AT$7</c:f>
              <c:strCache>
                <c:ptCount val="0"/>
              </c:strCache>
            </c:strRef>
          </c:cat>
          <c:val>
            <c:numRef>
              <c:f>'Dashboard'!$AU$5:$AU$7</c:f>
              <c:numCache>
                <c:formatCode>R$ #,##0.00;[Red]-R$ #,##0.00;R$ -</c:formatCode>
                <c:ptCount val="0"/>
              </c:numCache>
            </c:numRef>
          </c:val>
        </c:ser>
        <c:ser>
          <c:idx val="1"/>
          <c:order val="1"/>
          <c:tx>
            <c:v>Realizado</c:v>
          </c:tx>
          <c:cat>
            <c:strRef>
              <c:f>'Dashboard'!$AT$5:$AT$7</c:f>
              <c:strCache>
                <c:ptCount val="0"/>
              </c:strCache>
            </c:strRef>
          </c:cat>
          <c:val>
            <c:numRef>
              <c:f>'Dashboard'!$AV$5:$AV$7</c:f>
              <c:numCache>
                <c:formatCode>R$ #,##0.00;[Red]-R$ #,##0.00;R$ 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Quem pagou o quê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Valor pago</c:v>
          </c:tx>
          <c:cat>
            <c:strRef>
              <c:f>'Dashboard'!$AX$5:$AX$6</c:f>
              <c:strCache>
                <c:ptCount val="0"/>
              </c:strCache>
            </c:strRef>
          </c:cat>
          <c:val>
            <c:numRef>
              <c:f>'Dashboard'!$AY$5:$AY$6</c:f>
              <c:numCache>
                <c:formatCode>R$ #,##0.00;[Red]-R$ #,##0.00;R$ 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Economia mensal acumulada</a:t>
            </a:r>
          </a:p>
        </c:rich>
      </c:tx>
      <c:overlay val="0"/>
    </c:title>
    <c:autoTitleDeleted val="0"/>
    <c:plotArea>
      <c:layout/>
      <c:areaChart>
        <c:ser>
          <c:idx val="0"/>
          <c:order val="0"/>
          <c:tx>
            <c:v>Economia acumulada</c:v>
          </c:tx>
          <c:cat>
            <c:strRef>
              <c:f>'Dashboard'!$BA$5:$BA$9</c:f>
              <c:strCache>
                <c:ptCount val="0"/>
              </c:strCache>
            </c:strRef>
          </c:cat>
          <c:val>
            <c:numRef>
              <c:f>'Dashboard'!$BB$5:$BB$9</c:f>
              <c:numCache>
                <c:formatCode>R$ #,##0.00;[Red]-R$ #,##0.00;R$ 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area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10 maiores gastos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Valor</c:v>
          </c:tx>
          <c:cat>
            <c:strRef>
              <c:f>'Dashboard'!$BD$5:$BD$13</c:f>
              <c:strCache>
                <c:ptCount val="0"/>
              </c:strCache>
            </c:strRef>
          </c:cat>
          <c:val>
            <c:numRef>
              <c:f>'Dashboard'!$BE$5:$BE$13</c:f>
              <c:numCache>
                <c:formatCode>R$ #,##0.00;[Red]-R$ #,##0.00;R$ 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Composição do custo simulado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Series 1</c:v>
          </c:tx>
          <c:cat>
            <c:strRef>
              <c:f>'Simulador de Viagem'!$H$6:$H$11</c:f>
              <c:strCache>
                <c:ptCount val="0"/>
              </c:strCache>
            </c:strRef>
          </c:cat>
          <c:val>
            <c:numRef>
              <c:f>'Simulador de Viagem'!$I$6:$I$11</c:f>
              <c:numCache>
                <c:formatCode>R$ #,##0.00;[Red]-R$ #,##0.00;R$ 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Economia mensal acumulada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Meta</c:v>
          </c:tx>
          <c:cat>
            <c:strRef>
              <c:f>'Economia e Metas'!$K$6:$K$11</c:f>
              <c:strCache>
                <c:ptCount val="0"/>
              </c:strCache>
            </c:strRef>
          </c:cat>
          <c:val>
            <c:numRef>
              <c:f>'Economia e Metas'!$L$6:$L$11</c:f>
              <c:numCache>
                <c:formatCode>R$ #,##0.00;[Red]-R$ #,##0.00;R$ -</c:formatCode>
                <c:ptCount val="0"/>
              </c:numCache>
            </c:numRef>
          </c:val>
          <c:smooth val="0"/>
        </c:ser>
        <c:ser>
          <c:idx val="1"/>
          <c:order val="1"/>
          <c:tx>
            <c:v>Economizado</c:v>
          </c:tx>
          <c:cat>
            <c:strRef>
              <c:f>'Economia e Metas'!$K$6:$K$11</c:f>
              <c:strCache>
                <c:ptCount val="0"/>
              </c:strCache>
            </c:strRef>
          </c:cat>
          <c:val>
            <c:numRef>
              <c:f>'Economia e Metas'!$M$6:$M$11</c:f>
              <c:numCache>
                <c:formatCode>R$ #,##0.00;[Red]-R$ #,##0.00;R$ -</c:formatCode>
                <c:ptCount val="0"/>
              </c:numCache>
            </c:numRef>
          </c:val>
          <c:smooth val="0"/>
        </c:ser>
        <c:ser>
          <c:idx val="2"/>
          <c:order val="2"/>
          <c:tx>
            <c:v>Acumulado</c:v>
          </c:tx>
          <c:cat>
            <c:strRef>
              <c:f>'Economia e Metas'!$K$6:$K$11</c:f>
              <c:strCache>
                <c:ptCount val="0"/>
              </c:strCache>
            </c:strRef>
          </c:cat>
          <c:val>
            <c:numRef>
              <c:f>'Economia e Metas'!$N$6:$N$11</c:f>
              <c:numCache>
                <c:formatCode>R$ #,##0.00;[Red]-R$ #,##0.00;R$ 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Custo total por viagem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Quem viajou</c:v>
          </c:tx>
          <c:cat>
            <c:strRef>
              <c:f>'Comparativo de Viagens'!$B$6:$B$8</c:f>
              <c:strCache>
                <c:ptCount val="0"/>
              </c:strCache>
            </c:strRef>
          </c:cat>
          <c:val>
            <c:numRef>
              <c:f>'Comparativo de Viagens'!$C$6:$C$8</c:f>
              <c:numCache>
                <c:formatCode>R$ #,##0</c:formatCode>
                <c:ptCount val="0"/>
              </c:numCache>
            </c:numRef>
          </c:val>
        </c:ser>
        <c:ser>
          <c:idx val="1"/>
          <c:order val="1"/>
          <c:tx>
            <c:v>Origem</c:v>
          </c:tx>
          <c:cat>
            <c:strRef>
              <c:f>'Comparativo de Viagens'!$B$6:$B$8</c:f>
              <c:strCache>
                <c:ptCount val="0"/>
              </c:strCache>
            </c:strRef>
          </c:cat>
          <c:val>
            <c:numRef>
              <c:f>'Comparativo de Viagens'!$D$6:$D$8</c:f>
              <c:numCache>
                <c:formatCode>R$ #,##0</c:formatCode>
                <c:ptCount val="0"/>
              </c:numCache>
            </c:numRef>
          </c:val>
        </c:ser>
        <c:ser>
          <c:idx val="2"/>
          <c:order val="2"/>
          <c:tx>
            <c:v>Destino</c:v>
          </c:tx>
          <c:cat>
            <c:strRef>
              <c:f>'Comparativo de Viagens'!$B$6:$B$8</c:f>
              <c:strCache>
                <c:ptCount val="0"/>
              </c:strCache>
            </c:strRef>
          </c:cat>
          <c:val>
            <c:numRef>
              <c:f>'Comparativo de Viagens'!$E$6:$E$8</c:f>
              <c:numCache>
                <c:formatCode>R$ #,##0</c:formatCode>
                <c:ptCount val="0"/>
              </c:numCache>
            </c:numRef>
          </c:val>
        </c:ser>
        <c:ser>
          <c:idx val="3"/>
          <c:order val="3"/>
          <c:tx>
            <c:v>Dias</c:v>
          </c:tx>
          <c:cat>
            <c:strRef>
              <c:f>'Comparativo de Viagens'!$B$6:$B$8</c:f>
              <c:strCache>
                <c:ptCount val="0"/>
              </c:strCache>
            </c:strRef>
          </c:cat>
          <c:val>
            <c:numRef>
              <c:f>'Comparativo de Viagens'!$F$6:$F$8</c:f>
              <c:numCache>
                <c:formatCode>#,##0</c:formatCode>
                <c:ptCount val="0"/>
              </c:numCache>
            </c:numRef>
          </c:val>
        </c:ser>
        <c:ser>
          <c:idx val="4"/>
          <c:order val="4"/>
          <c:tx>
            <c:v>Status</c:v>
          </c:tx>
          <c:cat>
            <c:strRef>
              <c:f>'Comparativo de Viagens'!$B$6:$B$8</c:f>
              <c:strCache>
                <c:ptCount val="0"/>
              </c:strCache>
            </c:strRef>
          </c:cat>
          <c:val>
            <c:numRef>
              <c:f>'Comparativo de Viagens'!$G$6:$G$8</c:f>
              <c:numCache>
                <c:formatCode>R$ #,##0</c:formatCode>
                <c:ptCount val="0"/>
              </c:numCache>
            </c:numRef>
          </c:val>
        </c:ser>
        <c:ser>
          <c:idx val="5"/>
          <c:order val="5"/>
          <c:tx>
            <c:v>Mês</c:v>
          </c:tx>
          <c:cat>
            <c:strRef>
              <c:f>'Comparativo de Viagens'!$B$6:$B$8</c:f>
              <c:strCache>
                <c:ptCount val="0"/>
              </c:strCache>
            </c:strRef>
          </c:cat>
          <c:val>
            <c:numRef>
              <c:f>'Comparativo de Viagens'!$H$6:$H$8</c:f>
              <c:numCache>
                <c:formatCode>R$ #,##0</c:formatCode>
                <c:ptCount val="0"/>
              </c:numCache>
            </c:numRef>
          </c:val>
        </c:ser>
        <c:ser>
          <c:idx val="6"/>
          <c:order val="6"/>
          <c:tx>
            <c:v>Ano</c:v>
          </c:tx>
          <c:cat>
            <c:strRef>
              <c:f>'Comparativo de Viagens'!$B$6:$B$8</c:f>
              <c:strCache>
                <c:ptCount val="0"/>
              </c:strCache>
            </c:strRef>
          </c:cat>
          <c:val>
            <c:numRef>
              <c:f>'Comparativo de Viagens'!$I$6:$I$8</c:f>
              <c:numCache>
                <c:formatCode>R$ #,##0</c:formatCode>
                <c:ptCount val="0"/>
              </c:numCache>
            </c:numRef>
          </c:val>
        </c:ser>
        <c:ser>
          <c:idx val="7"/>
          <c:order val="7"/>
          <c:tx>
            <c:v>Custo total</c:v>
          </c:tx>
          <c:cat>
            <c:strRef>
              <c:f>'Comparativo de Viagens'!$B$6:$B$8</c:f>
              <c:strCache>
                <c:ptCount val="0"/>
              </c:strCache>
            </c:strRef>
          </c:cat>
          <c:val>
            <c:numRef>
              <c:f>'Comparativo de Viagens'!$J$6:$J$8</c:f>
              <c:numCache>
                <c:formatCode>R$ #,##0.00;[Red]-R$ #,##0.00;R$ 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5a623d8be34870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d625c862db4270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7</xdr:col>
      <xdr:colOff>0</xdr:colOff>
      <xdr:row>60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cb692a43794d67"/>
        </a:graphicData>
      </a:graphic>
    </xdr:graphicFrame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0</xdr:colOff>
      <xdr:row>60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3a9d6407cb432a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7</xdr:col>
      <xdr:colOff>0</xdr:colOff>
      <xdr:row>80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14e1a2af5644b5"/>
        </a:graphicData>
      </a:graphic>
    </xdr:graphicFrame>
    <xdr:clientData/>
  </xdr:twoCellAnchor>
  <xdr:twoCellAnchor>
    <xdr:from>
      <xdr:col>7</xdr:col>
      <xdr:colOff>0</xdr:colOff>
      <xdr:row>62</xdr:row>
      <xdr:rowOff>0</xdr:rowOff>
    </xdr:from>
    <xdr:to>
      <xdr:col>14</xdr:col>
      <xdr:colOff>0</xdr:colOff>
      <xdr:row>80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05a4d191294f53"/>
        </a:graphicData>
      </a:graphic>
    </xdr:graphicFrame>
    <xdr:clientData/>
  </xdr:twoCellAnchor>
  <xdr:twoCellAnchor>
    <xdr:from>
      <xdr:col>0</xdr:col>
      <xdr:colOff>0</xdr:colOff>
      <xdr:row>82</xdr:row>
      <xdr:rowOff>0</xdr:rowOff>
    </xdr:from>
    <xdr:to>
      <xdr:col>7</xdr:col>
      <xdr:colOff>0</xdr:colOff>
      <xdr:row>100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57fb1ec39e4b76"/>
        </a:graphicData>
      </a:graphic>
    </xdr:graphicFrame>
    <xdr:clientData/>
  </xdr:twoCellAnchor>
  <xdr:twoCellAnchor>
    <xdr:from>
      <xdr:col>7</xdr:col>
      <xdr:colOff>0</xdr:colOff>
      <xdr:row>82</xdr:row>
      <xdr:rowOff>0</xdr:rowOff>
    </xdr:from>
    <xdr:to>
      <xdr:col>14</xdr:col>
      <xdr:colOff>0</xdr:colOff>
      <xdr:row>100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b35dcfd983437e"/>
        </a:graphicData>
      </a:graphic>
    </xdr:graphicFrame>
    <xdr:clientData/>
  </xdr:twoCellAnchor>
  <xdr:twoCellAnchor>
    <xdr:from>
      <xdr:col>0</xdr:col>
      <xdr:colOff>0</xdr:colOff>
      <xdr:row>102</xdr:row>
      <xdr:rowOff>0</xdr:rowOff>
    </xdr:from>
    <xdr:to>
      <xdr:col>7</xdr:col>
      <xdr:colOff>0</xdr:colOff>
      <xdr:row>120</xdr:row>
      <xdr:rowOff>0</xdr:rowOff>
    </xdr:to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c983da94c14f35"/>
        </a:graphicData>
      </a:graphic>
    </xdr:graphicFrame>
    <xdr:clientData/>
  </xdr:twoCellAnchor>
  <xdr:twoCellAnchor>
    <xdr:from>
      <xdr:col>7</xdr:col>
      <xdr:colOff>0</xdr:colOff>
      <xdr:row>102</xdr:row>
      <xdr:rowOff>0</xdr:rowOff>
    </xdr:from>
    <xdr:to>
      <xdr:col>14</xdr:col>
      <xdr:colOff>0</xdr:colOff>
      <xdr:row>120</xdr:row>
      <xdr:rowOff>0</xdr:rowOff>
    </xdr:to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fc4563a83049a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12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65255e97b34e8d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10</xdr:col>
      <xdr:colOff>0</xdr:colOff>
      <xdr:row>12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6bb90cc7bb4e8f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15</xdr:col>
      <xdr:colOff>0</xdr:colOff>
      <xdr:row>11</xdr:row>
      <xdr:rowOff>0</xdr:rowOff>
    </xdr:from>
    <xdr:to>
      <xdr:col>23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44c25f5b98438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TabelaPlanejamentoViagens" displayName="TabelaPlanejamentoViagens" ref="A5:AC205" headerRowCount="1">
  <x:autoFilter ref="A5:AC205"/>
  <x:tableColumns count="29">
    <x:tableColumn id="1" name="ID da viagem"/>
    <x:tableColumn id="2" name="Nome da viagem"/>
    <x:tableColumn id="3" name="Pessoa viajando"/>
    <x:tableColumn id="4" name="Pessoa recebendo"/>
    <x:tableColumn id="5" name="Sentido da viagem"/>
    <x:tableColumn id="6" name="Cidade de origem"/>
    <x:tableColumn id="7" name="Cidade de destino"/>
    <x:tableColumn id="8" name="Data de ida"/>
    <x:tableColumn id="9" name="Data de volta"/>
    <x:tableColumn id="10" name="Dias juntos"/>
    <x:tableColumn id="11" name="Status"/>
    <x:tableColumn id="12" name="Objetivo da viagem"/>
    <x:tableColumn id="13" name="Orçamento planejado"/>
    <x:tableColumn id="14" name="Gasto realizado"/>
    <x:tableColumn id="15" name="Diferença"/>
    <x:tableColumn id="16" name="Percentual usado do orçamento"/>
    <x:tableColumn id="17" name="Total pago por Pedro"/>
    <x:tableColumn id="18" name="Total pago por Camilly"/>
    <x:tableColumn id="19" name="Valor a compensar"/>
    <x:tableColumn id="20" name="Quem deve para quem"/>
    <x:tableColumn id="21" name="Prioridade"/>
    <x:tableColumn id="22" name="Checklist completo?"/>
    <x:tableColumn id="23" name="Link de passagens"/>
    <x:tableColumn id="24" name="Link de hospedagem"/>
    <x:tableColumn id="25" name="Link de roteiro"/>
    <x:tableColumn id="26" name="Data limite para comprar passagem"/>
    <x:tableColumn id="27" name="Data limite para reservar hospedagem"/>
    <x:tableColumn id="28" name="Alerta automático"/>
    <x:tableColumn id="29" name="Observações"/>
  </x:tableColumns>
  <x:tableStyleInfo name="TableStyleMedium2" showRowStripes="1"/>
</x:table>
</file>

<file path=xl/tables/table2.xml><?xml version="1.0" encoding="utf-8"?>
<x:table xmlns:x="http://schemas.openxmlformats.org/spreadsheetml/2006/main" id="3" name="TabelaCustosPlanejadosPedro" displayName="TabelaCustosPlanejadosPedro" ref="A5:S205" headerRowCount="1">
  <x:autoFilter ref="A5:S205"/>
  <x:tableColumns count="19">
    <x:tableColumn id="1" name="ID da viagem"/>
    <x:tableColumn id="2" name="Data prevista"/>
    <x:tableColumn id="3" name="Categoria"/>
    <x:tableColumn id="4" name="Subcategoria"/>
    <x:tableColumn id="5" name="Tipo de custo"/>
    <x:tableColumn id="6" name="Descrição"/>
    <x:tableColumn id="7" name="Valor planejado"/>
    <x:tableColumn id="8" name="Valor mínimo estimado"/>
    <x:tableColumn id="9" name="Valor máximo estimado"/>
    <x:tableColumn id="10" name="Probabilidade de acontecer"/>
    <x:tableColumn id="11" name="Obrigatório?"/>
    <x:tableColumn id="12" name="Pago por"/>
    <x:tableColumn id="13" name="Beneficiário"/>
    <x:tableColumn id="14" name="Forma de pagamento prevista"/>
    <x:tableColumn id="15" name="Parcelado?"/>
    <x:tableColumn id="16" name="Número de parcelas"/>
    <x:tableColumn id="17" name="Valor por parcela"/>
    <x:tableColumn id="18" name="Status do planejamento"/>
    <x:tableColumn id="19" name="Observações"/>
  </x:tableColumns>
  <x:tableStyleInfo name="TableStyleMedium4" showRowStripes="1"/>
</x:table>
</file>

<file path=xl/tables/table3.xml><?xml version="1.0" encoding="utf-8"?>
<x:table xmlns:x="http://schemas.openxmlformats.org/spreadsheetml/2006/main" id="4" name="TabelaCustosPlanejadosCamilly" displayName="TabelaCustosPlanejadosCamilly" ref="A5:S205" headerRowCount="1">
  <x:autoFilter ref="A5:S205"/>
  <x:tableColumns count="19">
    <x:tableColumn id="1" name="ID da viagem"/>
    <x:tableColumn id="2" name="Data prevista"/>
    <x:tableColumn id="3" name="Categoria"/>
    <x:tableColumn id="4" name="Subcategoria"/>
    <x:tableColumn id="5" name="Tipo de custo"/>
    <x:tableColumn id="6" name="Descrição"/>
    <x:tableColumn id="7" name="Valor planejado"/>
    <x:tableColumn id="8" name="Valor mínimo estimado"/>
    <x:tableColumn id="9" name="Valor máximo estimado"/>
    <x:tableColumn id="10" name="Probabilidade de acontecer"/>
    <x:tableColumn id="11" name="Obrigatório?"/>
    <x:tableColumn id="12" name="Pago por"/>
    <x:tableColumn id="13" name="Beneficiário"/>
    <x:tableColumn id="14" name="Forma de pagamento prevista"/>
    <x:tableColumn id="15" name="Parcelado?"/>
    <x:tableColumn id="16" name="Número de parcelas"/>
    <x:tableColumn id="17" name="Valor por parcela"/>
    <x:tableColumn id="18" name="Status do planejamento"/>
    <x:tableColumn id="19" name="Observações"/>
  </x:tableColumns>
  <x:tableStyleInfo name="TableStyleMedium4" showRowStripes="1"/>
</x:table>
</file>

<file path=xl/tables/table4.xml><?xml version="1.0" encoding="utf-8"?>
<x:table xmlns:x="http://schemas.openxmlformats.org/spreadsheetml/2006/main" id="5" name="TabelaHistoricoGastos" displayName="TabelaHistoricoGastos" ref="A5:AA205" headerRowCount="1">
  <x:autoFilter ref="A5:AA205"/>
  <x:tableColumns count="27">
    <x:tableColumn id="1" name="ID do gasto"/>
    <x:tableColumn id="2" name="ID da viagem"/>
    <x:tableColumn id="3" name="Data do gasto"/>
    <x:tableColumn id="4" name="Pessoa que pagou"/>
    <x:tableColumn id="5" name="Pessoa beneficiada"/>
    <x:tableColumn id="6" name="Categoria"/>
    <x:tableColumn id="7" name="Subcategoria"/>
    <x:tableColumn id="8" name="Tipo de custo"/>
    <x:tableColumn id="9" name="Descrição"/>
    <x:tableColumn id="10" name="Valor"/>
    <x:tableColumn id="11" name="Forma de pagamento"/>
    <x:tableColumn id="12" name="Cartão/conta usada"/>
    <x:tableColumn id="13" name="Parcelado?"/>
    <x:tableColumn id="14" name="Número de parcelas"/>
    <x:tableColumn id="15" name="Parcela atual"/>
    <x:tableColumn id="16" name="Valor da parcela"/>
    <x:tableColumn id="17" name="Reembolsável?"/>
    <x:tableColumn id="18" name="Deve ser dividido?"/>
    <x:tableColumn id="19" name="Percentual Pedro"/>
    <x:tableColumn id="20" name="Percentual Camilly"/>
    <x:tableColumn id="21" name="Responsabilidade Pedro"/>
    <x:tableColumn id="22" name="Responsabilidade Camilly"/>
    <x:tableColumn id="23" name="Valor pago por Pedro"/>
    <x:tableColumn id="24" name="Valor pago por Camilly"/>
    <x:tableColumn id="25" name="Diferença/compensação"/>
    <x:tableColumn id="26" name="Comprovante/link"/>
    <x:tableColumn id="27" name="Observações"/>
  </x:tableColumns>
  <x:tableStyleInfo name="TableStyleMedium14" showRowStripes="1"/>
</x:table>
</file>

<file path=xl/tables/table5.xml><?xml version="1.0" encoding="utf-8"?>
<x:table xmlns:x="http://schemas.openxmlformats.org/spreadsheetml/2006/main" id="6" name="TabelaDivisaoAcertos" displayName="TabelaDivisaoAcertos" ref="A5:P205" headerRowCount="1">
  <x:autoFilter ref="A5:P205"/>
  <x:tableColumns count="16">
    <x:tableColumn id="1" name="ID da viagem"/>
    <x:tableColumn id="2" name="Nome da viagem"/>
    <x:tableColumn id="3" name="Total pago por Pedro"/>
    <x:tableColumn id="4" name="Total pago por Camilly"/>
    <x:tableColumn id="5" name="Responsabilidade Pedro"/>
    <x:tableColumn id="6" name="Responsabilidade Camilly"/>
    <x:tableColumn id="7" name="Diferença Pedro"/>
    <x:tableColumn id="8" name="Diferença Camilly"/>
    <x:tableColumn id="9" name="Resultado automático"/>
    <x:tableColumn id="10" name="Valor sugerido de acerto"/>
    <x:tableColumn id="11" name="Pessoa que deve pagar"/>
    <x:tableColumn id="12" name="Pessoa que deve receber"/>
    <x:tableColumn id="13" name="Status do acerto"/>
    <x:tableColumn id="14" name="Data do acerto"/>
    <x:tableColumn id="15" name="Forma do acerto"/>
    <x:tableColumn id="16" name="Observações"/>
  </x:tableColumns>
  <x:tableStyleInfo name="TableStyleMedium9" showRowStripes="1"/>
</x:table>
</file>

<file path=xl/tables/table6.xml><?xml version="1.0" encoding="utf-8"?>
<x:table xmlns:x="http://schemas.openxmlformats.org/spreadsheetml/2006/main" id="7" name="TabelaChecklistViagem" displayName="TabelaChecklistViagem" ref="A5:I205" headerRowCount="1">
  <x:autoFilter ref="A5:I205"/>
  <x:tableColumns count="9">
    <x:tableColumn id="1" name="ID da viagem"/>
    <x:tableColumn id="2" name="Item"/>
    <x:tableColumn id="3" name="Categoria"/>
    <x:tableColumn id="4" name="Responsável"/>
    <x:tableColumn id="5" name="Prazo"/>
    <x:tableColumn id="6" name="Status"/>
    <x:tableColumn id="7" name="Prioridade"/>
    <x:tableColumn id="8" name="Concluído?"/>
    <x:tableColumn id="9" name="Observações"/>
  </x:tableColumns>
  <x:tableStyleInfo name="TableStyleMedium2" showRowStripes="1"/>
</x:table>
</file>

<file path=xl/tables/table7.xml><?xml version="1.0" encoding="utf-8"?>
<x:table xmlns:x="http://schemas.openxmlformats.org/spreadsheetml/2006/main" id="8" name="TabelaRoteiroAgenda" displayName="TabelaRoteiroAgenda" ref="A5:M205" headerRowCount="1">
  <x:autoFilter ref="A5:M205"/>
  <x:tableColumns count="13">
    <x:tableColumn id="1" name="ID da viagem"/>
    <x:tableColumn id="2" name="Data"/>
    <x:tableColumn id="3" name="Horário"/>
    <x:tableColumn id="4" name="Atividade"/>
    <x:tableColumn id="5" name="Local"/>
    <x:tableColumn id="6" name="Categoria"/>
    <x:tableColumn id="7" name="Custo estimado"/>
    <x:tableColumn id="8" name="Custo real"/>
    <x:tableColumn id="9" name="Responsável"/>
    <x:tableColumn id="10" name="Reserva necessária?"/>
    <x:tableColumn id="11" name="Link da reserva"/>
    <x:tableColumn id="12" name="Status"/>
    <x:tableColumn id="13" name="Observações"/>
  </x:tableColumns>
  <x:tableStyleInfo name="TableStyleMedium7" showRowStripes="1"/>
</x:table>
</file>

<file path=xl/tables/table8.xml><?xml version="1.0" encoding="utf-8"?>
<x:table xmlns:x="http://schemas.openxmlformats.org/spreadsheetml/2006/main" id="9" name="TabelaEconomiaMetas" displayName="TabelaEconomiaMetas" ref="A5:I205" headerRowCount="1">
  <x:autoFilter ref="A5:I205"/>
  <x:tableColumns count="9">
    <x:tableColumn id="1" name="Mês"/>
    <x:tableColumn id="2" name="Pessoa"/>
    <x:tableColumn id="3" name="Viagem relacionada"/>
    <x:tableColumn id="4" name="Meta de economia"/>
    <x:tableColumn id="5" name="Valor economizado"/>
    <x:tableColumn id="6" name="Diferença"/>
    <x:tableColumn id="7" name="Percentual atingido"/>
    <x:tableColumn id="8" name="Economia acumulada"/>
    <x:tableColumn id="9" name="Observações"/>
  </x:tableColumns>
  <x:tableStyleInfo name="TableStyleMedium4" showRowStripes="1"/>
</x:table>
</file>

<file path=xl/tables/table9.xml><?xml version="1.0" encoding="utf-8"?>
<x:table xmlns:x="http://schemas.openxmlformats.org/spreadsheetml/2006/main" id="10" name="TabelaParcelamentos" displayName="TabelaParcelamentos" ref="A5:L205" headerRowCount="1">
  <x:autoFilter ref="A5:L205"/>
  <x:tableColumns count="12">
    <x:tableColumn id="1" name="ID da viagem"/>
    <x:tableColumn id="2" name="Gasto relacionado"/>
    <x:tableColumn id="3" name="Pessoa responsável"/>
    <x:tableColumn id="4" name="Valor total"/>
    <x:tableColumn id="5" name="Número de parcelas"/>
    <x:tableColumn id="6" name="Valor da parcela"/>
    <x:tableColumn id="7" name="Parcela atual"/>
    <x:tableColumn id="8" name="Data de vencimento"/>
    <x:tableColumn id="9" name="Status"/>
    <x:tableColumn id="10" name="Forma de pagamento"/>
    <x:tableColumn id="11" name="Impacto mensal"/>
    <x:tableColumn id="12" name="Observações"/>
  </x:tableColumns>
  <x:tableStyleInfo name="TableStyleMedium5" showRowStripes="1"/>
</x:table>
</file>

<file path=xl/tables/table10.xml><?xml version="1.0" encoding="utf-8"?>
<x:table xmlns:x="http://schemas.openxmlformats.org/spreadsheetml/2006/main" id="11" name="TabelaComparativoViagens" displayName="TabelaComparativoViagens" ref="A5:N205" headerRowCount="1">
  <x:autoFilter ref="A5:N205"/>
  <x:tableColumns count="14">
    <x:tableColumn id="1" name="ID"/>
    <x:tableColumn id="2" name="Viagem"/>
    <x:tableColumn id="3" name="Quem viajou"/>
    <x:tableColumn id="4" name="Origem"/>
    <x:tableColumn id="5" name="Destino"/>
    <x:tableColumn id="6" name="Dias"/>
    <x:tableColumn id="7" name="Status"/>
    <x:tableColumn id="8" name="Mês"/>
    <x:tableColumn id="9" name="Ano"/>
    <x:tableColumn id="10" name="Custo total"/>
    <x:tableColumn id="11" name="Custo por dia"/>
    <x:tableColumn id="12" name="Custo por pessoa"/>
    <x:tableColumn id="13" name="Diferença planejado vs realizado"/>
    <x:tableColumn id="14" name="Ranking"/>
  </x:tableColumns>
  <x:tableStyleInfo name="TableStyleMedium9" showRowStripes="1"/>
</x:table>
</file>

<file path=xl/tables/table11.xml><?xml version="1.0" encoding="utf-8"?>
<x:table xmlns:x="http://schemas.openxmlformats.org/spreadsheetml/2006/main" id="1" name="TabelaBaseCategorias" displayName="TabelaBaseCategorias" ref="A4:P150" headerRowCount="1">
  <x:autoFilter ref="A4:P150"/>
  <x:tableColumns count="16">
    <x:tableColumn id="1" name="Pessoas"/>
    <x:tableColumn id="2" name="Categorias"/>
    <x:tableColumn id="3" name="Subcategorias"/>
    <x:tableColumn id="4" name="Formas de pagamento"/>
    <x:tableColumn id="5" name="Status de viagem"/>
    <x:tableColumn id="6" name="Status de tarefa"/>
    <x:tableColumn id="7" name="Status de acerto"/>
    <x:tableColumn id="8" name="Prioridades"/>
    <x:tableColumn id="9" name="Tipos de custo"/>
    <x:tableColumn id="10" name="Tipos de hospedagem"/>
    <x:tableColumn id="11" name="Tipos de transporte"/>
    <x:tableColumn id="12" name="Políticas de divisão"/>
    <x:tableColumn id="13" name="Sim/Não"/>
    <x:tableColumn id="14" name="Status do planejamento"/>
    <x:tableColumn id="15" name="Cidades frequentes"/>
    <x:tableColumn id="16" name="Categoria da subcategoria"/>
  </x:tableColumns>
  <x:tableStyleInfo name="TableStyleMedium9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7fe0e1f539c4e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f40baca79184a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75a6452d6124c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e9e19a125f946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05b9c5de93443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21afe3ebf6c4b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51ea3ced723943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a8625949dfce42a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d189b66934434f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3.xml" Id="R0aa43e1f136b489c" /><Relationship Type="http://schemas.openxmlformats.org/officeDocument/2006/relationships/table" Target="/xl/tables/table8.xml" Id="R03dad5940f8144a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44a019bfb308456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4.xml" Id="R4c75e95cadf749cf" /><Relationship Type="http://schemas.openxmlformats.org/officeDocument/2006/relationships/table" Target="/xl/tables/table10.xml" Id="Re11d35066d364c9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19a62d9d13664e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  <x:col min="9" max="9" width="13.75" hidden="0" customWidth="1"/>
    <x:col min="10" max="10" width="13.75" hidden="0" customWidth="1"/>
    <x:col min="11" max="11" width="13.75" hidden="0" customWidth="1"/>
    <x:col min="12" max="12" width="13.75" hidden="0" customWidth="1"/>
    <x:col min="13" max="13" width="16.25" hidden="0" customWidth="1"/>
    <x:col min="14" max="14" width="16.25" hidden="0" customWidth="1"/>
    <x:col min="15" max="15" width="2.25" hidden="0" customWidth="1"/>
    <x:col min="16" max="16" width="2.25" hidden="0" customWidth="1"/>
    <x:col min="17" max="17" width="2.25" hidden="0" customWidth="1"/>
    <x:col min="18" max="18" width="2.25" hidden="0" customWidth="1"/>
    <x:col min="19" max="19" width="2.25" hidden="0" customWidth="1"/>
    <x:col min="20" max="20" width="2.25" hidden="0" customWidth="1"/>
    <x:col min="21" max="21" width="2.25" hidden="0" customWidth="1"/>
    <x:col min="22" max="22" width="2.25" hidden="0" customWidth="1"/>
    <x:col min="23" max="23" width="2.25" hidden="0" customWidth="1"/>
    <x:col min="24" max="24" width="2.25" hidden="0" customWidth="1"/>
    <x:col min="25" max="25" width="2.25" hidden="0" customWidth="1"/>
    <x:col min="26" max="26" width="2.25" hidden="0" customWidth="1"/>
    <x:col min="27" max="27" width="11.25" hidden="0" customWidth="1"/>
    <x:col min="28" max="28" width="11.25" hidden="0" customWidth="1"/>
    <x:col min="30" max="30" width="11.25" hidden="0" customWidth="1"/>
    <x:col min="31" max="31" width="11.25" hidden="0" customWidth="1"/>
    <x:col min="33" max="33" width="11.25" hidden="0" customWidth="1"/>
    <x:col min="34" max="34" width="11.25" hidden="0" customWidth="1"/>
    <x:col min="35" max="35" width="11.25" hidden="0" customWidth="1"/>
    <x:col min="37" max="37" width="11.25" hidden="0" customWidth="1"/>
    <x:col min="38" max="38" width="11.25" hidden="0" customWidth="1"/>
    <x:col min="40" max="40" width="11.25" hidden="0" customWidth="1"/>
    <x:col min="41" max="41" width="11.25" hidden="0" customWidth="1"/>
    <x:col min="43" max="43" width="11.25" hidden="0" customWidth="1"/>
    <x:col min="44" max="44" width="11.25" hidden="0" customWidth="1"/>
    <x:col min="46" max="46" width="11.25" hidden="0" customWidth="1"/>
    <x:col min="47" max="47" width="11.25" hidden="0" customWidth="1"/>
    <x:col min="48" max="48" width="11.25" hidden="0" customWidth="1"/>
    <x:col min="50" max="50" width="11.25" hidden="0" customWidth="1"/>
    <x:col min="51" max="51" width="11.25" hidden="0" customWidth="1"/>
    <x:col min="53" max="53" width="11.25" hidden="0" customWidth="1"/>
    <x:col min="54" max="54" width="11.25" hidden="0" customWidth="1"/>
    <x:col min="56" max="56" width="11.25" hidden="0" customWidth="1"/>
    <x:col min="57" max="57" width="11.25" hidden="0" customWidth="1"/>
  </x:cols>
  <x:sheetData>
    <x:row r="1" ht="28.5" customHeight="1">
      <x:c r="A1" s="4" t="str">
        <x:v>Planejamento Financeiro do Relacionamento à Distância</x:v>
      </x:c>
      <x:c r="B1" s="110"/>
      <x:c r="C1" s="110"/>
      <x:c r="D1" s="110"/>
      <x:c r="E1" s="110"/>
      <x:c r="F1" s="110"/>
      <x:c r="G1" s="110"/>
      <x:c r="H1" s="110"/>
      <x:c r="I1" s="110"/>
      <x:c r="J1" s="110"/>
      <x:c r="K1" s="110"/>
      <x:c r="L1" s="110"/>
      <x:c r="M1" s="110"/>
      <x:c r="N1" s="110"/>
    </x:row>
    <x:row r="2">
      <x:c r="A2" s="112" t="str">
        <x:v>Pedro Américo Paletot e Camilly Queiroz | orçamento, viagens, acertos e metas em um só lugar</x:v>
      </x:c>
      <x:c r="B2" s="112"/>
      <x:c r="C2" s="112"/>
      <x:c r="D2" s="112"/>
      <x:c r="E2" s="112"/>
      <x:c r="F2" s="112"/>
      <x:c r="G2" s="112"/>
      <x:c r="H2" s="112"/>
      <x:c r="I2" s="112"/>
      <x:c r="J2" s="112"/>
      <x:c r="K2" s="112"/>
      <x:c r="L2" s="112"/>
      <x:c r="M2" s="112"/>
      <x:c r="N2" s="112"/>
    </x:row>
    <x:row r="4">
      <x:c r="A4" s="29" t="str">
        <x:v>Pessoa viajando</x:v>
      </x:c>
      <x:c r="B4" s="29" t="str"/>
      <x:c r="C4" s="29" t="str">
        <x:v>Sentido</x:v>
      </x:c>
      <x:c r="D4" s="29" t="str"/>
      <x:c r="E4" s="29" t="str">
        <x:v>Status</x:v>
      </x:c>
      <x:c r="F4" s="29" t="str"/>
      <x:c r="G4" s="29" t="str">
        <x:v>Origem</x:v>
      </x:c>
      <x:c r="H4" s="29" t="str"/>
      <x:c r="I4" s="29" t="str">
        <x:v>Destino</x:v>
      </x:c>
      <x:c r="J4" s="29" t="str"/>
      <x:c r="K4" s="29" t="str">
        <x:v>Período</x:v>
      </x:c>
      <x:c r="L4" s="29" t="str"/>
      <x:c r="M4" s="29" t="str">
        <x:v>Categoria</x:v>
      </x:c>
      <x:c r="N4" s="29" t="str"/>
      <x:c r="AA4" s="14" t="str">
        <x:v>Categoria</x:v>
      </x:c>
      <x:c r="AB4" s="14" t="str">
        <x:v>Gastos</x:v>
      </x:c>
      <x:c r="AC4" s="14"/>
      <x:c r="AD4" s="14" t="str">
        <x:v>Pessoa</x:v>
      </x:c>
      <x:c r="AE4" s="14" t="str">
        <x:v>Pago</x:v>
      </x:c>
      <x:c r="AF4" s="14"/>
      <x:c r="AG4" s="14" t="str">
        <x:v>Viagem</x:v>
      </x:c>
      <x:c r="AH4" s="14" t="str">
        <x:v>Planejado</x:v>
      </x:c>
      <x:c r="AI4" s="14" t="str">
        <x:v>Realizado</x:v>
      </x:c>
      <x:c r="AJ4" s="14"/>
      <x:c r="AK4" s="14" t="str">
        <x:v>Mês</x:v>
      </x:c>
      <x:c r="AL4" s="14" t="str">
        <x:v>Gastos</x:v>
      </x:c>
      <x:c r="AM4" s="14"/>
      <x:c r="AN4" s="14" t="str">
        <x:v>Viagem</x:v>
      </x:c>
      <x:c r="AO4" s="14" t="str">
        <x:v>Custo por dia</x:v>
      </x:c>
      <x:c r="AP4" s="14"/>
      <x:c r="AQ4" s="14" t="str">
        <x:v>Categoria</x:v>
      </x:c>
      <x:c r="AR4" s="14" t="str">
        <x:v>Percentual</x:v>
      </x:c>
      <x:c r="AS4" s="14"/>
      <x:c r="AT4" s="14" t="str">
        <x:v>Tipo</x:v>
      </x:c>
      <x:c r="AU4" s="14" t="str">
        <x:v>Planejado</x:v>
      </x:c>
      <x:c r="AV4" s="14" t="str">
        <x:v>Realizado</x:v>
      </x:c>
      <x:c r="AW4" s="14"/>
      <x:c r="AX4" s="14" t="str">
        <x:v>Pessoa</x:v>
      </x:c>
      <x:c r="AY4" s="14" t="str">
        <x:v>Valor pago</x:v>
      </x:c>
      <x:c r="AZ4" s="14"/>
      <x:c r="BA4" s="14" t="str">
        <x:v>Mês</x:v>
      </x:c>
      <x:c r="BB4" s="14" t="str">
        <x:v>Economia acumulada</x:v>
      </x:c>
      <x:c r="BC4" s="14"/>
      <x:c r="BD4" s="14" t="str">
        <x:v>Descrição</x:v>
      </x:c>
      <x:c r="BE4" s="14" t="str">
        <x:v>Valor</x:v>
      </x:c>
    </x:row>
    <x:row r="5">
      <x:c r="A5" s="36" t="str">
        <x:v>Todos</x:v>
      </x:c>
      <x:c r="B5" s="36" t="str"/>
      <x:c r="C5" s="36" t="str">
        <x:v>Todos</x:v>
      </x:c>
      <x:c r="D5" s="36" t="str"/>
      <x:c r="E5" s="36" t="str">
        <x:v>Todos</x:v>
      </x:c>
      <x:c r="F5" s="36" t="str"/>
      <x:c r="G5" s="36" t="str">
        <x:v>Todos</x:v>
      </x:c>
      <x:c r="H5" s="36" t="str"/>
      <x:c r="I5" s="36" t="str">
        <x:v>Todos</x:v>
      </x:c>
      <x:c r="J5" s="36" t="str"/>
      <x:c r="K5" s="36" t="str">
        <x:v>Todos</x:v>
      </x:c>
      <x:c r="L5" s="36" t="str"/>
      <x:c r="M5" s="36" t="str">
        <x:v>Todos</x:v>
      </x:c>
      <x:c r="N5" s="36" t="str"/>
      <x:c r="AA5" s="18" t="str">
        <x:v>Transporte principal</x:v>
      </x:c>
      <x:c r="AB5" s="193" t="n">
        <x:f>SUMIFS('Histórico de Gastos'!$J$6:$J$205,'Histórico de Gastos'!$F$6:$F$205,$AA5)</x:f>
        <x:v>1011.3299999999999</x:v>
      </x:c>
      <x:c r="AC5" s="18"/>
      <x:c r="AD5" s="18" t="str">
        <x:v>Pedro Américo Paletot</x:v>
      </x:c>
      <x:c r="AE5" s="193" t="n">
        <x:f>SUM('Histórico de Gastos'!$W$6:$W$205)</x:f>
        <x:v>948.3299999999999</x:v>
      </x:c>
      <x:c r="AF5" s="18"/>
      <x:c r="AG5" s="18" t="str">
        <x:f>'Planejamento de Viagens'!$B$6</x:f>
        <x:v>Camilly em João Pessoa</x:v>
      </x:c>
      <x:c r="AH5" s="193" t="n">
        <x:f>'Planejamento de Viagens'!$M$6</x:f>
        <x:v>2265</x:v>
      </x:c>
      <x:c r="AI5" s="193" t="n">
        <x:f>'Planejamento de Viagens'!$N$6</x:f>
        <x:v>528</x:v>
      </x:c>
      <x:c r="AJ5" s="18"/>
      <x:c r="AK5" s="18" t="str">
        <x:v>jan/2026</x:v>
      </x:c>
      <x:c r="AL5" s="193" t="n">
        <x:f>SUMIFS('Histórico de Gastos'!$J$6:$J$205,'Histórico de Gastos'!$C$6:$C$205,"&gt;="&amp;$AM5,'Histórico de Gastos'!$C$6:$C$205,"&lt;"&amp;EDATE($AM5,1))</x:f>
        <x:v>0</x:v>
      </x:c>
      <x:c r="AM5" s="18" t="n">
        <x:v>46023</x:v>
      </x:c>
      <x:c r="AN5" s="18" t="str">
        <x:f>AG5</x:f>
        <x:v>Camilly em João Pessoa</x:v>
      </x:c>
      <x:c r="AO5" s="193" t="n">
        <x:f>'Comparativo de Viagens'!$K$6</x:f>
        <x:v>75.42857142857143</x:v>
      </x:c>
      <x:c r="AP5" s="18"/>
      <x:c r="AQ5" s="18" t="str">
        <x:v>Transporte principal</x:v>
      </x:c>
      <x:c r="AR5" s="194" t="n">
        <x:f>IFERROR($AB5/SUM($AB$5:$AB$18),0)</x:f>
        <x:v>0.38274174686734813</x:v>
      </x:c>
      <x:c r="AS5" s="18"/>
      <x:c r="AT5" s="18" t="str">
        <x:v>Fixo</x:v>
      </x:c>
      <x:c r="AU5" s="193" t="n">
        <x:f>SUMIFS('Custos Planejados - Pedro'!$G$6:$G$205,'Custos Planejados - Pedro'!$E$6:$E$205,$AT5)+SUMIFS('Custos Planejados - Camilly'!$G$6:$G$205,'Custos Planejados - Camilly'!$E$6:$E$205,$AT5)</x:f>
        <x:v>4160</x:v>
      </x:c>
      <x:c r="AV5" s="193" t="n">
        <x:f>SUMIFS('Histórico de Gastos'!$J$6:$J$205,'Histórico de Gastos'!$H$6:$H$205,$AT5)</x:f>
        <x:v>2081.33</x:v>
      </x:c>
      <x:c r="AW5" s="18"/>
      <x:c r="AX5" s="18" t="str">
        <x:v>Pedro Américo Paletot</x:v>
      </x:c>
      <x:c r="AY5" s="193" t="n">
        <x:f>AE5</x:f>
        <x:v>948.3299999999999</x:v>
      </x:c>
      <x:c r="AZ5" s="18"/>
      <x:c r="BA5" s="18" t="str">
        <x:v>jan/2026</x:v>
      </x:c>
      <x:c r="BB5" s="193" t="n">
        <x:f>SUMIFS('Economia e Metas'!$E$6:$E$205,'Economia e Metas'!$A$6:$A$205,$BA5)+IF(0=0,0,$BB4)</x:f>
        <x:v>820</x:v>
      </x:c>
      <x:c r="BC5" s="18"/>
      <x:c r="BD5" s="18" t="str">
        <x:f>IFERROR(INDEX('Histórico de Gastos'!$I$6:$I$205,MATCH(LARGE('Histórico de Gastos'!$J$6:$J$205,ROW(A1)),'Histórico de Gastos'!$J$6:$J$205,0)),"")</x:f>
        <x:v>Hotel duas diárias</x:v>
      </x:c>
      <x:c r="BE5" s="193" t="n">
        <x:f>IFERROR(LARGE('Histórico de Gastos'!$J$6:$J$205,ROW(A1)),0)</x:f>
        <x:v>640</x:v>
      </x:c>
    </x:row>
    <x:row r="6">
      <x:c r="AA6" s="18" t="str">
        <x:v>Transporte local</x:v>
      </x:c>
      <x:c r="AB6" s="193" t="n">
        <x:f>SUMIFS('Histórico de Gastos'!$J$6:$J$205,'Histórico de Gastos'!$F$6:$F$205,$AA6)</x:f>
        <x:v>42</x:v>
      </x:c>
      <x:c r="AC6" s="18"/>
      <x:c r="AD6" s="18" t="str">
        <x:v>Camilly Queiroz</x:v>
      </x:c>
      <x:c r="AE6" s="193" t="n">
        <x:f>SUM('Histórico de Gastos'!$X$6:$X$205)</x:f>
        <x:v>1694</x:v>
      </x:c>
      <x:c r="AF6" s="18"/>
      <x:c r="AG6" s="18" t="str">
        <x:f>'Planejamento de Viagens'!$B$7</x:f>
        <x:v>Pedro visitando Camilly</x:v>
      </x:c>
      <x:c r="AH6" s="193" t="n">
        <x:f>'Planejamento de Viagens'!$M$7</x:f>
        <x:v>2935</x:v>
      </x:c>
      <x:c r="AI6" s="193" t="n">
        <x:f>'Planejamento de Viagens'!$N$7</x:f>
        <x:v>823.3299999999999</x:v>
      </x:c>
      <x:c r="AJ6" s="18"/>
      <x:c r="AK6" s="18" t="str">
        <x:v>fev/2026</x:v>
      </x:c>
      <x:c r="AL6" s="193" t="n">
        <x:f>SUMIFS('Histórico de Gastos'!$J$6:$J$205,'Histórico de Gastos'!$C$6:$C$205,"&gt;="&amp;$AM6,'Histórico de Gastos'!$C$6:$C$205,"&lt;"&amp;EDATE($AM6,1))</x:f>
        <x:v>0</x:v>
      </x:c>
      <x:c r="AM6" s="18" t="n">
        <x:v>46054</x:v>
      </x:c>
      <x:c r="AN6" s="18" t="str">
        <x:f>AG6</x:f>
        <x:v>Pedro visitando Camilly</x:v>
      </x:c>
      <x:c r="AO6" s="193" t="n">
        <x:f>'Comparativo de Viagens'!$K$7</x:f>
        <x:v>137.22166666666666</x:v>
      </x:c>
      <x:c r="AP6" s="18"/>
      <x:c r="AQ6" s="18" t="str">
        <x:v>Transporte local</x:v>
      </x:c>
      <x:c r="AR6" s="194" t="n">
        <x:f>IFERROR($AB6/SUM($AB$5:$AB$18),0)</x:f>
        <x:v>0.015895062312428803</x:v>
      </x:c>
      <x:c r="AS6" s="18"/>
      <x:c r="AT6" s="18" t="str">
        <x:v>Variável</x:v>
      </x:c>
      <x:c r="AU6" s="193" t="n">
        <x:f>SUMIFS('Custos Planejados - Pedro'!$G$6:$G$205,'Custos Planejados - Pedro'!$E$6:$E$205,$AT6)+SUMIFS('Custos Planejados - Camilly'!$G$6:$G$205,'Custos Planejados - Camilly'!$E$6:$E$205,$AT6)</x:f>
        <x:v>655</x:v>
      </x:c>
      <x:c r="AV6" s="193" t="n">
        <x:f>SUMIFS('Histórico de Gastos'!$J$6:$J$205,'Histórico de Gastos'!$H$6:$H$205,$AT6)</x:f>
        <x:v>222</x:v>
      </x:c>
      <x:c r="AW6" s="18"/>
      <x:c r="AX6" s="18" t="str">
        <x:v>Camilly Queiroz</x:v>
      </x:c>
      <x:c r="AY6" s="193" t="n">
        <x:f>AE6</x:f>
        <x:v>1694</x:v>
      </x:c>
      <x:c r="AZ6" s="18"/>
      <x:c r="BA6" s="18" t="str">
        <x:v>fev/2026</x:v>
      </x:c>
      <x:c r="BB6" s="193" t="n">
        <x:f>SUMIFS('Economia e Metas'!$E$6:$E$205,'Economia e Metas'!$A$6:$A$205,$BA6)+IF(1=0,0,$BB5)</x:f>
        <x:v>1670</x:v>
      </x:c>
      <x:c r="BC6" s="18"/>
      <x:c r="BD6" s="18" t="str">
        <x:f>IFERROR(INDEX('Histórico de Gastos'!$I$6:$I$205,MATCH(LARGE('Histórico de Gastos'!$J$6:$J$205,ROW(A2)),'Histórico de Gastos'!$J$6:$J$205,0)),"")</x:f>
        <x:v>Primeira parcela da passagem</x:v>
      </x:c>
      <x:c r="BE6" s="193" t="n">
        <x:f>IFERROR(LARGE('Histórico de Gastos'!$J$6:$J$205,ROW(A2)),0)</x:f>
        <x:v>440</x:v>
      </x:c>
    </x:row>
    <x:row r="7">
      <x:c r="A7" s="124" t="str">
        <x:v>Gasto total planejado</x:v>
      </x:c>
      <x:c r="B7" s="125"/>
      <x:c r="C7" s="126"/>
      <x:c r="D7" s="169" t="str">
        <x:v>Gasto total realizado</x:v>
      </x:c>
      <x:c r="E7" s="170"/>
      <x:c r="F7" s="171"/>
      <x:c r="G7" s="124" t="str">
        <x:v>Diferença planejado vs realizado</x:v>
      </x:c>
      <x:c r="H7" s="125"/>
      <x:c r="I7" s="126"/>
      <x:c r="J7" s="169" t="str">
        <x:v>Total pago por Pedro</x:v>
      </x:c>
      <x:c r="K7" s="170"/>
      <x:c r="L7" s="171"/>
      <x:c r="M7" s="14" t="str">
        <x:v>Alertas inteligentes</x:v>
      </x:c>
      <x:c r="N7" s="14" t="str"/>
      <x:c r="AA7" s="18" t="str">
        <x:v>Hospedagem</x:v>
      </x:c>
      <x:c r="AB7" s="193" t="n">
        <x:f>SUMIFS('Histórico de Gastos'!$J$6:$J$205,'Histórico de Gastos'!$F$6:$F$205,$AA7)</x:f>
        <x:v>1070</x:v>
      </x:c>
      <x:c r="AC7" s="18"/>
      <x:c r="AD7" s="18"/>
      <x:c r="AE7" s="18"/>
      <x:c r="AF7" s="18"/>
      <x:c r="AG7" s="18" t="str">
        <x:f>'Planejamento de Viagens'!$B$8</x:f>
        <x:v>Fim de semana juntos</x:v>
      </x:c>
      <x:c r="AH7" s="193" t="n">
        <x:f>'Planejamento de Viagens'!$M$8</x:f>
        <x:v>1140</x:v>
      </x:c>
      <x:c r="AI7" s="193" t="n">
        <x:f>'Planejamento de Viagens'!$N$8</x:f>
        <x:v>1291</x:v>
      </x:c>
      <x:c r="AJ7" s="18"/>
      <x:c r="AK7" s="18" t="str">
        <x:v>mar/2026</x:v>
      </x:c>
      <x:c r="AL7" s="193" t="n">
        <x:f>SUMIFS('Histórico de Gastos'!$J$6:$J$205,'Histórico de Gastos'!$C$6:$C$205,"&gt;="&amp;$AM7,'Histórico de Gastos'!$C$6:$C$205,"&lt;"&amp;EDATE($AM7,1))</x:f>
        <x:v>0</x:v>
      </x:c>
      <x:c r="AM7" s="18" t="n">
        <x:v>46082</x:v>
      </x:c>
      <x:c r="AN7" s="18" t="str">
        <x:f>AG7</x:f>
        <x:v>Fim de semana juntos</x:v>
      </x:c>
      <x:c r="AO7" s="193" t="n">
        <x:f>'Comparativo de Viagens'!$K$8</x:f>
        <x:v>430.3333333333333</x:v>
      </x:c>
      <x:c r="AP7" s="18"/>
      <x:c r="AQ7" s="18" t="str">
        <x:v>Hospedagem</x:v>
      </x:c>
      <x:c r="AR7" s="194" t="n">
        <x:f>IFERROR($AB7/SUM($AB$5:$AB$18),0)</x:f>
        <x:v>0.4049456351023529</x:v>
      </x:c>
      <x:c r="AS7" s="18"/>
      <x:c r="AT7" s="18" t="str">
        <x:v>Emergencial/Opcional</x:v>
      </x:c>
      <x:c r="AU7" s="193" t="n">
        <x:f>SUMIFS('Custos Planejados - Pedro'!$G$6:$G$205,'Custos Planejados - Pedro'!$E$6:$E$205,"Emergencial")+SUMIFS('Custos Planejados - Pedro'!$G$6:$G$205,'Custos Planejados - Pedro'!$E$6:$E$205,"Opcional")+SUMIFS('Custos Planejados - Camilly'!$G$6:$G$205,'Custos Planejados - Camilly'!$E$6:$E$205,"Emergencial")+SUMIFS('Custos Planejados - Camilly'!$G$6:$G$205,'Custos Planejados - Camilly'!$E$6:$E$205,"Opcional")</x:f>
        <x:v>1525</x:v>
      </x:c>
      <x:c r="AV7" s="193" t="n">
        <x:f>SUMIFS('Histórico de Gastos'!$J$6:$J$205,'Histórico de Gastos'!$H$6:$H$205,"Emergencial")+SUMIFS('Histórico de Gastos'!$J$6:$J$205,'Histórico de Gastos'!$H$6:$H$205,"Opcional")</x:f>
        <x:v>339</x:v>
      </x:c>
      <x:c r="AW7" s="18"/>
      <x:c r="AX7" s="18"/>
      <x:c r="AY7" s="18"/>
      <x:c r="AZ7" s="18"/>
      <x:c r="BA7" s="18" t="str">
        <x:v>mar/2026</x:v>
      </x:c>
      <x:c r="BB7" s="193" t="n">
        <x:f>SUMIFS('Economia e Metas'!$E$6:$E$205,'Economia e Metas'!$A$6:$A$205,$BA7)+IF(2=0,0,$BB6)</x:f>
        <x:v>2460</x:v>
      </x:c>
      <x:c r="BC7" s="18"/>
      <x:c r="BD7" s="18" t="str">
        <x:f>IFERROR(INDEX('Histórico de Gastos'!$I$6:$I$205,MATCH(LARGE('Histórico de Gastos'!$J$6:$J$205,ROW(A3)),'Histórico de Gastos'!$J$6:$J$205,0)),"")</x:f>
        <x:v>Sinal do Airbnb</x:v>
      </x:c>
      <x:c r="BE7" s="193" t="n">
        <x:f>IFERROR(LARGE('Histórico de Gastos'!$J$6:$J$205,ROW(A3)),0)</x:f>
        <x:v>430</x:v>
      </x:c>
    </x:row>
    <x:row r="8">
      <x:c r="A8" s="152" t="n">
        <x:f>SUM('Planejamento de Viagens'!$M$6:$M$205)</x:f>
        <x:v>6340</x:v>
      </x:c>
      <x:c r="B8" s="153"/>
      <x:c r="C8" s="154"/>
      <x:c r="D8" s="152" t="n">
        <x:f>SUM('Planejamento de Viagens'!$N$6:$N$205)</x:f>
        <x:v>2642.33</x:v>
      </x:c>
      <x:c r="E8" s="153"/>
      <x:c r="F8" s="154"/>
      <x:c r="G8" s="152" t="n">
        <x:f>SUM('Planejamento de Viagens'!$O$6:$O$205)</x:f>
        <x:v>3697.67</x:v>
      </x:c>
      <x:c r="H8" s="153"/>
      <x:c r="I8" s="154"/>
      <x:c r="J8" s="152" t="n">
        <x:f>SUM('Planejamento de Viagens'!$Q$6:$Q$205)</x:f>
        <x:v>948.3299999999999</x:v>
      </x:c>
      <x:c r="K8" s="153"/>
      <x:c r="L8" s="154"/>
      <x:c r="M8" s="192" t="str">
        <x:f>IF(COUNTIF('Planejamento de Viagens'!$P$6:$P$205,"&gt;1")&gt;0,"A viagem está acima do orçamento.","Nenhuma viagem acima do orçamento.")</x:f>
        <x:v>A viagem está acima do orçamento.</x:v>
      </x:c>
      <x:c r="N8" s="192"/>
      <x:c r="AA8" s="18" t="str">
        <x:v>Alimentação</x:v>
      </x:c>
      <x:c r="AB8" s="193" t="n">
        <x:f>SUMIFS('Histórico de Gastos'!$J$6:$J$205,'Histórico de Gastos'!$F$6:$F$205,$AA8)</x:f>
        <x:v>180</x:v>
      </x:c>
      <x:c r="AC8" s="18"/>
      <x:c r="AD8" s="18"/>
      <x:c r="AE8" s="18"/>
      <x:c r="AF8" s="18"/>
      <x:c r="AG8" s="18"/>
      <x:c r="AH8" s="18"/>
      <x:c r="AI8" s="18"/>
      <x:c r="AJ8" s="18"/>
      <x:c r="AK8" s="18" t="str">
        <x:v>abr/2026</x:v>
      </x:c>
      <x:c r="AL8" s="193" t="n">
        <x:f>SUMIFS('Histórico de Gastos'!$J$6:$J$205,'Histórico de Gastos'!$C$6:$C$205,"&gt;="&amp;$AM8,'Histórico de Gastos'!$C$6:$C$205,"&lt;"&amp;EDATE($AM8,1))</x:f>
        <x:v>0</x:v>
      </x:c>
      <x:c r="AM8" s="18" t="n">
        <x:v>46113</x:v>
      </x:c>
      <x:c r="AN8" s="18"/>
      <x:c r="AO8" s="18"/>
      <x:c r="AP8" s="18"/>
      <x:c r="AQ8" s="18" t="str">
        <x:v>Alimentação</x:v>
      </x:c>
      <x:c r="AR8" s="194" t="n">
        <x:f>IFERROR($AB8/SUM($AB$5:$AB$18),0)</x:f>
        <x:v>0.06812169562469488</x:v>
      </x:c>
      <x:c r="AS8" s="18"/>
      <x:c r="AT8" s="18"/>
      <x:c r="AU8" s="18"/>
      <x:c r="AV8" s="18"/>
      <x:c r="AW8" s="18"/>
      <x:c r="AX8" s="18"/>
      <x:c r="AY8" s="18"/>
      <x:c r="AZ8" s="18"/>
      <x:c r="BA8" s="18" t="str">
        <x:v>abr/2026</x:v>
      </x:c>
      <x:c r="BB8" s="193" t="n">
        <x:f>SUMIFS('Economia e Metas'!$E$6:$E$205,'Economia e Metas'!$A$6:$A$205,$BA8)+IF(3=0,0,$BB7)</x:f>
        <x:v>3380</x:v>
      </x:c>
      <x:c r="BC8" s="18"/>
      <x:c r="BD8" s="18" t="str">
        <x:f>IFERROR(INDEX('Histórico de Gastos'!$I$6:$I$205,MATCH(LARGE('Histórico de Gastos'!$J$6:$J$205,ROW(A4)),'Histórico de Gastos'!$J$6:$J$205,0)),"")</x:f>
        <x:v>Primeira parcela passagem Pedro</x:v>
      </x:c>
      <x:c r="BE8" s="193" t="n">
        <x:f>IFERROR(LARGE('Histórico de Gastos'!$J$6:$J$205,ROW(A4)),0)</x:f>
        <x:v>393.33</x:v>
      </x:c>
    </x:row>
    <x:row r="9">
      <x:c r="A9" s="155"/>
      <x:c r="B9" s="156"/>
      <x:c r="C9" s="157"/>
      <x:c r="D9" s="155"/>
      <x:c r="E9" s="156"/>
      <x:c r="F9" s="157"/>
      <x:c r="G9" s="155"/>
      <x:c r="H9" s="156"/>
      <x:c r="I9" s="157"/>
      <x:c r="J9" s="155"/>
      <x:c r="K9" s="156"/>
      <x:c r="L9" s="157"/>
      <x:c r="M9" s="192" t="str">
        <x:f>IF(COUNTIFS('Planejamento de Viagens'!$X$6:$X$205,"",'Planejamento de Viagens'!$K$6:$K$205,"Planejada")&gt;0,"Falta reservar hospedagem.","Hospedagens principais preenchidas.")</x:f>
        <x:v>Hospedagens principais preenchidas.</x:v>
      </x:c>
      <x:c r="N9" s="192"/>
      <x:c r="AA9" s="18" t="str">
        <x:v>Lazer e encontros</x:v>
      </x:c>
      <x:c r="AB9" s="193" t="n">
        <x:f>SUMIFS('Histórico de Gastos'!$J$6:$J$205,'Histórico de Gastos'!$F$6:$F$205,$AA9)</x:f>
        <x:v>124</x:v>
      </x:c>
      <x:c r="AC9" s="18"/>
      <x:c r="AD9" s="18"/>
      <x:c r="AE9" s="18"/>
      <x:c r="AF9" s="18"/>
      <x:c r="AG9" s="18"/>
      <x:c r="AH9" s="18"/>
      <x:c r="AI9" s="18"/>
      <x:c r="AJ9" s="18"/>
      <x:c r="AK9" s="18" t="str">
        <x:v>mai/2026</x:v>
      </x:c>
      <x:c r="AL9" s="193" t="n">
        <x:f>SUMIFS('Histórico de Gastos'!$J$6:$J$205,'Histórico de Gastos'!$C$6:$C$205,"&gt;="&amp;$AM9,'Histórico de Gastos'!$C$6:$C$205,"&lt;"&amp;EDATE($AM9,1))</x:f>
        <x:v>1291</x:v>
      </x:c>
      <x:c r="AM9" s="18" t="n">
        <x:v>46143</x:v>
      </x:c>
      <x:c r="AN9" s="18"/>
      <x:c r="AO9" s="18"/>
      <x:c r="AP9" s="18"/>
      <x:c r="AQ9" s="18" t="str">
        <x:v>Lazer e encontros</x:v>
      </x:c>
      <x:c r="AR9" s="194" t="n">
        <x:f>IFERROR($AB9/SUM($AB$5:$AB$18),0)</x:f>
        <x:v>0.04692827920812313</x:v>
      </x:c>
      <x:c r="AS9" s="18"/>
      <x:c r="AT9" s="18"/>
      <x:c r="AU9" s="18"/>
      <x:c r="AV9" s="18"/>
      <x:c r="AW9" s="18"/>
      <x:c r="AX9" s="18"/>
      <x:c r="AY9" s="18"/>
      <x:c r="AZ9" s="18"/>
      <x:c r="BA9" s="18" t="str">
        <x:v>mai/2026</x:v>
      </x:c>
      <x:c r="BB9" s="193" t="n">
        <x:f>SUMIFS('Economia e Metas'!$E$6:$E$205,'Economia e Metas'!$A$6:$A$205,$BA9)+IF(4=0,0,$BB8)</x:f>
        <x:v>4410</x:v>
      </x:c>
      <x:c r="BC9" s="18"/>
      <x:c r="BD9" s="18" t="str">
        <x:f>IFERROR(INDEX('Histórico de Gastos'!$I$6:$I$205,MATCH(LARGE('Histórico de Gastos'!$J$6:$J$205,ROW(A5)),'Histórico de Gastos'!$J$6:$J$205,0)),"")</x:f>
        <x:v>Ônibus João Pessoa - Recife</x:v>
      </x:c>
      <x:c r="BE9" s="193" t="n">
        <x:f>IFERROR(LARGE('Histórico de Gastos'!$J$6:$J$205,ROW(A5)),0)</x:f>
        <x:v>178</x:v>
      </x:c>
    </x:row>
    <x:row r="10">
      <x:c r="M10" s="192" t="str">
        <x:f>IF(COUNTIFS('Planejamento de Viagens'!$W$6:$W$205,"",'Planejamento de Viagens'!$K$6:$K$205,"Planejada")&gt;0,"Passagem ainda não comprada.","Passagens principais preenchidas.")</x:f>
        <x:v>Passagens principais preenchidas.</x:v>
      </x:c>
      <x:c r="N10" s="192"/>
      <x:c r="AA10" s="18" t="str">
        <x:v>Casa e estadia</x:v>
      </x:c>
      <x:c r="AB10" s="193" t="n">
        <x:f>SUMIFS('Histórico de Gastos'!$J$6:$J$205,'Histórico de Gastos'!$F$6:$F$205,$AA10)</x:f>
        <x:v>0</x:v>
      </x:c>
      <x:c r="AC10" s="18"/>
      <x:c r="AD10" s="18"/>
      <x:c r="AE10" s="18"/>
      <x:c r="AF10" s="18"/>
      <x:c r="AG10" s="18"/>
      <x:c r="AH10" s="18"/>
      <x:c r="AI10" s="18"/>
      <x:c r="AJ10" s="18"/>
      <x:c r="AK10" s="18" t="str">
        <x:v>jun/2026</x:v>
      </x:c>
      <x:c r="AL10" s="193" t="n">
        <x:f>SUMIFS('Histórico de Gastos'!$J$6:$J$205,'Histórico de Gastos'!$C$6:$C$205,"&gt;="&amp;$AM10,'Histórico de Gastos'!$C$6:$C$205,"&lt;"&amp;EDATE($AM10,1))</x:f>
        <x:v>1351.33</x:v>
      </x:c>
      <x:c r="AM10" s="18" t="n">
        <x:v>46174</x:v>
      </x:c>
      <x:c r="AN10" s="18"/>
      <x:c r="AO10" s="18"/>
      <x:c r="AP10" s="18"/>
      <x:c r="AQ10" s="18" t="str">
        <x:v>Casa e estadia</x:v>
      </x:c>
      <x:c r="AR10" s="194" t="n">
        <x:f>IFERROR($AB10/SUM($AB$5:$AB$18),0)</x:f>
        <x:v>0</x:v>
      </x:c>
      <x:c r="AS10" s="18"/>
      <x:c r="AT10" s="18"/>
      <x:c r="AU10" s="18"/>
      <x:c r="AV10" s="18"/>
      <x:c r="AW10" s="18"/>
      <x:c r="AX10" s="18"/>
      <x:c r="AY10" s="18"/>
      <x:c r="AZ10" s="18"/>
      <x:c r="BA10" s="18"/>
      <x:c r="BB10" s="18"/>
      <x:c r="BC10" s="18"/>
      <x:c r="BD10" s="18" t="str">
        <x:f>IFERROR(INDEX('Histórico de Gastos'!$I$6:$I$205,MATCH(LARGE('Histórico de Gastos'!$J$6:$J$205,ROW(A6)),'Histórico de Gastos'!$J$6:$J$205,0)),"")</x:f>
        <x:v>Passeio e fotos</x:v>
      </x:c>
      <x:c r="BE10" s="193" t="n">
        <x:f>IFERROR(LARGE('Histórico de Gastos'!$J$6:$J$205,ROW(A6)),0)</x:f>
        <x:v>124</x:v>
      </x:c>
    </x:row>
    <x:row r="11">
      <x:c r="A11" s="124" t="str">
        <x:v>Total pago por Camilly</x:v>
      </x:c>
      <x:c r="B11" s="125"/>
      <x:c r="C11" s="126"/>
      <x:c r="D11" s="169" t="str">
        <x:v>Saldo de compensação</x:v>
      </x:c>
      <x:c r="E11" s="170"/>
      <x:c r="F11" s="171"/>
      <x:c r="G11" s="124" t="str">
        <x:v>Próxima viagem</x:v>
      </x:c>
      <x:c r="H11" s="125"/>
      <x:c r="I11" s="126"/>
      <x:c r="J11" s="169" t="str">
        <x:v>Custo médio por viagem</x:v>
      </x:c>
      <x:c r="K11" s="170"/>
      <x:c r="L11" s="171"/>
      <x:c r="M11" s="192" t="str">
        <x:f>IF(SUM('Planejamento de Viagens'!$S$6:$S$205)&gt;0,"Existe valor pendente de compensação.","Sem compensações pendentes.")</x:f>
        <x:v>Existe valor pendente de compensação.</x:v>
      </x:c>
      <x:c r="N11" s="192"/>
      <x:c r="AA11" s="18" t="str">
        <x:v>Comunicação e internet</x:v>
      </x:c>
      <x:c r="AB11" s="193" t="n">
        <x:f>SUMIFS('Histórico de Gastos'!$J$6:$J$205,'Histórico de Gastos'!$F$6:$F$205,$AA11)</x:f>
        <x:v>0</x:v>
      </x:c>
      <x:c r="AC11" s="18"/>
      <x:c r="AD11" s="18"/>
      <x:c r="AE11" s="18"/>
      <x:c r="AF11" s="18"/>
      <x:c r="AG11" s="18"/>
      <x:c r="AH11" s="18"/>
      <x:c r="AI11" s="18"/>
      <x:c r="AJ11" s="18"/>
      <x:c r="AK11" s="18" t="str">
        <x:v>jul/2026</x:v>
      </x:c>
      <x:c r="AL11" s="193" t="n">
        <x:f>SUMIFS('Histórico de Gastos'!$J$6:$J$205,'Histórico de Gastos'!$C$6:$C$205,"&gt;="&amp;$AM11,'Histórico de Gastos'!$C$6:$C$205,"&lt;"&amp;EDATE($AM11,1))</x:f>
        <x:v>0</x:v>
      </x:c>
      <x:c r="AM11" s="18" t="n">
        <x:v>46204</x:v>
      </x:c>
      <x:c r="AN11" s="18"/>
      <x:c r="AO11" s="18"/>
      <x:c r="AP11" s="18"/>
      <x:c r="AQ11" s="18" t="str">
        <x:v>Comunicação e internet</x:v>
      </x:c>
      <x:c r="AR11" s="194" t="n">
        <x:f>IFERROR($AB11/SUM($AB$5:$AB$18),0)</x:f>
        <x:v>0</x:v>
      </x:c>
      <x:c r="AS11" s="18"/>
      <x:c r="AT11" s="18"/>
      <x:c r="AU11" s="18"/>
      <x:c r="AV11" s="18"/>
      <x:c r="AW11" s="18"/>
      <x:c r="AX11" s="18"/>
      <x:c r="AY11" s="18"/>
      <x:c r="AZ11" s="18"/>
      <x:c r="BA11" s="18"/>
      <x:c r="BB11" s="18"/>
      <x:c r="BC11" s="18"/>
      <x:c r="BD11" s="18" t="str">
        <x:f>IFERROR(INDEX('Histórico de Gastos'!$I$6:$I$205,MATCH(LARGE('Histórico de Gastos'!$J$6:$J$205,ROW(A7)),'Histórico de Gastos'!$J$6:$J$205,0)),"")</x:f>
        <x:v>Delivery domingo</x:v>
      </x:c>
      <x:c r="BE11" s="193" t="n">
        <x:f>IFERROR(LARGE('Histórico de Gastos'!$J$6:$J$205,ROW(A7)),0)</x:f>
        <x:v>112</x:v>
      </x:c>
    </x:row>
    <x:row r="12">
      <x:c r="A12" s="152" t="n">
        <x:f>SUM('Planejamento de Viagens'!$R$6:$R$205)</x:f>
        <x:v>1694</x:v>
      </x:c>
      <x:c r="B12" s="153"/>
      <x:c r="C12" s="154"/>
      <x:c r="D12" s="152" t="n">
        <x:f>SUM('Planejamento de Viagens'!$S$6:$S$205)</x:f>
        <x:v>509.99999999999994</x:v>
      </x:c>
      <x:c r="E12" s="153"/>
      <x:c r="F12" s="154"/>
      <x:c r="G12" s="172" t="str">
        <x:f>IFERROR(INDEX('Planejamento de Viagens'!$B$6:$B$205,MATCH(MINIFS('Planejamento de Viagens'!$H$6:$H$205,'Planejamento de Viagens'!$H$6:$H$205,"&gt;="&amp;TODAY(),'Planejamento de Viagens'!$K$6:$K$205,"&lt;&gt;Concluída"),'Planejamento de Viagens'!$H$6:$H$205,0)),"Sem viagem futura")</x:f>
        <x:v>Camilly em João Pessoa</x:v>
      </x:c>
      <x:c r="H12" s="173"/>
      <x:c r="I12" s="174"/>
      <x:c r="J12" s="152" t="n">
        <x:f>IFERROR(AVERAGEIF('Planejamento de Viagens'!$N$6:$N$205,"&gt;0",'Planejamento de Viagens'!$N$6:$N$205),0)</x:f>
        <x:v>880.7766666666666</x:v>
      </x:c>
      <x:c r="K12" s="153"/>
      <x:c r="L12" s="154"/>
      <x:c r="M12" s="192" t="str">
        <x:f>IF(COUNTIFS('Checklist de Viagem'!$H$6:$H$205,"Não",'Checklist de Viagem'!$E$6:$E$205,"&lt;"&amp;TODAY()+15)&gt;0,"Viagem próxima sem checklist completo.","Checklists sob controle.")</x:f>
        <x:v>Viagem próxima sem checklist completo.</x:v>
      </x:c>
      <x:c r="N12" s="192"/>
      <x:c r="AA12" s="18" t="str">
        <x:v>Saúde e segurança</x:v>
      </x:c>
      <x:c r="AB12" s="193" t="n">
        <x:f>SUMIFS('Histórico de Gastos'!$J$6:$J$205,'Histórico de Gastos'!$F$6:$F$205,$AA12)</x:f>
        <x:v>0</x:v>
      </x:c>
      <x:c r="AC12" s="18"/>
      <x:c r="AD12" s="18"/>
      <x:c r="AE12" s="18"/>
      <x:c r="AF12" s="18"/>
      <x:c r="AG12" s="18"/>
      <x:c r="AH12" s="18"/>
      <x:c r="AI12" s="18"/>
      <x:c r="AJ12" s="18"/>
      <x:c r="AK12" s="18" t="str">
        <x:v>ago/2026</x:v>
      </x:c>
      <x:c r="AL12" s="193" t="n">
        <x:f>SUMIFS('Histórico de Gastos'!$J$6:$J$205,'Histórico de Gastos'!$C$6:$C$205,"&gt;="&amp;$AM12,'Histórico de Gastos'!$C$6:$C$205,"&lt;"&amp;EDATE($AM12,1))</x:f>
        <x:v>0</x:v>
      </x:c>
      <x:c r="AM12" s="18" t="n">
        <x:v>46235</x:v>
      </x:c>
      <x:c r="AN12" s="18"/>
      <x:c r="AO12" s="18"/>
      <x:c r="AP12" s="18"/>
      <x:c r="AQ12" s="18" t="str">
        <x:v>Saúde e segurança</x:v>
      </x:c>
      <x:c r="AR12" s="194" t="n">
        <x:f>IFERROR($AB12/SUM($AB$5:$AB$18),0)</x:f>
        <x:v>0</x:v>
      </x:c>
      <x:c r="AS12" s="18"/>
      <x:c r="AT12" s="18"/>
      <x:c r="AU12" s="18"/>
      <x:c r="AV12" s="18"/>
      <x:c r="AW12" s="18"/>
      <x:c r="AX12" s="18"/>
      <x:c r="AY12" s="18"/>
      <x:c r="AZ12" s="18"/>
      <x:c r="BA12" s="18"/>
      <x:c r="BB12" s="18"/>
      <x:c r="BC12" s="18"/>
      <x:c r="BD12" s="18" t="str">
        <x:f>IFERROR(INDEX('Histórico de Gastos'!$I$6:$I$205,MATCH(LARGE('Histórico de Gastos'!$J$6:$J$205,ROW(A8)),'Histórico de Gastos'!$J$6:$J$205,0)),"")</x:f>
        <x:v>Flores de boas-vindas</x:v>
      </x:c>
      <x:c r="BE12" s="193" t="n">
        <x:f>IFERROR(LARGE('Histórico de Gastos'!$J$6:$J$205,ROW(A8)),0)</x:f>
        <x:v>88</x:v>
      </x:c>
    </x:row>
    <x:row r="13">
      <x:c r="A13" s="155"/>
      <x:c r="B13" s="156"/>
      <x:c r="C13" s="157"/>
      <x:c r="D13" s="155"/>
      <x:c r="E13" s="156"/>
      <x:c r="F13" s="157"/>
      <x:c r="G13" s="175"/>
      <x:c r="H13" s="176"/>
      <x:c r="I13" s="177"/>
      <x:c r="J13" s="155"/>
      <x:c r="K13" s="156"/>
      <x:c r="L13" s="157"/>
      <x:c r="M13" s="192" t="str">
        <x:f>IF(COUNTIFS('Parcelamentos'!$H$6:$H$205,"&lt;="&amp;TODAY()+7,'Parcelamentos'!$I$6:$I$205,"Pendente")&gt;0,"Há parcelas vencendo nos próximos 7 dias.","Sem parcelas urgentes.")</x:f>
        <x:v>Sem parcelas urgentes.</x:v>
      </x:c>
      <x:c r="N13" s="192"/>
      <x:c r="AA13" s="18" t="str">
        <x:v>Documentos e taxas</x:v>
      </x:c>
      <x:c r="AB13" s="193" t="n">
        <x:f>SUMIFS('Histórico de Gastos'!$J$6:$J$205,'Histórico de Gastos'!$F$6:$F$205,$AA13)</x:f>
        <x:v>0</x:v>
      </x:c>
      <x:c r="AC13" s="18"/>
      <x:c r="AD13" s="18"/>
      <x:c r="AE13" s="18"/>
      <x:c r="AF13" s="18"/>
      <x:c r="AG13" s="18"/>
      <x:c r="AH13" s="18"/>
      <x:c r="AI13" s="18"/>
      <x:c r="AJ13" s="18"/>
      <x:c r="AK13" s="18" t="str">
        <x:v>set/2026</x:v>
      </x:c>
      <x:c r="AL13" s="193" t="n">
        <x:f>SUMIFS('Histórico de Gastos'!$J$6:$J$205,'Histórico de Gastos'!$C$6:$C$205,"&gt;="&amp;$AM13,'Histórico de Gastos'!$C$6:$C$205,"&lt;"&amp;EDATE($AM13,1))</x:f>
        <x:v>0</x:v>
      </x:c>
      <x:c r="AM13" s="18" t="n">
        <x:v>46266</x:v>
      </x:c>
      <x:c r="AN13" s="18"/>
      <x:c r="AO13" s="18"/>
      <x:c r="AP13" s="18"/>
      <x:c r="AQ13" s="18" t="str">
        <x:v>Documentos e taxas</x:v>
      </x:c>
      <x:c r="AR13" s="194" t="n">
        <x:f>IFERROR($AB13/SUM($AB$5:$AB$18),0)</x:f>
        <x:v>0</x:v>
      </x:c>
      <x:c r="AS13" s="18"/>
      <x:c r="AT13" s="18"/>
      <x:c r="AU13" s="18"/>
      <x:c r="AV13" s="18"/>
      <x:c r="AW13" s="18"/>
      <x:c r="AX13" s="18"/>
      <x:c r="AY13" s="18"/>
      <x:c r="AZ13" s="18"/>
      <x:c r="BA13" s="18"/>
      <x:c r="BB13" s="18"/>
      <x:c r="BC13" s="18"/>
      <x:c r="BD13" s="18" t="str">
        <x:f>IFERROR(INDEX('Histórico de Gastos'!$I$6:$I$205,MATCH(LARGE('Histórico de Gastos'!$J$6:$J$205,ROW(A9)),'Histórico de Gastos'!$J$6:$J$205,0)),"")</x:f>
        <x:v>Corrida extra para rodoviária</x:v>
      </x:c>
      <x:c r="BE13" s="193" t="n">
        <x:f>IFERROR(LARGE('Histórico de Gastos'!$J$6:$J$205,ROW(A9)),0)</x:f>
        <x:v>72</x:v>
      </x:c>
    </x:row>
    <x:row r="14">
      <x:c r="M14" s="192" t="str">
        <x:f>IF(SUM('Planejamento de Viagens'!$N$6:$N$205)&gt;SUM('Planejamento de Viagens'!$M$6:$M$205),"Gasto realizado maior que planejado.","Realizado dentro do planejado geral.")</x:f>
        <x:v>Realizado dentro do planejado geral.</x:v>
      </x:c>
      <x:c r="N14" s="192"/>
      <x:c r="AA14" s="18" t="str">
        <x:v>Presentes e relacionamento</x:v>
      </x:c>
      <x:c r="AB14" s="193" t="n">
        <x:f>SUMIFS('Histórico de Gastos'!$J$6:$J$205,'Histórico de Gastos'!$F$6:$F$205,$AA14)</x:f>
        <x:v>143</x:v>
      </x:c>
      <x:c r="AC14" s="18"/>
      <x:c r="AD14" s="18"/>
      <x:c r="AE14" s="18"/>
      <x:c r="AF14" s="18"/>
      <x:c r="AG14" s="18"/>
      <x:c r="AH14" s="18"/>
      <x:c r="AI14" s="18"/>
      <x:c r="AJ14" s="18"/>
      <x:c r="AK14" s="18" t="str">
        <x:v>out/2026</x:v>
      </x:c>
      <x:c r="AL14" s="193" t="n">
        <x:f>SUMIFS('Histórico de Gastos'!$J$6:$J$205,'Histórico de Gastos'!$C$6:$C$205,"&gt;="&amp;$AM14,'Histórico de Gastos'!$C$6:$C$205,"&lt;"&amp;EDATE($AM14,1))</x:f>
        <x:v>0</x:v>
      </x:c>
      <x:c r="AM14" s="18" t="n">
        <x:v>46296</x:v>
      </x:c>
      <x:c r="AN14" s="18"/>
      <x:c r="AO14" s="18"/>
      <x:c r="AP14" s="18"/>
      <x:c r="AQ14" s="18" t="str">
        <x:v>Presentes e relacionamento</x:v>
      </x:c>
      <x:c r="AR14" s="194" t="n">
        <x:f>IFERROR($AB14/SUM($AB$5:$AB$18),0)</x:f>
        <x:v>0.054118902635174264</x:v>
      </x:c>
      <x:c r="AS14" s="18"/>
      <x:c r="AT14" s="18"/>
      <x:c r="AU14" s="18"/>
      <x:c r="AV14" s="18"/>
      <x:c r="AW14" s="18"/>
      <x:c r="AX14" s="18"/>
      <x:c r="AY14" s="18"/>
      <x:c r="AZ14" s="18"/>
      <x:c r="BA14" s="18"/>
      <x:c r="BB14" s="18"/>
      <x:c r="BC14" s="18"/>
      <x:c r="BD14" s="18"/>
      <x:c r="BE14" s="18"/>
    </x:row>
    <x:row r="15">
      <x:c r="A15" s="124" t="str">
        <x:v>Custo médio por dia juntos</x:v>
      </x:c>
      <x:c r="B15" s="125"/>
      <x:c r="C15" s="126"/>
      <x:c r="D15" s="169" t="str">
        <x:v>Maior categoria de gasto</x:v>
      </x:c>
      <x:c r="E15" s="170"/>
      <x:c r="F15" s="171"/>
      <x:c r="G15" s="124" t="str">
        <x:v>Mês com maior gasto</x:v>
      </x:c>
      <x:c r="H15" s="125"/>
      <x:c r="I15" s="126"/>
      <x:c r="J15" s="169" t="str">
        <x:v>Economia acumulada</x:v>
      </x:c>
      <x:c r="K15" s="170"/>
      <x:c r="L15" s="171"/>
      <x:c r="M15" s="192" t="str">
        <x:f>IFERROR(IF(SUM('Economia e Metas'!$E$6:$E$205)&lt;SUM('Economia e Metas'!$D$6:$D$205),"Meta de economia abaixo do esperado.","Meta de economia saudável."),"Cadastre metas de economia.")</x:f>
        <x:v>Meta de economia saudável.</x:v>
      </x:c>
      <x:c r="N15" s="192"/>
      <x:c r="AA15" s="18" t="str">
        <x:v>Beleza e autocuidado</x:v>
      </x:c>
      <x:c r="AB15" s="193" t="n">
        <x:f>SUMIFS('Histórico de Gastos'!$J$6:$J$205,'Histórico de Gastos'!$F$6:$F$205,$AA15)</x:f>
        <x:v>0</x:v>
      </x:c>
      <x:c r="AC15" s="18"/>
      <x:c r="AD15" s="18"/>
      <x:c r="AE15" s="18"/>
      <x:c r="AF15" s="18"/>
      <x:c r="AG15" s="18"/>
      <x:c r="AH15" s="18"/>
      <x:c r="AI15" s="18"/>
      <x:c r="AJ15" s="18"/>
      <x:c r="AK15" s="18" t="str">
        <x:v>nov/2026</x:v>
      </x:c>
      <x:c r="AL15" s="193" t="n">
        <x:f>SUMIFS('Histórico de Gastos'!$J$6:$J$205,'Histórico de Gastos'!$C$6:$C$205,"&gt;="&amp;$AM15,'Histórico de Gastos'!$C$6:$C$205,"&lt;"&amp;EDATE($AM15,1))</x:f>
        <x:v>0</x:v>
      </x:c>
      <x:c r="AM15" s="18" t="n">
        <x:v>46327</x:v>
      </x:c>
      <x:c r="AN15" s="18"/>
      <x:c r="AO15" s="18"/>
      <x:c r="AP15" s="18"/>
      <x:c r="AQ15" s="18" t="str">
        <x:v>Beleza e autocuidado</x:v>
      </x:c>
      <x:c r="AR15" s="194" t="n">
        <x:f>IFERROR($AB15/SUM($AB$5:$AB$18),0)</x:f>
        <x:v>0</x:v>
      </x:c>
      <x:c r="AS15" s="18"/>
      <x:c r="AT15" s="18"/>
      <x:c r="AU15" s="18"/>
      <x:c r="AV15" s="18"/>
      <x:c r="AW15" s="18"/>
      <x:c r="AX15" s="18"/>
      <x:c r="AY15" s="18"/>
      <x:c r="AZ15" s="18"/>
      <x:c r="BA15" s="18"/>
      <x:c r="BB15" s="18"/>
      <x:c r="BC15" s="18"/>
      <x:c r="BD15" s="18"/>
      <x:c r="BE15" s="18"/>
    </x:row>
    <x:row r="16">
      <x:c r="A16" s="152" t="n">
        <x:f>IFERROR(SUM('Planejamento de Viagens'!$N$6:$N$205)/SUM('Planejamento de Viagens'!$J$6:$J$205),0)</x:f>
        <x:v>165.145625</x:v>
      </x:c>
      <x:c r="B16" s="153"/>
      <x:c r="C16" s="154"/>
      <x:c r="D16" s="172" t="str">
        <x:f>IFERROR(INDEX($AA$5:$AA$18,MATCH(MAX($AB$5:$AB$18),$AB$5:$AB$18,0)),"Sem gastos")</x:f>
        <x:v>Hospedagem</x:v>
      </x:c>
      <x:c r="E16" s="173"/>
      <x:c r="F16" s="174"/>
      <x:c r="G16" s="172" t="str">
        <x:f>IFERROR(INDEX($AK$5:$AK$16,MATCH(MAX($AL$5:$AL$16),$AL$5:$AL$16,0)),"Sem gastos")</x:f>
        <x:v>jun/2026</x:v>
      </x:c>
      <x:c r="H16" s="173"/>
      <x:c r="I16" s="174"/>
      <x:c r="J16" s="152" t="n">
        <x:f>MAX('Economia e Metas'!$H$6:$H$205)</x:f>
        <x:v>3110</x:v>
      </x:c>
      <x:c r="K16" s="153"/>
      <x:c r="L16" s="154"/>
      <x:c r="AA16" s="18" t="str">
        <x:v>Trabalho e estudo</x:v>
      </x:c>
      <x:c r="AB16" s="193" t="n">
        <x:f>SUMIFS('Histórico de Gastos'!$J$6:$J$205,'Histórico de Gastos'!$F$6:$F$205,$AA16)</x:f>
        <x:v>0</x:v>
      </x:c>
      <x:c r="AC16" s="18"/>
      <x:c r="AD16" s="18"/>
      <x:c r="AE16" s="18"/>
      <x:c r="AF16" s="18"/>
      <x:c r="AG16" s="18"/>
      <x:c r="AH16" s="18"/>
      <x:c r="AI16" s="18"/>
      <x:c r="AJ16" s="18"/>
      <x:c r="AK16" s="18" t="str">
        <x:v>dez/2026</x:v>
      </x:c>
      <x:c r="AL16" s="193" t="n">
        <x:f>SUMIFS('Histórico de Gastos'!$J$6:$J$205,'Histórico de Gastos'!$C$6:$C$205,"&gt;="&amp;$AM16,'Histórico de Gastos'!$C$6:$C$205,"&lt;"&amp;EDATE($AM16,1))</x:f>
        <x:v>0</x:v>
      </x:c>
      <x:c r="AM16" s="18" t="n">
        <x:v>46357</x:v>
      </x:c>
      <x:c r="AN16" s="18"/>
      <x:c r="AO16" s="18"/>
      <x:c r="AP16" s="18"/>
      <x:c r="AQ16" s="18" t="str">
        <x:v>Trabalho e estudo</x:v>
      </x:c>
      <x:c r="AR16" s="194" t="n">
        <x:f>IFERROR($AB16/SUM($AB$5:$AB$18),0)</x:f>
        <x:v>0</x:v>
      </x:c>
      <x:c r="AS16" s="18"/>
      <x:c r="AT16" s="18"/>
      <x:c r="AU16" s="18"/>
      <x:c r="AV16" s="18"/>
      <x:c r="AW16" s="18"/>
      <x:c r="AX16" s="18"/>
      <x:c r="AY16" s="18"/>
      <x:c r="AZ16" s="18"/>
      <x:c r="BA16" s="18"/>
      <x:c r="BB16" s="18"/>
      <x:c r="BC16" s="18"/>
      <x:c r="BD16" s="18"/>
      <x:c r="BE16" s="18"/>
    </x:row>
    <x:row r="17">
      <x:c r="A17" s="155"/>
      <x:c r="B17" s="156"/>
      <x:c r="C17" s="157"/>
      <x:c r="D17" s="175"/>
      <x:c r="E17" s="176"/>
      <x:c r="F17" s="177"/>
      <x:c r="G17" s="175"/>
      <x:c r="H17" s="176"/>
      <x:c r="I17" s="177"/>
      <x:c r="J17" s="155"/>
      <x:c r="K17" s="156"/>
      <x:c r="L17" s="157"/>
      <x:c r="AA17" s="18" t="str">
        <x:v>Pets, família e casa</x:v>
      </x:c>
      <x:c r="AB17" s="193" t="n">
        <x:f>SUMIFS('Histórico de Gastos'!$J$6:$J$205,'Histórico de Gastos'!$F$6:$F$205,$AA17)</x:f>
        <x:v>0</x:v>
      </x:c>
      <x:c r="AC17" s="18"/>
      <x:c r="AD17" s="18"/>
      <x:c r="AE17" s="18"/>
      <x:c r="AF17" s="18"/>
      <x:c r="AG17" s="18"/>
      <x:c r="AH17" s="18"/>
      <x:c r="AI17" s="18"/>
      <x:c r="AJ17" s="18"/>
      <x:c r="AK17" s="18"/>
      <x:c r="AL17" s="18"/>
      <x:c r="AM17" s="18"/>
      <x:c r="AN17" s="18"/>
      <x:c r="AO17" s="18"/>
      <x:c r="AP17" s="18"/>
      <x:c r="AQ17" s="18" t="str">
        <x:v>Pets, família e casa</x:v>
      </x:c>
      <x:c r="AR17" s="194" t="n">
        <x:f>IFERROR($AB17/SUM($AB$5:$AB$18),0)</x:f>
        <x:v>0</x:v>
      </x:c>
      <x:c r="AS17" s="18"/>
      <x:c r="AT17" s="18"/>
      <x:c r="AU17" s="18"/>
      <x:c r="AV17" s="18"/>
      <x:c r="AW17" s="18"/>
      <x:c r="AX17" s="18"/>
      <x:c r="AY17" s="18"/>
      <x:c r="AZ17" s="18"/>
      <x:c r="BA17" s="18"/>
      <x:c r="BB17" s="18"/>
      <x:c r="BC17" s="18"/>
      <x:c r="BD17" s="18"/>
      <x:c r="BE17" s="18"/>
    </x:row>
    <x:row r="18">
      <x:c r="AA18" s="18" t="str">
        <x:v>Imprevistos</x:v>
      </x:c>
      <x:c r="AB18" s="193" t="n">
        <x:f>SUMIFS('Histórico de Gastos'!$J$6:$J$205,'Histórico de Gastos'!$F$6:$F$205,$AA18)</x:f>
        <x:v>72</x:v>
      </x:c>
      <x:c r="AC18" s="18"/>
      <x:c r="AD18" s="18"/>
      <x:c r="AE18" s="18"/>
      <x:c r="AF18" s="18"/>
      <x:c r="AG18" s="18"/>
      <x:c r="AH18" s="18"/>
      <x:c r="AI18" s="18"/>
      <x:c r="AJ18" s="18"/>
      <x:c r="AK18" s="18"/>
      <x:c r="AL18" s="18"/>
      <x:c r="AM18" s="18"/>
      <x:c r="AN18" s="18"/>
      <x:c r="AO18" s="18"/>
      <x:c r="AP18" s="18"/>
      <x:c r="AQ18" s="18" t="str">
        <x:v>Imprevistos</x:v>
      </x:c>
      <x:c r="AR18" s="194" t="n">
        <x:f>IFERROR($AB18/SUM($AB$5:$AB$18),0)</x:f>
        <x:v>0.02724867824987795</x:v>
      </x:c>
      <x:c r="AS18" s="18"/>
      <x:c r="AT18" s="18"/>
      <x:c r="AU18" s="18"/>
      <x:c r="AV18" s="18"/>
      <x:c r="AW18" s="18"/>
      <x:c r="AX18" s="18"/>
      <x:c r="AY18" s="18"/>
      <x:c r="AZ18" s="18"/>
      <x:c r="BA18" s="18"/>
      <x:c r="BB18" s="18"/>
      <x:c r="BC18" s="18"/>
      <x:c r="BD18" s="18"/>
      <x:c r="BE18" s="18"/>
    </x:row>
    <x:row r="19">
      <x:c r="A19" s="124" t="str">
        <x:v>Percentual da meta atingida</x:v>
      </x:c>
      <x:c r="B19" s="125"/>
      <x:c r="C19" s="126"/>
      <x:c r="D19" s="169" t="str">
        <x:v>Viagens planejadas</x:v>
      </x:c>
      <x:c r="E19" s="170"/>
      <x:c r="F19" s="171"/>
      <x:c r="G19" s="124" t="str">
        <x:v>Viagens concluídas</x:v>
      </x:c>
      <x:c r="H19" s="125"/>
      <x:c r="I19" s="126"/>
    </x:row>
    <x:row r="20">
      <x:c r="A20" s="178" t="n">
        <x:f>IFERROR(SUM('Economia e Metas'!$E$6:$E$205)/SUM('Economia e Metas'!$D$6:$D$205),0)</x:f>
        <x:v>1.0438931297709924</x:v>
      </x:c>
      <x:c r="B20" s="179"/>
      <x:c r="C20" s="180"/>
      <x:c r="D20" s="184" t="n">
        <x:f>COUNTIF('Planejamento de Viagens'!$K$6:$K$205,"Planejada")</x:f>
        <x:v>2</x:v>
      </x:c>
      <x:c r="E20" s="185"/>
      <x:c r="F20" s="186"/>
      <x:c r="G20" s="184" t="n">
        <x:f>COUNTIF('Planejamento de Viagens'!$K$6:$K$205,"Concluída")</x:f>
        <x:v>1</x:v>
      </x:c>
      <x:c r="H20" s="185"/>
      <x:c r="I20" s="186"/>
    </x:row>
    <x:row r="21">
      <x:c r="A21" s="181"/>
      <x:c r="B21" s="182"/>
      <x:c r="C21" s="183"/>
      <x:c r="D21" s="187"/>
      <x:c r="E21" s="188"/>
      <x:c r="F21" s="189"/>
      <x:c r="G21" s="187"/>
      <x:c r="H21" s="188"/>
      <x:c r="I21" s="189"/>
    </x:row>
  </x:sheetData>
  <x:mergeCells>
    <x:mergeCell ref="A1:N1"/>
    <x:mergeCell ref="A2:N2"/>
    <x:mergeCell ref="A4:B4"/>
    <x:mergeCell ref="C4:D4"/>
    <x:mergeCell ref="E4:F4"/>
    <x:mergeCell ref="G4:H4"/>
    <x:mergeCell ref="I4:J4"/>
    <x:mergeCell ref="K4:L4"/>
    <x:mergeCell ref="M4:N4"/>
    <x:mergeCell ref="A5:B5"/>
    <x:mergeCell ref="C5:D5"/>
    <x:mergeCell ref="E5:F5"/>
    <x:mergeCell ref="G5:H5"/>
    <x:mergeCell ref="I5:J5"/>
    <x:mergeCell ref="K5:L5"/>
    <x:mergeCell ref="M5:N5"/>
    <x:mergeCell ref="A7:C7"/>
    <x:mergeCell ref="A8:C9"/>
    <x:mergeCell ref="D7:F7"/>
    <x:mergeCell ref="D8:F9"/>
    <x:mergeCell ref="G7:I7"/>
    <x:mergeCell ref="G8:I9"/>
    <x:mergeCell ref="J7:L7"/>
    <x:mergeCell ref="J8:L9"/>
    <x:mergeCell ref="A11:C11"/>
    <x:mergeCell ref="A12:C13"/>
    <x:mergeCell ref="D11:F11"/>
    <x:mergeCell ref="D12:F13"/>
    <x:mergeCell ref="G11:I11"/>
    <x:mergeCell ref="G12:I13"/>
    <x:mergeCell ref="J11:L11"/>
    <x:mergeCell ref="J12:L13"/>
    <x:mergeCell ref="A15:C15"/>
    <x:mergeCell ref="A16:C17"/>
    <x:mergeCell ref="D15:F15"/>
    <x:mergeCell ref="D16:F17"/>
    <x:mergeCell ref="G15:I15"/>
    <x:mergeCell ref="G16:I17"/>
    <x:mergeCell ref="J15:L15"/>
    <x:mergeCell ref="J16:L17"/>
    <x:mergeCell ref="A19:C19"/>
    <x:mergeCell ref="A20:C21"/>
    <x:mergeCell ref="D19:F19"/>
    <x:mergeCell ref="D20:F21"/>
    <x:mergeCell ref="G19:I19"/>
    <x:mergeCell ref="G20:I21"/>
    <x:mergeCell ref="M7:N7"/>
    <x:mergeCell ref="M8:N8"/>
    <x:mergeCell ref="M9:N9"/>
    <x:mergeCell ref="M10:N10"/>
    <x:mergeCell ref="M11:N11"/>
    <x:mergeCell ref="M12:N12"/>
    <x:mergeCell ref="M13:N13"/>
    <x:mergeCell ref="M14:N14"/>
    <x:mergeCell ref="M15:N15"/>
  </x:mergeCells>
  <x:dataValidations count="5">
    <x:dataValidation type="list" sqref="A5:B5">
      <x:formula1>"Todos,Pedro Américo Paletot,Camilly Queiroz"</x:formula1>
    </x:dataValidation>
    <x:dataValidation type="list" sqref="E5:F5">
      <x:formula1>"Todos,Planejada,Em andamento,Concluída,Cancelada,Adiada"</x:formula1>
    </x:dataValidation>
    <x:dataValidation type="list" sqref="G5:H5">
      <x:formula1>"Todos,João Pessoa,Cuiabá,Campina Grande,Recife,São Paulo,Brasília,Natal,Rio de Janeiro"</x:formula1>
    </x:dataValidation>
    <x:dataValidation type="list" sqref="I5:J5">
      <x:formula1>"Todos,João Pessoa,Cuiabá,Campina Grande,Recife,São Paulo,Brasília,Natal,Rio de Janeiro"</x:formula1>
    </x:dataValidation>
    <x:dataValidation type="list" sqref="M5:N5">
      <x:formula1>"Todos,Transporte principal,Transporte local,Hospedagem,Alimentação,Lazer e encontros,Casa e estadia,Comunicação e internet,Saúde e segurança,Documentos e taxas,Presentes e relacionamento,Beleza e autocuidado,Trabalho e estudo,Pets, família e casa,Imprevistos"</x:formula1>
    </x:dataValidation>
  </x:dataValidations>
  <x:pageMargins left="0.7" right="0.7" top="0.75" bottom="0.75" header="0.3" footer="0.3"/>
  <x:drawing xmlns:r="http://schemas.openxmlformats.org/officeDocument/2006/relationships" r:id="R07fe0e1f539c4ea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6.25" hidden="0" customWidth="1"/>
    <x:col min="3" max="3" width="18.75" hidden="0" customWidth="1"/>
    <x:col min="4" max="4" width="18.75" hidden="0" customWidth="1"/>
    <x:col min="5" max="5" width="26.25" hidden="0" customWidth="1"/>
    <x:col min="6" max="6" width="23.75" hidden="0" customWidth="1"/>
    <x:col min="7" max="7" width="3" hidden="0" customWidth="1"/>
    <x:col min="8" max="8" width="6.25" hidden="0" customWidth="1"/>
    <x:col min="9" max="9" width="35" hidden="0" customWidth="1"/>
    <x:col min="10" max="10" width="17.5" hidden="0" customWidth="1"/>
  </x:cols>
  <x:sheetData>
    <x:row r="1" ht="25.5" customHeight="1">
      <x:c r="A1" s="4" t="str">
        <x:v>Configurações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9" t="str">
        <x:v>Ajuste nomes, orçamentos, políticas de divisão e listas usadas no restante do arquivo.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>
      <x:c r="A4" s="25" t="str">
        <x:v>Identidade do casal</x:v>
      </x:c>
      <x:c r="B4" s="25" t="str"/>
      <x:c r="C4" s="25" t="str"/>
      <x:c r="D4" s="25" t="str"/>
      <x:c r="E4" s="25" t="str">
        <x:v>Referência rápida</x:v>
      </x:c>
      <x:c r="F4" s="25" t="str"/>
      <x:c r="H4" s="14" t="str">
        <x:v>Como usar</x:v>
      </x:c>
      <x:c r="I4" s="14" t="str"/>
      <x:c r="J4" s="14" t="str"/>
    </x:row>
    <x:row r="5">
      <x:c r="A5" s="21" t="str">
        <x:v>Nome da Pessoa 1</x:v>
      </x:c>
      <x:c r="B5" s="36" t="str">
        <x:v>Pedro Américo Paletot</x:v>
      </x:c>
      <x:c r="C5" s="21" t="str"/>
      <x:c r="D5" s="21" t="str"/>
      <x:c r="E5" s="21" t="str">
        <x:v>Células em azul</x:v>
      </x:c>
      <x:c r="F5" s="21" t="str">
        <x:v>Preenchimento manual</x:v>
      </x:c>
      <x:c r="H5" s="41" t="str">
        <x:v>1</x:v>
      </x:c>
      <x:c r="I5" s="41" t="str">
        <x:v>Atualize os orçamentos mensais e a política padrão de divisão antes de cadastrar novas viagens.</x:v>
      </x:c>
      <x:c r="J5" s="41"/>
    </x:row>
    <x:row r="6">
      <x:c r="A6" s="21" t="str">
        <x:v>Nome da Pessoa 2</x:v>
      </x:c>
      <x:c r="B6" s="36" t="str">
        <x:v>Camilly Queiroz</x:v>
      </x:c>
      <x:c r="C6" s="21" t="str"/>
      <x:c r="D6" s="21" t="str"/>
      <x:c r="E6" s="21" t="str">
        <x:v>Células em cinza</x:v>
      </x:c>
      <x:c r="F6" s="21" t="str">
        <x:v>Cálculo automático</x:v>
      </x:c>
      <x:c r="H6" s="41" t="str">
        <x:v>2</x:v>
      </x:c>
      <x:c r="I6" s="41" t="str">
        <x:v>As listas da Base de Categorias alimentam os menus suspensos. Edite lá quando quiser adicionar novas opções.</x:v>
      </x:c>
      <x:c r="J6" s="41"/>
    </x:row>
    <x:row r="7">
      <x:c r="A7" s="21" t="str">
        <x:v>Moeda padrão</x:v>
      </x:c>
      <x:c r="B7" s="36" t="str">
        <x:v>R$</x:v>
      </x:c>
      <x:c r="C7" s="21" t="str"/>
      <x:c r="D7" s="21" t="str"/>
      <x:c r="E7" s="21" t="str">
        <x:v>Senha sugerida para proteção</x:v>
      </x:c>
      <x:c r="F7" s="21" t="str">
        <x:v>1234</x:v>
      </x:c>
      <x:c r="H7" s="41" t="str">
        <x:v>3</x:v>
      </x:c>
      <x:c r="I7" s="41" t="str">
        <x:v>Valores de exemplo podem ser apagados com segurança depois que Pedro e Camilly começarem a usar a planilha.</x:v>
      </x:c>
      <x:c r="J7" s="41"/>
    </x:row>
    <x:row r="8">
      <x:c r="A8" s="21" t="str"/>
      <x:c r="B8" s="21" t="str"/>
      <x:c r="C8" s="21" t="str"/>
      <x:c r="D8" s="21" t="str"/>
      <x:c r="E8" s="21" t="str"/>
      <x:c r="F8" s="21" t="str"/>
      <x:c r="H8" s="41" t="str">
        <x:v>4</x:v>
      </x:c>
      <x:c r="I8" s="41" t="str">
        <x:v>O Dashboard, a Divisão e Acertos e o Comparativo atualizam a partir das tabelas de planejamento e histórico.</x:v>
      </x:c>
      <x:c r="J8" s="41"/>
    </x:row>
    <x:row r="9">
      <x:c r="A9" s="29" t="str">
        <x:v>Orçamentos e metas</x:v>
      </x:c>
      <x:c r="B9" s="29" t="str"/>
      <x:c r="C9" s="29" t="str"/>
      <x:c r="D9" s="29" t="str"/>
      <x:c r="E9" s="29" t="str">
        <x:v>Política padrão</x:v>
      </x:c>
      <x:c r="F9" s="29" t="str"/>
    </x:row>
    <x:row r="10">
      <x:c r="A10" s="21" t="str">
        <x:v>Orçamento mensal de Pedro</x:v>
      </x:c>
      <x:c r="B10" s="37" t="n">
        <x:v>2200</x:v>
      </x:c>
      <x:c r="C10" s="21" t="str"/>
      <x:c r="D10" s="21" t="str"/>
      <x:c r="E10" s="21" t="str">
        <x:v>Política padrão de divisão</x:v>
      </x:c>
      <x:c r="F10" s="36" t="str">
        <x:v>50/50</x:v>
      </x:c>
    </x:row>
    <x:row r="11">
      <x:c r="A11" s="21" t="str">
        <x:v>Orçamento mensal de Camilly</x:v>
      </x:c>
      <x:c r="B11" s="37" t="n">
        <x:v>1800</x:v>
      </x:c>
      <x:c r="C11" s="21" t="str"/>
      <x:c r="D11" s="21" t="str"/>
      <x:c r="E11" s="21" t="str">
        <x:v>Percentual padrão Pedro</x:v>
      </x:c>
      <x:c r="F11" s="36" t="n">
        <x:v>0.5</x:v>
      </x:c>
    </x:row>
    <x:row r="12">
      <x:c r="A12" s="21" t="str">
        <x:v>Orçamento mensal conjunto</x:v>
      </x:c>
      <x:c r="B12" s="37" t="n">
        <x:v>4000</x:v>
      </x:c>
      <x:c r="C12" s="21" t="str"/>
      <x:c r="D12" s="21" t="str"/>
      <x:c r="E12" s="21" t="str">
        <x:v>Percentual padrão Camilly</x:v>
      </x:c>
      <x:c r="F12" s="38" t="n">
        <x:v>0.5</x:v>
      </x:c>
    </x:row>
    <x:row r="13">
      <x:c r="A13" s="21" t="str">
        <x:v>Meta mensal conjunta</x:v>
      </x:c>
      <x:c r="B13" s="36" t="n">
        <x:v>900</x:v>
      </x:c>
      <x:c r="C13" s="21" t="str"/>
      <x:c r="D13" s="21" t="str"/>
      <x:c r="E13" s="21" t="str">
        <x:v>Reserva de emergência percentual</x:v>
      </x:c>
      <x:c r="F13" s="38" t="n">
        <x:v>0.12</x:v>
      </x:c>
    </x:row>
    <x:row r="14">
      <x:c r="A14" s="21" t="str"/>
      <x:c r="B14" s="21" t="str"/>
      <x:c r="C14" s="21" t="str"/>
      <x:c r="D14" s="21" t="str"/>
      <x:c r="E14" s="21" t="str"/>
      <x:c r="F14" s="21" t="str"/>
    </x:row>
    <x:row r="15">
      <x:c r="A15" s="33" t="str">
        <x:v>Cidades frequentes</x:v>
      </x:c>
      <x:c r="B15" s="33" t="str">
        <x:v>Formas de pagamento</x:v>
      </x:c>
      <x:c r="C15" s="33" t="str">
        <x:v>Status de viagem</x:v>
      </x:c>
      <x:c r="D15" s="33" t="str">
        <x:v>Status de tarefa</x:v>
      </x:c>
      <x:c r="E15" s="33" t="str">
        <x:v>Prioridades</x:v>
      </x:c>
      <x:c r="F15" s="33" t="str">
        <x:v>Tipos de custo</x:v>
      </x:c>
    </x:row>
    <x:row r="16">
      <x:c r="A16" s="19" t="str">
        <x:v>João Pessoa</x:v>
      </x:c>
      <x:c r="B16" s="19" t="str">
        <x:v>Pix</x:v>
      </x:c>
      <x:c r="C16" s="19" t="str">
        <x:v>Planejada</x:v>
      </x:c>
      <x:c r="D16" s="19" t="str">
        <x:v>Pendente</x:v>
      </x:c>
      <x:c r="E16" s="19" t="str">
        <x:v>Alta</x:v>
      </x:c>
      <x:c r="F16" s="19" t="str">
        <x:v>Fixo</x:v>
      </x:c>
    </x:row>
    <x:row r="17">
      <x:c r="A17" s="19" t="str">
        <x:v>Cuiabá</x:v>
      </x:c>
      <x:c r="B17" s="19" t="str">
        <x:v>Dinheiro</x:v>
      </x:c>
      <x:c r="C17" s="19" t="str">
        <x:v>Em andamento</x:v>
      </x:c>
      <x:c r="D17" s="19" t="str">
        <x:v>Em andamento</x:v>
      </x:c>
      <x:c r="E17" s="19" t="str">
        <x:v>Média</x:v>
      </x:c>
      <x:c r="F17" s="19" t="str">
        <x:v>Variável</x:v>
      </x:c>
    </x:row>
    <x:row r="18">
      <x:c r="A18" s="19" t="str">
        <x:v>Campina Grande</x:v>
      </x:c>
      <x:c r="B18" s="19" t="str">
        <x:v>Cartão de crédito</x:v>
      </x:c>
      <x:c r="C18" s="19" t="str">
        <x:v>Concluída</x:v>
      </x:c>
      <x:c r="D18" s="19" t="str">
        <x:v>Concluído</x:v>
      </x:c>
      <x:c r="E18" s="19" t="str">
        <x:v>Baixa</x:v>
      </x:c>
      <x:c r="F18" s="19" t="str">
        <x:v>Emergencial</x:v>
      </x:c>
    </x:row>
    <x:row r="19">
      <x:c r="A19" s="19" t="str">
        <x:v>Recife</x:v>
      </x:c>
      <x:c r="B19" s="19" t="str">
        <x:v>Cartão de débito</x:v>
      </x:c>
      <x:c r="C19" s="19" t="str">
        <x:v>Cancelada</x:v>
      </x:c>
      <x:c r="D19" s="19" t="str">
        <x:v>Atrasado</x:v>
      </x:c>
      <x:c r="E19" s="19"/>
      <x:c r="F19" s="19" t="str">
        <x:v>Opcional</x:v>
      </x:c>
    </x:row>
    <x:row r="20">
      <x:c r="A20" s="19" t="str">
        <x:v>São Paulo</x:v>
      </x:c>
      <x:c r="B20" s="19" t="str">
        <x:v>Transferência</x:v>
      </x:c>
      <x:c r="C20" s="19" t="str">
        <x:v>Adiada</x:v>
      </x:c>
      <x:c r="D20" s="19" t="str">
        <x:v>Cancelado</x:v>
      </x:c>
      <x:c r="E20" s="19"/>
      <x:c r="F20" s="19"/>
    </x:row>
    <x:row r="21">
      <x:c r="A21" s="19" t="str">
        <x:v>Brasília</x:v>
      </x:c>
      <x:c r="B21" s="19" t="str">
        <x:v>Boleto</x:v>
      </x:c>
      <x:c r="C21" s="19"/>
      <x:c r="D21" s="19"/>
      <x:c r="E21" s="19"/>
      <x:c r="F21" s="19"/>
    </x:row>
    <x:row r="22">
      <x:c r="A22" s="19" t="str">
        <x:v>Natal</x:v>
      </x:c>
      <x:c r="B22" s="19" t="str">
        <x:v>Carteira digital</x:v>
      </x:c>
      <x:c r="C22" s="19"/>
      <x:c r="D22" s="19"/>
      <x:c r="E22" s="19"/>
      <x:c r="F22" s="19"/>
    </x:row>
    <x:row r="23">
      <x:c r="A23" s="19" t="str">
        <x:v>Rio de Janeiro</x:v>
      </x:c>
      <x:c r="B23" s="19"/>
      <x:c r="C23" s="19"/>
      <x:c r="D23" s="19"/>
      <x:c r="E23" s="19"/>
      <x:c r="F23" s="19"/>
    </x:row>
    <x:row r="24">
      <x:c r="A24" s="19"/>
      <x:c r="B24" s="19"/>
      <x:c r="C24" s="19"/>
      <x:c r="D24" s="19"/>
      <x:c r="E24" s="19"/>
      <x:c r="F24" s="19"/>
    </x:row>
    <x:row r="25">
      <x:c r="A25" s="19"/>
      <x:c r="B25" s="19"/>
      <x:c r="C25" s="19"/>
      <x:c r="D25" s="19"/>
      <x:c r="E25" s="19"/>
      <x:c r="F25" s="19"/>
    </x:row>
    <x:row r="26">
      <x:c r="A26" s="19"/>
      <x:c r="B26" s="19"/>
      <x:c r="C26" s="19"/>
      <x:c r="D26" s="19"/>
      <x:c r="E26" s="19"/>
      <x:c r="F26" s="19"/>
    </x:row>
    <x:row r="27">
      <x:c r="A27" s="19"/>
      <x:c r="B27" s="19"/>
      <x:c r="C27" s="19"/>
      <x:c r="D27" s="19"/>
      <x:c r="E27" s="19"/>
      <x:c r="F27" s="19"/>
    </x:row>
  </x:sheetData>
  <x:mergeCells>
    <x:mergeCell ref="A1:J1"/>
    <x:mergeCell ref="A2:J2"/>
    <x:mergeCell ref="H4:J4"/>
    <x:mergeCell ref="I5:J5"/>
    <x:mergeCell ref="I6:J6"/>
    <x:mergeCell ref="I7:J7"/>
    <x:mergeCell ref="I8:J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6.25" hidden="0" customWidth="1"/>
    <x:col min="3" max="3" width="23.1299991607666" hidden="0" customWidth="1"/>
    <x:col min="4" max="4" width="23.1299991607666" hidden="0" customWidth="1"/>
    <x:col min="5" max="5" width="22.5" hidden="0" customWidth="1"/>
    <x:col min="6" max="6" width="17.5" hidden="0" customWidth="1"/>
    <x:col min="7" max="7" width="17.5" hidden="0" customWidth="1"/>
    <x:col min="8" max="8" width="13.130000114440918" hidden="0" customWidth="1"/>
    <x:col min="9" max="9" width="13.130000114440918" hidden="0" customWidth="1"/>
    <x:col min="10" max="10" width="11.25" hidden="0" customWidth="1"/>
    <x:col min="11" max="11" width="15" hidden="0" customWidth="1"/>
    <x:col min="12" max="12" width="32.5" hidden="0" customWidth="1"/>
    <x:col min="13" max="13" width="16.25" hidden="0" customWidth="1"/>
    <x:col min="14" max="14" width="16.25" hidden="0" customWidth="1"/>
    <x:col min="15" max="15" width="15" hidden="0" customWidth="1"/>
    <x:col min="16" max="16" width="18.75" hidden="0" customWidth="1"/>
    <x:col min="17" max="17" width="16.25" hidden="0" customWidth="1"/>
    <x:col min="18" max="18" width="16.25" hidden="0" customWidth="1"/>
    <x:col min="19" max="19" width="16.25" hidden="0" customWidth="1"/>
    <x:col min="20" max="20" width="23.75" hidden="0" customWidth="1"/>
    <x:col min="21" max="21" width="12.5" hidden="0" customWidth="1"/>
    <x:col min="22" max="22" width="16.25" hidden="0" customWidth="1"/>
    <x:col min="23" max="23" width="26.25" hidden="0" customWidth="1"/>
    <x:col min="24" max="24" width="26.25" hidden="0" customWidth="1"/>
    <x:col min="25" max="25" width="26.25" hidden="0" customWidth="1"/>
    <x:col min="26" max="26" width="16.25" hidden="0" customWidth="1"/>
    <x:col min="27" max="27" width="17.5" hidden="0" customWidth="1"/>
    <x:col min="28" max="28" width="28.75" hidden="0" customWidth="1"/>
    <x:col min="29" max="29" width="30" hidden="0" customWidth="1"/>
  </x:cols>
  <x:sheetData>
    <x:row r="1" ht="25.5" customHeight="1">
      <x:c r="A1" s="4" t="str">
        <x:v>Planejamento de Viagens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</x:row>
    <x:row r="2" ht="21" customHeight="1">
      <x:c r="A2" s="9" t="str">
        <x:v>Cadastro central de cada visita, com orçamento, realizado, divisão de pagamentos e alertas.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</x:row>
    <x:row r="3" ht="22.5" customHeight="1">
      <x:c r="A3" s="47" t="str">
        <x:v>Células em azul são preenchidas manualmente. Células em cinza são calculadas automaticamente.</x:v>
      </x:c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  <x:c r="AA3" s="48"/>
      <x:c r="AB3" s="48"/>
      <x:c r="AC3" s="49"/>
    </x:row>
    <x:row r="5">
      <x:c r="A5" s="29" t="str">
        <x:v>ID da viagem</x:v>
      </x:c>
      <x:c r="B5" s="29" t="str">
        <x:v>Nome da viagem</x:v>
      </x:c>
      <x:c r="C5" s="29" t="str">
        <x:v>Pessoa viajando</x:v>
      </x:c>
      <x:c r="D5" s="29" t="str">
        <x:v>Pessoa recebendo</x:v>
      </x:c>
      <x:c r="E5" s="29" t="str">
        <x:v>Sentido da viagem</x:v>
      </x:c>
      <x:c r="F5" s="29" t="str">
        <x:v>Cidade de origem</x:v>
      </x:c>
      <x:c r="G5" s="29" t="str">
        <x:v>Cidade de destino</x:v>
      </x:c>
      <x:c r="H5" s="29" t="str">
        <x:v>Data de ida</x:v>
      </x:c>
      <x:c r="I5" s="29" t="str">
        <x:v>Data de volta</x:v>
      </x:c>
      <x:c r="J5" s="29" t="str">
        <x:v>Dias juntos</x:v>
      </x:c>
      <x:c r="K5" s="29" t="str">
        <x:v>Status</x:v>
      </x:c>
      <x:c r="L5" s="29" t="str">
        <x:v>Objetivo da viagem</x:v>
      </x:c>
      <x:c r="M5" s="29" t="str">
        <x:v>Orçamento planejado</x:v>
      </x:c>
      <x:c r="N5" s="29" t="str">
        <x:v>Gasto realizado</x:v>
      </x:c>
      <x:c r="O5" s="29" t="str">
        <x:v>Diferença</x:v>
      </x:c>
      <x:c r="P5" s="29" t="str">
        <x:v>Percentual usado do orçamento</x:v>
      </x:c>
      <x:c r="Q5" s="29" t="str">
        <x:v>Total pago por Pedro</x:v>
      </x:c>
      <x:c r="R5" s="29" t="str">
        <x:v>Total pago por Camilly</x:v>
      </x:c>
      <x:c r="S5" s="29" t="str">
        <x:v>Valor a compensar</x:v>
      </x:c>
      <x:c r="T5" s="29" t="str">
        <x:v>Quem deve para quem</x:v>
      </x:c>
      <x:c r="U5" s="29" t="str">
        <x:v>Prioridade</x:v>
      </x:c>
      <x:c r="V5" s="29" t="str">
        <x:v>Checklist completo?</x:v>
      </x:c>
      <x:c r="W5" s="29" t="str">
        <x:v>Link de passagens</x:v>
      </x:c>
      <x:c r="X5" s="29" t="str">
        <x:v>Link de hospedagem</x:v>
      </x:c>
      <x:c r="Y5" s="29" t="str">
        <x:v>Link de roteiro</x:v>
      </x:c>
      <x:c r="Z5" s="29" t="str">
        <x:v>Data limite para comprar passagem</x:v>
      </x:c>
      <x:c r="AA5" s="29" t="str">
        <x:v>Data limite para reservar hospedagem</x:v>
      </x:c>
      <x:c r="AB5" s="29" t="str">
        <x:v>Alerta automático</x:v>
      </x:c>
      <x:c r="AC5" s="29" t="str">
        <x:v>Observações</x:v>
      </x:c>
    </x:row>
    <x:row r="6">
      <x:c r="A6" s="36" t="str">
        <x:v>V001</x:v>
      </x:c>
      <x:c r="B6" s="36" t="str">
        <x:v>Camilly em João Pessoa</x:v>
      </x:c>
      <x:c r="C6" s="36" t="str">
        <x:v>Camilly Queiroz</x:v>
      </x:c>
      <x:c r="D6" s="36" t="str">
        <x:v>Pedro Américo Paletot</x:v>
      </x:c>
      <x:c r="E6" s="36" t="str">
        <x:v>Camilly visita Pedro</x:v>
      </x:c>
      <x:c r="F6" s="36" t="str">
        <x:v>Cuiabá</x:v>
      </x:c>
      <x:c r="G6" s="36" t="str">
        <x:v>João Pessoa</x:v>
      </x:c>
      <x:c r="H6" s="59" t="n">
        <x:v>46215</x:v>
      </x:c>
      <x:c r="I6" s="59" t="n">
        <x:v>46221</x:v>
      </x:c>
      <x:c r="J6" s="61" t="n">
        <x:f>IF(OR($H6="",$I6=""),"",MAX($I6-$H6+1,1))</x:f>
        <x:v>7</x:v>
      </x:c>
      <x:c r="K6" s="36" t="str">
        <x:v>Planejada</x:v>
      </x:c>
      <x:c r="L6" s="36" t="str">
        <x:v>Semana juntos com roteiro leve e visita à família.</x:v>
      </x:c>
      <x:c r="M6" s="63" t="n">
        <x:f>IF($A6="","",SUMIFS('Custos Planejados - Pedro'!$G$6:$G$205,'Custos Planejados - Pedro'!$A$6:$A$205,$A6)+SUMIFS('Custos Planejados - Camilly'!$G$6:$G$205,'Custos Planejados - Camilly'!$A$6:$A$205,$A6))</x:f>
        <x:v>2265</x:v>
      </x:c>
      <x:c r="N6" s="63" t="n">
        <x:f>IF($A6="","",SUMIFS('Histórico de Gastos'!$J$6:$J$205,'Histórico de Gastos'!$B$6:$B$205,$A6))</x:f>
        <x:v>528</x:v>
      </x:c>
      <x:c r="O6" s="63" t="n">
        <x:f>IF($A6="","",$M6-$N6)</x:f>
        <x:v>1737</x:v>
      </x:c>
      <x:c r="P6" s="65" t="n">
        <x:f>IF($A6="","",IFERROR($N6/$M6,0))</x:f>
        <x:v>0.23311258278145697</x:v>
      </x:c>
      <x:c r="Q6" s="63" t="n">
        <x:f>IF($A6="","",SUMIFS('Histórico de Gastos'!$W$6:$W$205,'Histórico de Gastos'!$B$6:$B$205,$A6))</x:f>
        <x:v>88</x:v>
      </x:c>
      <x:c r="R6" s="63" t="n">
        <x:f>IF($A6="","",SUMIFS('Histórico de Gastos'!$X$6:$X$205,'Histórico de Gastos'!$B$6:$B$205,$A6))</x:f>
        <x:v>440</x:v>
      </x:c>
      <x:c r="S6" s="63" t="n">
        <x:f>IF($A6="","",ABS($Q6-SUMIFS('Histórico de Gastos'!$U$6:$U$205,'Histórico de Gastos'!$B$6:$B$205,$A6)))</x:f>
        <x:v>0</x:v>
      </x:c>
      <x:c r="T6" s="67" t="str">
        <x:f>IF($A6="","",IF(ABS($Q6-SUMIFS('Histórico de Gastos'!$U$6:$U$205,'Histórico de Gastos'!$B$6:$B$205,$A6))&lt;0.01,"Tudo certo",IF($Q6&gt;SUMIFS('Histórico de Gastos'!$U$6:$U$205,'Histórico de Gastos'!$B$6:$B$205,$A6),"Camilly deve para Pedro","Pedro deve para Camilly")))</x:f>
        <x:v>Tudo certo</x:v>
      </x:c>
      <x:c r="U6" s="36" t="str">
        <x:v>Alta</x:v>
      </x:c>
      <x:c r="V6" s="67" t="str">
        <x:f>IF($A6="","",IF(COUNTIFS('Checklist de Viagem'!$A$6:$A$205,$A6)=0,"Não",IF(COUNTIFS('Checklist de Viagem'!$A$6:$A$205,$A6,'Checklist de Viagem'!$H$6:$H$205,"Não")=0,"Sim","Não")))</x:f>
        <x:v>Não</x:v>
      </x:c>
      <x:c r="W6" s="36" t="str">
        <x:v>https://exemplo.com/passagem-v001</x:v>
      </x:c>
      <x:c r="X6" s="36" t="str"/>
      <x:c r="Y6" s="36" t="str">
        <x:v>https://exemplo.com/roteiro-v001</x:v>
      </x:c>
      <x:c r="Z6" s="59" t="n">
        <x:v>46193</x:v>
      </x:c>
      <x:c r="AA6" s="59" t="n">
        <x:v>46198</x:v>
      </x:c>
      <x:c r="AB6" s="67" t="str">
        <x:f>IF($A6="","",IF($P6&gt;1,"Viagem acima do orçamento",IF(AND($K6&lt;&gt;"Concluída",$V6&lt;&gt;"Sim",$H6-TODAY()&lt;=15),"Viagem próxima sem checklist completo",IF($W6="","Passagem ainda não comprada",IF($X6="","Falta reservar hospedagem",IF($S6&gt;0,"Existe valor pendente de compensação","Tudo certo"))))))</x:f>
        <x:v>Falta reservar hospedagem</x:v>
      </x:c>
      <x:c r="AC6" s="36" t="str">
        <x:v>Dados fictícios para demonstração.</x:v>
      </x:c>
    </x:row>
    <x:row r="7">
      <x:c r="A7" s="36" t="str">
        <x:v>V002</x:v>
      </x:c>
      <x:c r="B7" s="36" t="str">
        <x:v>Pedro visitando Camilly</x:v>
      </x:c>
      <x:c r="C7" s="36" t="str">
        <x:v>Pedro Américo Paletot</x:v>
      </x:c>
      <x:c r="D7" s="36" t="str">
        <x:v>Camilly Queiroz</x:v>
      </x:c>
      <x:c r="E7" s="36" t="str">
        <x:v>Pedro visita Camilly</x:v>
      </x:c>
      <x:c r="F7" s="36" t="str">
        <x:v>João Pessoa</x:v>
      </x:c>
      <x:c r="G7" s="36" t="str">
        <x:v>Cuiabá</x:v>
      </x:c>
      <x:c r="H7" s="59" t="n">
        <x:v>46256</x:v>
      </x:c>
      <x:c r="I7" s="59" t="n">
        <x:v>46261</x:v>
      </x:c>
      <x:c r="J7" s="61" t="n">
        <x:f>IF(OR($H7="",$I7=""),"",MAX($I7-$H7+1,1))</x:f>
        <x:v>6</x:v>
      </x:c>
      <x:c r="K7" s="36" t="str">
        <x:v>Planejada</x:v>
      </x:c>
      <x:c r="L7" s="36" t="str">
        <x:v>Visita com foco em descanso e restaurantes especiais.</x:v>
      </x:c>
      <x:c r="M7" s="63" t="n">
        <x:f>IF($A7="","",SUMIFS('Custos Planejados - Pedro'!$G$6:$G$205,'Custos Planejados - Pedro'!$A$6:$A$205,$A7)+SUMIFS('Custos Planejados - Camilly'!$G$6:$G$205,'Custos Planejados - Camilly'!$A$6:$A$205,$A7))</x:f>
        <x:v>2935</x:v>
      </x:c>
      <x:c r="N7" s="63" t="n">
        <x:f>IF($A7="","",SUMIFS('Histórico de Gastos'!$J$6:$J$205,'Histórico de Gastos'!$B$6:$B$205,$A7))</x:f>
        <x:v>823.3299999999999</x:v>
      </x:c>
      <x:c r="O7" s="63" t="n">
        <x:f>IF($A7="","",$M7-$N7)</x:f>
        <x:v>2111.67</x:v>
      </x:c>
      <x:c r="P7" s="65" t="n">
        <x:f>IF($A7="","",IFERROR($N7/$M7,0))</x:f>
        <x:v>0.2805212947189097</x:v>
      </x:c>
      <x:c r="Q7" s="63" t="n">
        <x:f>IF($A7="","",SUMIFS('Histórico de Gastos'!$W$6:$W$205,'Histórico de Gastos'!$B$6:$B$205,$A7))</x:f>
        <x:v>393.33</x:v>
      </x:c>
      <x:c r="R7" s="63" t="n">
        <x:f>IF($A7="","",SUMIFS('Histórico de Gastos'!$X$6:$X$205,'Histórico de Gastos'!$B$6:$B$205,$A7))</x:f>
        <x:v>430</x:v>
      </x:c>
      <x:c r="S7" s="63" t="n">
        <x:f>IF($A7="","",ABS($Q7-SUMIFS('Histórico de Gastos'!$U$6:$U$205,'Histórico de Gastos'!$B$6:$B$205,$A7)))</x:f>
        <x:v>214.99999999999994</x:v>
      </x:c>
      <x:c r="T7" s="67" t="str">
        <x:f>IF($A7="","",IF(ABS($Q7-SUMIFS('Histórico de Gastos'!$U$6:$U$205,'Histórico de Gastos'!$B$6:$B$205,$A7))&lt;0.01,"Tudo certo",IF($Q7&gt;SUMIFS('Histórico de Gastos'!$U$6:$U$205,'Histórico de Gastos'!$B$6:$B$205,$A7),"Camilly deve para Pedro","Pedro deve para Camilly")))</x:f>
        <x:v>Pedro deve para Camilly</x:v>
      </x:c>
      <x:c r="U7" s="36" t="str">
        <x:v>Média</x:v>
      </x:c>
      <x:c r="V7" s="67" t="str">
        <x:f>IF($A7="","",IF(COUNTIFS('Checklist de Viagem'!$A$6:$A$205,$A7)=0,"Não",IF(COUNTIFS('Checklist de Viagem'!$A$6:$A$205,$A7,'Checklist de Viagem'!$H$6:$H$205,"Não")=0,"Sim","Não")))</x:f>
        <x:v>Não</x:v>
      </x:c>
      <x:c r="W7" s="36" t="str"/>
      <x:c r="X7" s="36" t="str">
        <x:v>https://exemplo.com/hospedagem-v002</x:v>
      </x:c>
      <x:c r="Y7" s="36" t="str"/>
      <x:c r="Z7" s="59" t="n">
        <x:v>46217</x:v>
      </x:c>
      <x:c r="AA7" s="59" t="n">
        <x:v>46225</x:v>
      </x:c>
      <x:c r="AB7" s="67" t="str">
        <x:f>IF($A7="","",IF($P7&gt;1,"Viagem acima do orçamento",IF(AND($K7&lt;&gt;"Concluída",$V7&lt;&gt;"Sim",$H7-TODAY()&lt;=15),"Viagem próxima sem checklist completo",IF($W7="","Passagem ainda não comprada",IF($X7="","Falta reservar hospedagem",IF($S7&gt;0,"Existe valor pendente de compensação","Tudo certo"))))))</x:f>
        <x:v>Passagem ainda não comprada</x:v>
      </x:c>
      <x:c r="AC7" s="36" t="str">
        <x:v>Substitua pelos dados reais quando quiser.</x:v>
      </x:c>
    </x:row>
    <x:row r="8">
      <x:c r="A8" s="36" t="str">
        <x:v>V003</x:v>
      </x:c>
      <x:c r="B8" s="36" t="str">
        <x:v>Fim de semana juntos</x:v>
      </x:c>
      <x:c r="C8" s="36" t="str">
        <x:v>Pedro Américo Paletot</x:v>
      </x:c>
      <x:c r="D8" s="36" t="str">
        <x:v>Camilly Queiroz</x:v>
      </x:c>
      <x:c r="E8" s="36" t="str">
        <x:v>Encontro em cidade neutra</x:v>
      </x:c>
      <x:c r="F8" s="36" t="str">
        <x:v>João Pessoa</x:v>
      </x:c>
      <x:c r="G8" s="36" t="str">
        <x:v>Recife</x:v>
      </x:c>
      <x:c r="H8" s="59" t="n">
        <x:v>46158</x:v>
      </x:c>
      <x:c r="I8" s="59" t="n">
        <x:v>46160</x:v>
      </x:c>
      <x:c r="J8" s="61" t="n">
        <x:f>IF(OR($H8="",$I8=""),"",MAX($I8-$H8+1,1))</x:f>
        <x:v>3</x:v>
      </x:c>
      <x:c r="K8" s="36" t="str">
        <x:v>Concluída</x:v>
      </x:c>
      <x:c r="L8" s="36" t="str">
        <x:v>Fim de semana curto para matar a saudade.</x:v>
      </x:c>
      <x:c r="M8" s="63" t="n">
        <x:f>IF($A8="","",SUMIFS('Custos Planejados - Pedro'!$G$6:$G$205,'Custos Planejados - Pedro'!$A$6:$A$205,$A8)+SUMIFS('Custos Planejados - Camilly'!$G$6:$G$205,'Custos Planejados - Camilly'!$A$6:$A$205,$A8))</x:f>
        <x:v>1140</x:v>
      </x:c>
      <x:c r="N8" s="63" t="n">
        <x:f>IF($A8="","",SUMIFS('Histórico de Gastos'!$J$6:$J$205,'Histórico de Gastos'!$B$6:$B$205,$A8))</x:f>
        <x:v>1291</x:v>
      </x:c>
      <x:c r="O8" s="63" t="n">
        <x:f>IF($A8="","",$M8-$N8)</x:f>
        <x:v>-151</x:v>
      </x:c>
      <x:c r="P8" s="65" t="n">
        <x:f>IF($A8="","",IFERROR($N8/$M8,0))</x:f>
        <x:v>1.1324561403508773</x:v>
      </x:c>
      <x:c r="Q8" s="63" t="n">
        <x:f>IF($A8="","",SUMIFS('Histórico de Gastos'!$W$6:$W$205,'Histórico de Gastos'!$B$6:$B$205,$A8))</x:f>
        <x:v>467</x:v>
      </x:c>
      <x:c r="R8" s="63" t="n">
        <x:f>IF($A8="","",SUMIFS('Histórico de Gastos'!$X$6:$X$205,'Histórico de Gastos'!$B$6:$B$205,$A8))</x:f>
        <x:v>824</x:v>
      </x:c>
      <x:c r="S8" s="63" t="n">
        <x:f>IF($A8="","",ABS($Q8-SUMIFS('Histórico de Gastos'!$U$6:$U$205,'Histórico de Gastos'!$B$6:$B$205,$A8)))</x:f>
        <x:v>295</x:v>
      </x:c>
      <x:c r="T8" s="67" t="str">
        <x:f>IF($A8="","",IF(ABS($Q8-SUMIFS('Histórico de Gastos'!$U$6:$U$205,'Histórico de Gastos'!$B$6:$B$205,$A8))&lt;0.01,"Tudo certo",IF($Q8&gt;SUMIFS('Histórico de Gastos'!$U$6:$U$205,'Histórico de Gastos'!$B$6:$B$205,$A8),"Camilly deve para Pedro","Pedro deve para Camilly")))</x:f>
        <x:v>Pedro deve para Camilly</x:v>
      </x:c>
      <x:c r="U8" s="36" t="str">
        <x:v>Baixa</x:v>
      </x:c>
      <x:c r="V8" s="67" t="str">
        <x:f>IF($A8="","",IF(COUNTIFS('Checklist de Viagem'!$A$6:$A$205,$A8)=0,"Não",IF(COUNTIFS('Checklist de Viagem'!$A$6:$A$205,$A8,'Checklist de Viagem'!$H$6:$H$205,"Não")=0,"Sim","Não")))</x:f>
        <x:v>Sim</x:v>
      </x:c>
      <x:c r="W8" s="36" t="str">
        <x:v>https://exemplo.com/passagem-v003</x:v>
      </x:c>
      <x:c r="X8" s="36" t="str">
        <x:v>https://exemplo.com/hotel-v003</x:v>
      </x:c>
      <x:c r="Y8" s="36" t="str">
        <x:v>https://exemplo.com/roteiro-v003</x:v>
      </x:c>
      <x:c r="Z8" s="59" t="n">
        <x:v>46132</x:v>
      </x:c>
      <x:c r="AA8" s="59" t="n">
        <x:v>46137</x:v>
      </x:c>
      <x:c r="AB8" s="67" t="str">
        <x:f>IF($A8="","",IF($P8&gt;1,"Viagem acima do orçamento",IF(AND($K8&lt;&gt;"Concluída",$V8&lt;&gt;"Sim",$H8-TODAY()&lt;=15),"Viagem próxima sem checklist completo",IF($W8="","Passagem ainda não comprada",IF($X8="","Falta reservar hospedagem",IF($S8&gt;0,"Existe valor pendente de compensação","Tudo certo"))))))</x:f>
        <x:v>Viagem acima do orçamento</x:v>
      </x:c>
      <x:c r="AC8" s="36" t="str">
        <x:v>Viagem concluída com gastos reais de exemplo.</x:v>
      </x:c>
    </x:row>
    <x:row r="9">
      <x:c r="A9" s="36"/>
      <x:c r="B9" s="36"/>
      <x:c r="C9" s="36"/>
      <x:c r="D9" s="36"/>
      <x:c r="E9" s="36"/>
      <x:c r="F9" s="36"/>
      <x:c r="G9" s="36"/>
      <x:c r="H9" s="59"/>
      <x:c r="I9" s="59"/>
      <x:c r="J9" s="61" t="str">
        <x:f>IF(OR($H9="",$I9=""),"",MAX($I9-$H9+1,1))</x:f>
      </x:c>
      <x:c r="K9" s="36"/>
      <x:c r="L9" s="36"/>
      <x:c r="M9" s="63" t="str">
        <x:f>IF($A9="","",SUMIFS('Custos Planejados - Pedro'!$G$6:$G$205,'Custos Planejados - Pedro'!$A$6:$A$205,$A9)+SUMIFS('Custos Planejados - Camilly'!$G$6:$G$205,'Custos Planejados - Camilly'!$A$6:$A$205,$A9))</x:f>
      </x:c>
      <x:c r="N9" s="63" t="str">
        <x:f>IF($A9="","",SUMIFS('Histórico de Gastos'!$J$6:$J$205,'Histórico de Gastos'!$B$6:$B$205,$A9))</x:f>
      </x:c>
      <x:c r="O9" s="63" t="str">
        <x:f>IF($A9="","",$M9-$N9)</x:f>
      </x:c>
      <x:c r="P9" s="65" t="str">
        <x:f>IF($A9="","",IFERROR($N9/$M9,0))</x:f>
      </x:c>
      <x:c r="Q9" s="63" t="str">
        <x:f>IF($A9="","",SUMIFS('Histórico de Gastos'!$W$6:$W$205,'Histórico de Gastos'!$B$6:$B$205,$A9))</x:f>
      </x:c>
      <x:c r="R9" s="63" t="str">
        <x:f>IF($A9="","",SUMIFS('Histórico de Gastos'!$X$6:$X$205,'Histórico de Gastos'!$B$6:$B$205,$A9))</x:f>
      </x:c>
      <x:c r="S9" s="63" t="str">
        <x:f>IF($A9="","",ABS($Q9-SUMIFS('Histórico de Gastos'!$U$6:$U$205,'Histórico de Gastos'!$B$6:$B$205,$A9)))</x:f>
      </x:c>
      <x:c r="T9" s="67" t="str">
        <x:f>IF($A9="","",IF(ABS($Q9-SUMIFS('Histórico de Gastos'!$U$6:$U$205,'Histórico de Gastos'!$B$6:$B$205,$A9))&lt;0.01,"Tudo certo",IF($Q9&gt;SUMIFS('Histórico de Gastos'!$U$6:$U$205,'Histórico de Gastos'!$B$6:$B$205,$A9),"Camilly deve para Pedro","Pedro deve para Camilly")))</x:f>
      </x:c>
      <x:c r="U9" s="36"/>
      <x:c r="V9" s="67" t="str">
        <x:f>IF($A9="","",IF(COUNTIFS('Checklist de Viagem'!$A$6:$A$205,$A9)=0,"Não",IF(COUNTIFS('Checklist de Viagem'!$A$6:$A$205,$A9,'Checklist de Viagem'!$H$6:$H$205,"Não")=0,"Sim","Não")))</x:f>
      </x:c>
      <x:c r="W9" s="36"/>
      <x:c r="X9" s="36"/>
      <x:c r="Y9" s="36"/>
      <x:c r="Z9" s="59"/>
      <x:c r="AA9" s="59"/>
      <x:c r="AB9" s="67" t="str">
        <x:f>IF($A9="","",IF($P9&gt;1,"Viagem acima do orçamento",IF(AND($K9&lt;&gt;"Concluída",$V9&lt;&gt;"Sim",$H9-TODAY()&lt;=15),"Viagem próxima sem checklist completo",IF($W9="","Passagem ainda não comprada",IF($X9="","Falta reservar hospedagem",IF($S9&gt;0,"Existe valor pendente de compensação","Tudo certo"))))))</x:f>
      </x:c>
      <x:c r="AC9" s="36"/>
    </x:row>
    <x:row r="10">
      <x:c r="A10" s="36"/>
      <x:c r="B10" s="36"/>
      <x:c r="C10" s="36"/>
      <x:c r="D10" s="36"/>
      <x:c r="E10" s="36"/>
      <x:c r="F10" s="36"/>
      <x:c r="G10" s="36"/>
      <x:c r="H10" s="59"/>
      <x:c r="I10" s="59"/>
      <x:c r="J10" s="61" t="str">
        <x:f>IF(OR($H10="",$I10=""),"",MAX($I10-$H10+1,1))</x:f>
      </x:c>
      <x:c r="K10" s="36"/>
      <x:c r="L10" s="36"/>
      <x:c r="M10" s="63" t="str">
        <x:f>IF($A10="","",SUMIFS('Custos Planejados - Pedro'!$G$6:$G$205,'Custos Planejados - Pedro'!$A$6:$A$205,$A10)+SUMIFS('Custos Planejados - Camilly'!$G$6:$G$205,'Custos Planejados - Camilly'!$A$6:$A$205,$A10))</x:f>
      </x:c>
      <x:c r="N10" s="63" t="str">
        <x:f>IF($A10="","",SUMIFS('Histórico de Gastos'!$J$6:$J$205,'Histórico de Gastos'!$B$6:$B$205,$A10))</x:f>
      </x:c>
      <x:c r="O10" s="63" t="str">
        <x:f>IF($A10="","",$M10-$N10)</x:f>
      </x:c>
      <x:c r="P10" s="65" t="str">
        <x:f>IF($A10="","",IFERROR($N10/$M10,0))</x:f>
      </x:c>
      <x:c r="Q10" s="63" t="str">
        <x:f>IF($A10="","",SUMIFS('Histórico de Gastos'!$W$6:$W$205,'Histórico de Gastos'!$B$6:$B$205,$A10))</x:f>
      </x:c>
      <x:c r="R10" s="63" t="str">
        <x:f>IF($A10="","",SUMIFS('Histórico de Gastos'!$X$6:$X$205,'Histórico de Gastos'!$B$6:$B$205,$A10))</x:f>
      </x:c>
      <x:c r="S10" s="63" t="str">
        <x:f>IF($A10="","",ABS($Q10-SUMIFS('Histórico de Gastos'!$U$6:$U$205,'Histórico de Gastos'!$B$6:$B$205,$A10)))</x:f>
      </x:c>
      <x:c r="T10" s="67" t="str">
        <x:f>IF($A10="","",IF(ABS($Q10-SUMIFS('Histórico de Gastos'!$U$6:$U$205,'Histórico de Gastos'!$B$6:$B$205,$A10))&lt;0.01,"Tudo certo",IF($Q10&gt;SUMIFS('Histórico de Gastos'!$U$6:$U$205,'Histórico de Gastos'!$B$6:$B$205,$A10),"Camilly deve para Pedro","Pedro deve para Camilly")))</x:f>
      </x:c>
      <x:c r="U10" s="36"/>
      <x:c r="V10" s="67" t="str">
        <x:f>IF($A10="","",IF(COUNTIFS('Checklist de Viagem'!$A$6:$A$205,$A10)=0,"Não",IF(COUNTIFS('Checklist de Viagem'!$A$6:$A$205,$A10,'Checklist de Viagem'!$H$6:$H$205,"Não")=0,"Sim","Não")))</x:f>
      </x:c>
      <x:c r="W10" s="36"/>
      <x:c r="X10" s="36"/>
      <x:c r="Y10" s="36"/>
      <x:c r="Z10" s="59"/>
      <x:c r="AA10" s="59"/>
      <x:c r="AB10" s="67" t="str">
        <x:f>IF($A10="","",IF($P10&gt;1,"Viagem acima do orçamento",IF(AND($K10&lt;&gt;"Concluída",$V10&lt;&gt;"Sim",$H10-TODAY()&lt;=15),"Viagem próxima sem checklist completo",IF($W10="","Passagem ainda não comprada",IF($X10="","Falta reservar hospedagem",IF($S10&gt;0,"Existe valor pendente de compensação","Tudo certo"))))))</x:f>
      </x:c>
      <x:c r="AC10" s="36"/>
    </x:row>
    <x:row r="11">
      <x:c r="A11" s="36"/>
      <x:c r="B11" s="36"/>
      <x:c r="C11" s="36"/>
      <x:c r="D11" s="36"/>
      <x:c r="E11" s="36"/>
      <x:c r="F11" s="36"/>
      <x:c r="G11" s="36"/>
      <x:c r="H11" s="59"/>
      <x:c r="I11" s="59"/>
      <x:c r="J11" s="61" t="str">
        <x:f>IF(OR($H11="",$I11=""),"",MAX($I11-$H11+1,1))</x:f>
      </x:c>
      <x:c r="K11" s="36"/>
      <x:c r="L11" s="36"/>
      <x:c r="M11" s="63" t="str">
        <x:f>IF($A11="","",SUMIFS('Custos Planejados - Pedro'!$G$6:$G$205,'Custos Planejados - Pedro'!$A$6:$A$205,$A11)+SUMIFS('Custos Planejados - Camilly'!$G$6:$G$205,'Custos Planejados - Camilly'!$A$6:$A$205,$A11))</x:f>
      </x:c>
      <x:c r="N11" s="63" t="str">
        <x:f>IF($A11="","",SUMIFS('Histórico de Gastos'!$J$6:$J$205,'Histórico de Gastos'!$B$6:$B$205,$A11))</x:f>
      </x:c>
      <x:c r="O11" s="63" t="str">
        <x:f>IF($A11="","",$M11-$N11)</x:f>
      </x:c>
      <x:c r="P11" s="65" t="str">
        <x:f>IF($A11="","",IFERROR($N11/$M11,0))</x:f>
      </x:c>
      <x:c r="Q11" s="63" t="str">
        <x:f>IF($A11="","",SUMIFS('Histórico de Gastos'!$W$6:$W$205,'Histórico de Gastos'!$B$6:$B$205,$A11))</x:f>
      </x:c>
      <x:c r="R11" s="63" t="str">
        <x:f>IF($A11="","",SUMIFS('Histórico de Gastos'!$X$6:$X$205,'Histórico de Gastos'!$B$6:$B$205,$A11))</x:f>
      </x:c>
      <x:c r="S11" s="63" t="str">
        <x:f>IF($A11="","",ABS($Q11-SUMIFS('Histórico de Gastos'!$U$6:$U$205,'Histórico de Gastos'!$B$6:$B$205,$A11)))</x:f>
      </x:c>
      <x:c r="T11" s="67" t="str">
        <x:f>IF($A11="","",IF(ABS($Q11-SUMIFS('Histórico de Gastos'!$U$6:$U$205,'Histórico de Gastos'!$B$6:$B$205,$A11))&lt;0.01,"Tudo certo",IF($Q11&gt;SUMIFS('Histórico de Gastos'!$U$6:$U$205,'Histórico de Gastos'!$B$6:$B$205,$A11),"Camilly deve para Pedro","Pedro deve para Camilly")))</x:f>
      </x:c>
      <x:c r="U11" s="36"/>
      <x:c r="V11" s="67" t="str">
        <x:f>IF($A11="","",IF(COUNTIFS('Checklist de Viagem'!$A$6:$A$205,$A11)=0,"Não",IF(COUNTIFS('Checklist de Viagem'!$A$6:$A$205,$A11,'Checklist de Viagem'!$H$6:$H$205,"Não")=0,"Sim","Não")))</x:f>
      </x:c>
      <x:c r="W11" s="36"/>
      <x:c r="X11" s="36"/>
      <x:c r="Y11" s="36"/>
      <x:c r="Z11" s="59"/>
      <x:c r="AA11" s="59"/>
      <x:c r="AB11" s="67" t="str">
        <x:f>IF($A11="","",IF($P11&gt;1,"Viagem acima do orçamento",IF(AND($K11&lt;&gt;"Concluída",$V11&lt;&gt;"Sim",$H11-TODAY()&lt;=15),"Viagem próxima sem checklist completo",IF($W11="","Passagem ainda não comprada",IF($X11="","Falta reservar hospedagem",IF($S11&gt;0,"Existe valor pendente de compensação","Tudo certo"))))))</x:f>
      </x:c>
      <x:c r="AC11" s="36"/>
    </x:row>
    <x:row r="12">
      <x:c r="A12" s="36"/>
      <x:c r="B12" s="36"/>
      <x:c r="C12" s="36"/>
      <x:c r="D12" s="36"/>
      <x:c r="E12" s="36"/>
      <x:c r="F12" s="36"/>
      <x:c r="G12" s="36"/>
      <x:c r="H12" s="59"/>
      <x:c r="I12" s="59"/>
      <x:c r="J12" s="61" t="str">
        <x:f>IF(OR($H12="",$I12=""),"",MAX($I12-$H12+1,1))</x:f>
      </x:c>
      <x:c r="K12" s="36"/>
      <x:c r="L12" s="36"/>
      <x:c r="M12" s="63" t="str">
        <x:f>IF($A12="","",SUMIFS('Custos Planejados - Pedro'!$G$6:$G$205,'Custos Planejados - Pedro'!$A$6:$A$205,$A12)+SUMIFS('Custos Planejados - Camilly'!$G$6:$G$205,'Custos Planejados - Camilly'!$A$6:$A$205,$A12))</x:f>
      </x:c>
      <x:c r="N12" s="63" t="str">
        <x:f>IF($A12="","",SUMIFS('Histórico de Gastos'!$J$6:$J$205,'Histórico de Gastos'!$B$6:$B$205,$A12))</x:f>
      </x:c>
      <x:c r="O12" s="63" t="str">
        <x:f>IF($A12="","",$M12-$N12)</x:f>
      </x:c>
      <x:c r="P12" s="65" t="str">
        <x:f>IF($A12="","",IFERROR($N12/$M12,0))</x:f>
      </x:c>
      <x:c r="Q12" s="63" t="str">
        <x:f>IF($A12="","",SUMIFS('Histórico de Gastos'!$W$6:$W$205,'Histórico de Gastos'!$B$6:$B$205,$A12))</x:f>
      </x:c>
      <x:c r="R12" s="63" t="str">
        <x:f>IF($A12="","",SUMIFS('Histórico de Gastos'!$X$6:$X$205,'Histórico de Gastos'!$B$6:$B$205,$A12))</x:f>
      </x:c>
      <x:c r="S12" s="63" t="str">
        <x:f>IF($A12="","",ABS($Q12-SUMIFS('Histórico de Gastos'!$U$6:$U$205,'Histórico de Gastos'!$B$6:$B$205,$A12)))</x:f>
      </x:c>
      <x:c r="T12" s="67" t="str">
        <x:f>IF($A12="","",IF(ABS($Q12-SUMIFS('Histórico de Gastos'!$U$6:$U$205,'Histórico de Gastos'!$B$6:$B$205,$A12))&lt;0.01,"Tudo certo",IF($Q12&gt;SUMIFS('Histórico de Gastos'!$U$6:$U$205,'Histórico de Gastos'!$B$6:$B$205,$A12),"Camilly deve para Pedro","Pedro deve para Camilly")))</x:f>
      </x:c>
      <x:c r="U12" s="36"/>
      <x:c r="V12" s="67" t="str">
        <x:f>IF($A12="","",IF(COUNTIFS('Checklist de Viagem'!$A$6:$A$205,$A12)=0,"Não",IF(COUNTIFS('Checklist de Viagem'!$A$6:$A$205,$A12,'Checklist de Viagem'!$H$6:$H$205,"Não")=0,"Sim","Não")))</x:f>
      </x:c>
      <x:c r="W12" s="36"/>
      <x:c r="X12" s="36"/>
      <x:c r="Y12" s="36"/>
      <x:c r="Z12" s="59"/>
      <x:c r="AA12" s="59"/>
      <x:c r="AB12" s="67" t="str">
        <x:f>IF($A12="","",IF($P12&gt;1,"Viagem acima do orçamento",IF(AND($K12&lt;&gt;"Concluída",$V12&lt;&gt;"Sim",$H12-TODAY()&lt;=15),"Viagem próxima sem checklist completo",IF($W12="","Passagem ainda não comprada",IF($X12="","Falta reservar hospedagem",IF($S12&gt;0,"Existe valor pendente de compensação","Tudo certo"))))))</x:f>
      </x:c>
      <x:c r="AC12" s="36"/>
    </x:row>
    <x:row r="13">
      <x:c r="A13" s="36"/>
      <x:c r="B13" s="36"/>
      <x:c r="C13" s="36"/>
      <x:c r="D13" s="36"/>
      <x:c r="E13" s="36"/>
      <x:c r="F13" s="36"/>
      <x:c r="G13" s="36"/>
      <x:c r="H13" s="59"/>
      <x:c r="I13" s="59"/>
      <x:c r="J13" s="61" t="str">
        <x:f>IF(OR($H13="",$I13=""),"",MAX($I13-$H13+1,1))</x:f>
      </x:c>
      <x:c r="K13" s="36"/>
      <x:c r="L13" s="36"/>
      <x:c r="M13" s="63" t="str">
        <x:f>IF($A13="","",SUMIFS('Custos Planejados - Pedro'!$G$6:$G$205,'Custos Planejados - Pedro'!$A$6:$A$205,$A13)+SUMIFS('Custos Planejados - Camilly'!$G$6:$G$205,'Custos Planejados - Camilly'!$A$6:$A$205,$A13))</x:f>
      </x:c>
      <x:c r="N13" s="63" t="str">
        <x:f>IF($A13="","",SUMIFS('Histórico de Gastos'!$J$6:$J$205,'Histórico de Gastos'!$B$6:$B$205,$A13))</x:f>
      </x:c>
      <x:c r="O13" s="63" t="str">
        <x:f>IF($A13="","",$M13-$N13)</x:f>
      </x:c>
      <x:c r="P13" s="65" t="str">
        <x:f>IF($A13="","",IFERROR($N13/$M13,0))</x:f>
      </x:c>
      <x:c r="Q13" s="63" t="str">
        <x:f>IF($A13="","",SUMIFS('Histórico de Gastos'!$W$6:$W$205,'Histórico de Gastos'!$B$6:$B$205,$A13))</x:f>
      </x:c>
      <x:c r="R13" s="63" t="str">
        <x:f>IF($A13="","",SUMIFS('Histórico de Gastos'!$X$6:$X$205,'Histórico de Gastos'!$B$6:$B$205,$A13))</x:f>
      </x:c>
      <x:c r="S13" s="63" t="str">
        <x:f>IF($A13="","",ABS($Q13-SUMIFS('Histórico de Gastos'!$U$6:$U$205,'Histórico de Gastos'!$B$6:$B$205,$A13)))</x:f>
      </x:c>
      <x:c r="T13" s="67" t="str">
        <x:f>IF($A13="","",IF(ABS($Q13-SUMIFS('Histórico de Gastos'!$U$6:$U$205,'Histórico de Gastos'!$B$6:$B$205,$A13))&lt;0.01,"Tudo certo",IF($Q13&gt;SUMIFS('Histórico de Gastos'!$U$6:$U$205,'Histórico de Gastos'!$B$6:$B$205,$A13),"Camilly deve para Pedro","Pedro deve para Camilly")))</x:f>
      </x:c>
      <x:c r="U13" s="36"/>
      <x:c r="V13" s="67" t="str">
        <x:f>IF($A13="","",IF(COUNTIFS('Checklist de Viagem'!$A$6:$A$205,$A13)=0,"Não",IF(COUNTIFS('Checklist de Viagem'!$A$6:$A$205,$A13,'Checklist de Viagem'!$H$6:$H$205,"Não")=0,"Sim","Não")))</x:f>
      </x:c>
      <x:c r="W13" s="36"/>
      <x:c r="X13" s="36"/>
      <x:c r="Y13" s="36"/>
      <x:c r="Z13" s="59"/>
      <x:c r="AA13" s="59"/>
      <x:c r="AB13" s="67" t="str">
        <x:f>IF($A13="","",IF($P13&gt;1,"Viagem acima do orçamento",IF(AND($K13&lt;&gt;"Concluída",$V13&lt;&gt;"Sim",$H13-TODAY()&lt;=15),"Viagem próxima sem checklist completo",IF($W13="","Passagem ainda não comprada",IF($X13="","Falta reservar hospedagem",IF($S13&gt;0,"Existe valor pendente de compensação","Tudo certo"))))))</x:f>
      </x:c>
      <x:c r="AC13" s="36"/>
    </x:row>
    <x:row r="14">
      <x:c r="A14" s="36"/>
      <x:c r="B14" s="36"/>
      <x:c r="C14" s="36"/>
      <x:c r="D14" s="36"/>
      <x:c r="E14" s="36"/>
      <x:c r="F14" s="36"/>
      <x:c r="G14" s="36"/>
      <x:c r="H14" s="59"/>
      <x:c r="I14" s="59"/>
      <x:c r="J14" s="61" t="str">
        <x:f>IF(OR($H14="",$I14=""),"",MAX($I14-$H14+1,1))</x:f>
      </x:c>
      <x:c r="K14" s="36"/>
      <x:c r="L14" s="36"/>
      <x:c r="M14" s="63" t="str">
        <x:f>IF($A14="","",SUMIFS('Custos Planejados - Pedro'!$G$6:$G$205,'Custos Planejados - Pedro'!$A$6:$A$205,$A14)+SUMIFS('Custos Planejados - Camilly'!$G$6:$G$205,'Custos Planejados - Camilly'!$A$6:$A$205,$A14))</x:f>
      </x:c>
      <x:c r="N14" s="63" t="str">
        <x:f>IF($A14="","",SUMIFS('Histórico de Gastos'!$J$6:$J$205,'Histórico de Gastos'!$B$6:$B$205,$A14))</x:f>
      </x:c>
      <x:c r="O14" s="63" t="str">
        <x:f>IF($A14="","",$M14-$N14)</x:f>
      </x:c>
      <x:c r="P14" s="65" t="str">
        <x:f>IF($A14="","",IFERROR($N14/$M14,0))</x:f>
      </x:c>
      <x:c r="Q14" s="63" t="str">
        <x:f>IF($A14="","",SUMIFS('Histórico de Gastos'!$W$6:$W$205,'Histórico de Gastos'!$B$6:$B$205,$A14))</x:f>
      </x:c>
      <x:c r="R14" s="63" t="str">
        <x:f>IF($A14="","",SUMIFS('Histórico de Gastos'!$X$6:$X$205,'Histórico de Gastos'!$B$6:$B$205,$A14))</x:f>
      </x:c>
      <x:c r="S14" s="63" t="str">
        <x:f>IF($A14="","",ABS($Q14-SUMIFS('Histórico de Gastos'!$U$6:$U$205,'Histórico de Gastos'!$B$6:$B$205,$A14)))</x:f>
      </x:c>
      <x:c r="T14" s="67" t="str">
        <x:f>IF($A14="","",IF(ABS($Q14-SUMIFS('Histórico de Gastos'!$U$6:$U$205,'Histórico de Gastos'!$B$6:$B$205,$A14))&lt;0.01,"Tudo certo",IF($Q14&gt;SUMIFS('Histórico de Gastos'!$U$6:$U$205,'Histórico de Gastos'!$B$6:$B$205,$A14),"Camilly deve para Pedro","Pedro deve para Camilly")))</x:f>
      </x:c>
      <x:c r="U14" s="36"/>
      <x:c r="V14" s="67" t="str">
        <x:f>IF($A14="","",IF(COUNTIFS('Checklist de Viagem'!$A$6:$A$205,$A14)=0,"Não",IF(COUNTIFS('Checklist de Viagem'!$A$6:$A$205,$A14,'Checklist de Viagem'!$H$6:$H$205,"Não")=0,"Sim","Não")))</x:f>
      </x:c>
      <x:c r="W14" s="36"/>
      <x:c r="X14" s="36"/>
      <x:c r="Y14" s="36"/>
      <x:c r="Z14" s="59"/>
      <x:c r="AA14" s="59"/>
      <x:c r="AB14" s="67" t="str">
        <x:f>IF($A14="","",IF($P14&gt;1,"Viagem acima do orçamento",IF(AND($K14&lt;&gt;"Concluída",$V14&lt;&gt;"Sim",$H14-TODAY()&lt;=15),"Viagem próxima sem checklist completo",IF($W14="","Passagem ainda não comprada",IF($X14="","Falta reservar hospedagem",IF($S14&gt;0,"Existe valor pendente de compensação","Tudo certo"))))))</x:f>
      </x:c>
      <x:c r="AC14" s="36"/>
    </x:row>
    <x:row r="15">
      <x:c r="A15" s="36"/>
      <x:c r="B15" s="36"/>
      <x:c r="C15" s="36"/>
      <x:c r="D15" s="36"/>
      <x:c r="E15" s="36"/>
      <x:c r="F15" s="36"/>
      <x:c r="G15" s="36"/>
      <x:c r="H15" s="59"/>
      <x:c r="I15" s="59"/>
      <x:c r="J15" s="61" t="str">
        <x:f>IF(OR($H15="",$I15=""),"",MAX($I15-$H15+1,1))</x:f>
      </x:c>
      <x:c r="K15" s="36"/>
      <x:c r="L15" s="36"/>
      <x:c r="M15" s="63" t="str">
        <x:f>IF($A15="","",SUMIFS('Custos Planejados - Pedro'!$G$6:$G$205,'Custos Planejados - Pedro'!$A$6:$A$205,$A15)+SUMIFS('Custos Planejados - Camilly'!$G$6:$G$205,'Custos Planejados - Camilly'!$A$6:$A$205,$A15))</x:f>
      </x:c>
      <x:c r="N15" s="63" t="str">
        <x:f>IF($A15="","",SUMIFS('Histórico de Gastos'!$J$6:$J$205,'Histórico de Gastos'!$B$6:$B$205,$A15))</x:f>
      </x:c>
      <x:c r="O15" s="63" t="str">
        <x:f>IF($A15="","",$M15-$N15)</x:f>
      </x:c>
      <x:c r="P15" s="65" t="str">
        <x:f>IF($A15="","",IFERROR($N15/$M15,0))</x:f>
      </x:c>
      <x:c r="Q15" s="63" t="str">
        <x:f>IF($A15="","",SUMIFS('Histórico de Gastos'!$W$6:$W$205,'Histórico de Gastos'!$B$6:$B$205,$A15))</x:f>
      </x:c>
      <x:c r="R15" s="63" t="str">
        <x:f>IF($A15="","",SUMIFS('Histórico de Gastos'!$X$6:$X$205,'Histórico de Gastos'!$B$6:$B$205,$A15))</x:f>
      </x:c>
      <x:c r="S15" s="63" t="str">
        <x:f>IF($A15="","",ABS($Q15-SUMIFS('Histórico de Gastos'!$U$6:$U$205,'Histórico de Gastos'!$B$6:$B$205,$A15)))</x:f>
      </x:c>
      <x:c r="T15" s="67" t="str">
        <x:f>IF($A15="","",IF(ABS($Q15-SUMIFS('Histórico de Gastos'!$U$6:$U$205,'Histórico de Gastos'!$B$6:$B$205,$A15))&lt;0.01,"Tudo certo",IF($Q15&gt;SUMIFS('Histórico de Gastos'!$U$6:$U$205,'Histórico de Gastos'!$B$6:$B$205,$A15),"Camilly deve para Pedro","Pedro deve para Camilly")))</x:f>
      </x:c>
      <x:c r="U15" s="36"/>
      <x:c r="V15" s="67" t="str">
        <x:f>IF($A15="","",IF(COUNTIFS('Checklist de Viagem'!$A$6:$A$205,$A15)=0,"Não",IF(COUNTIFS('Checklist de Viagem'!$A$6:$A$205,$A15,'Checklist de Viagem'!$H$6:$H$205,"Não")=0,"Sim","Não")))</x:f>
      </x:c>
      <x:c r="W15" s="36"/>
      <x:c r="X15" s="36"/>
      <x:c r="Y15" s="36"/>
      <x:c r="Z15" s="59"/>
      <x:c r="AA15" s="59"/>
      <x:c r="AB15" s="67" t="str">
        <x:f>IF($A15="","",IF($P15&gt;1,"Viagem acima do orçamento",IF(AND($K15&lt;&gt;"Concluída",$V15&lt;&gt;"Sim",$H15-TODAY()&lt;=15),"Viagem próxima sem checklist completo",IF($W15="","Passagem ainda não comprada",IF($X15="","Falta reservar hospedagem",IF($S15&gt;0,"Existe valor pendente de compensação","Tudo certo"))))))</x:f>
      </x:c>
      <x:c r="AC15" s="36"/>
    </x:row>
    <x:row r="16">
      <x:c r="A16" s="36"/>
      <x:c r="B16" s="36"/>
      <x:c r="C16" s="36"/>
      <x:c r="D16" s="36"/>
      <x:c r="E16" s="36"/>
      <x:c r="F16" s="36"/>
      <x:c r="G16" s="36"/>
      <x:c r="H16" s="59"/>
      <x:c r="I16" s="59"/>
      <x:c r="J16" s="61" t="str">
        <x:f>IF(OR($H16="",$I16=""),"",MAX($I16-$H16+1,1))</x:f>
      </x:c>
      <x:c r="K16" s="36"/>
      <x:c r="L16" s="36"/>
      <x:c r="M16" s="63" t="str">
        <x:f>IF($A16="","",SUMIFS('Custos Planejados - Pedro'!$G$6:$G$205,'Custos Planejados - Pedro'!$A$6:$A$205,$A16)+SUMIFS('Custos Planejados - Camilly'!$G$6:$G$205,'Custos Planejados - Camilly'!$A$6:$A$205,$A16))</x:f>
      </x:c>
      <x:c r="N16" s="63" t="str">
        <x:f>IF($A16="","",SUMIFS('Histórico de Gastos'!$J$6:$J$205,'Histórico de Gastos'!$B$6:$B$205,$A16))</x:f>
      </x:c>
      <x:c r="O16" s="63" t="str">
        <x:f>IF($A16="","",$M16-$N16)</x:f>
      </x:c>
      <x:c r="P16" s="65" t="str">
        <x:f>IF($A16="","",IFERROR($N16/$M16,0))</x:f>
      </x:c>
      <x:c r="Q16" s="63" t="str">
        <x:f>IF($A16="","",SUMIFS('Histórico de Gastos'!$W$6:$W$205,'Histórico de Gastos'!$B$6:$B$205,$A16))</x:f>
      </x:c>
      <x:c r="R16" s="63" t="str">
        <x:f>IF($A16="","",SUMIFS('Histórico de Gastos'!$X$6:$X$205,'Histórico de Gastos'!$B$6:$B$205,$A16))</x:f>
      </x:c>
      <x:c r="S16" s="63" t="str">
        <x:f>IF($A16="","",ABS($Q16-SUMIFS('Histórico de Gastos'!$U$6:$U$205,'Histórico de Gastos'!$B$6:$B$205,$A16)))</x:f>
      </x:c>
      <x:c r="T16" s="67" t="str">
        <x:f>IF($A16="","",IF(ABS($Q16-SUMIFS('Histórico de Gastos'!$U$6:$U$205,'Histórico de Gastos'!$B$6:$B$205,$A16))&lt;0.01,"Tudo certo",IF($Q16&gt;SUMIFS('Histórico de Gastos'!$U$6:$U$205,'Histórico de Gastos'!$B$6:$B$205,$A16),"Camilly deve para Pedro","Pedro deve para Camilly")))</x:f>
      </x:c>
      <x:c r="U16" s="36"/>
      <x:c r="V16" s="67" t="str">
        <x:f>IF($A16="","",IF(COUNTIFS('Checklist de Viagem'!$A$6:$A$205,$A16)=0,"Não",IF(COUNTIFS('Checklist de Viagem'!$A$6:$A$205,$A16,'Checklist de Viagem'!$H$6:$H$205,"Não")=0,"Sim","Não")))</x:f>
      </x:c>
      <x:c r="W16" s="36"/>
      <x:c r="X16" s="36"/>
      <x:c r="Y16" s="36"/>
      <x:c r="Z16" s="59"/>
      <x:c r="AA16" s="59"/>
      <x:c r="AB16" s="67" t="str">
        <x:f>IF($A16="","",IF($P16&gt;1,"Viagem acima do orçamento",IF(AND($K16&lt;&gt;"Concluída",$V16&lt;&gt;"Sim",$H16-TODAY()&lt;=15),"Viagem próxima sem checklist completo",IF($W16="","Passagem ainda não comprada",IF($X16="","Falta reservar hospedagem",IF($S16&gt;0,"Existe valor pendente de compensação","Tudo certo"))))))</x:f>
      </x:c>
      <x:c r="AC16" s="36"/>
    </x:row>
    <x:row r="17">
      <x:c r="A17" s="36"/>
      <x:c r="B17" s="36"/>
      <x:c r="C17" s="36"/>
      <x:c r="D17" s="36"/>
      <x:c r="E17" s="36"/>
      <x:c r="F17" s="36"/>
      <x:c r="G17" s="36"/>
      <x:c r="H17" s="59"/>
      <x:c r="I17" s="59"/>
      <x:c r="J17" s="61" t="str">
        <x:f>IF(OR($H17="",$I17=""),"",MAX($I17-$H17+1,1))</x:f>
      </x:c>
      <x:c r="K17" s="36"/>
      <x:c r="L17" s="36"/>
      <x:c r="M17" s="63" t="str">
        <x:f>IF($A17="","",SUMIFS('Custos Planejados - Pedro'!$G$6:$G$205,'Custos Planejados - Pedro'!$A$6:$A$205,$A17)+SUMIFS('Custos Planejados - Camilly'!$G$6:$G$205,'Custos Planejados - Camilly'!$A$6:$A$205,$A17))</x:f>
      </x:c>
      <x:c r="N17" s="63" t="str">
        <x:f>IF($A17="","",SUMIFS('Histórico de Gastos'!$J$6:$J$205,'Histórico de Gastos'!$B$6:$B$205,$A17))</x:f>
      </x:c>
      <x:c r="O17" s="63" t="str">
        <x:f>IF($A17="","",$M17-$N17)</x:f>
      </x:c>
      <x:c r="P17" s="65" t="str">
        <x:f>IF($A17="","",IFERROR($N17/$M17,0))</x:f>
      </x:c>
      <x:c r="Q17" s="63" t="str">
        <x:f>IF($A17="","",SUMIFS('Histórico de Gastos'!$W$6:$W$205,'Histórico de Gastos'!$B$6:$B$205,$A17))</x:f>
      </x:c>
      <x:c r="R17" s="63" t="str">
        <x:f>IF($A17="","",SUMIFS('Histórico de Gastos'!$X$6:$X$205,'Histórico de Gastos'!$B$6:$B$205,$A17))</x:f>
      </x:c>
      <x:c r="S17" s="63" t="str">
        <x:f>IF($A17="","",ABS($Q17-SUMIFS('Histórico de Gastos'!$U$6:$U$205,'Histórico de Gastos'!$B$6:$B$205,$A17)))</x:f>
      </x:c>
      <x:c r="T17" s="67" t="str">
        <x:f>IF($A17="","",IF(ABS($Q17-SUMIFS('Histórico de Gastos'!$U$6:$U$205,'Histórico de Gastos'!$B$6:$B$205,$A17))&lt;0.01,"Tudo certo",IF($Q17&gt;SUMIFS('Histórico de Gastos'!$U$6:$U$205,'Histórico de Gastos'!$B$6:$B$205,$A17),"Camilly deve para Pedro","Pedro deve para Camilly")))</x:f>
      </x:c>
      <x:c r="U17" s="36"/>
      <x:c r="V17" s="67" t="str">
        <x:f>IF($A17="","",IF(COUNTIFS('Checklist de Viagem'!$A$6:$A$205,$A17)=0,"Não",IF(COUNTIFS('Checklist de Viagem'!$A$6:$A$205,$A17,'Checklist de Viagem'!$H$6:$H$205,"Não")=0,"Sim","Não")))</x:f>
      </x:c>
      <x:c r="W17" s="36"/>
      <x:c r="X17" s="36"/>
      <x:c r="Y17" s="36"/>
      <x:c r="Z17" s="59"/>
      <x:c r="AA17" s="59"/>
      <x:c r="AB17" s="67" t="str">
        <x:f>IF($A17="","",IF($P17&gt;1,"Viagem acima do orçamento",IF(AND($K17&lt;&gt;"Concluída",$V17&lt;&gt;"Sim",$H17-TODAY()&lt;=15),"Viagem próxima sem checklist completo",IF($W17="","Passagem ainda não comprada",IF($X17="","Falta reservar hospedagem",IF($S17&gt;0,"Existe valor pendente de compensação","Tudo certo"))))))</x:f>
      </x:c>
      <x:c r="AC17" s="36"/>
    </x:row>
    <x:row r="18">
      <x:c r="A18" s="36"/>
      <x:c r="B18" s="36"/>
      <x:c r="C18" s="36"/>
      <x:c r="D18" s="36"/>
      <x:c r="E18" s="36"/>
      <x:c r="F18" s="36"/>
      <x:c r="G18" s="36"/>
      <x:c r="H18" s="59"/>
      <x:c r="I18" s="59"/>
      <x:c r="J18" s="61" t="str">
        <x:f>IF(OR($H18="",$I18=""),"",MAX($I18-$H18+1,1))</x:f>
      </x:c>
      <x:c r="K18" s="36"/>
      <x:c r="L18" s="36"/>
      <x:c r="M18" s="63" t="str">
        <x:f>IF($A18="","",SUMIFS('Custos Planejados - Pedro'!$G$6:$G$205,'Custos Planejados - Pedro'!$A$6:$A$205,$A18)+SUMIFS('Custos Planejados - Camilly'!$G$6:$G$205,'Custos Planejados - Camilly'!$A$6:$A$205,$A18))</x:f>
      </x:c>
      <x:c r="N18" s="63" t="str">
        <x:f>IF($A18="","",SUMIFS('Histórico de Gastos'!$J$6:$J$205,'Histórico de Gastos'!$B$6:$B$205,$A18))</x:f>
      </x:c>
      <x:c r="O18" s="63" t="str">
        <x:f>IF($A18="","",$M18-$N18)</x:f>
      </x:c>
      <x:c r="P18" s="65" t="str">
        <x:f>IF($A18="","",IFERROR($N18/$M18,0))</x:f>
      </x:c>
      <x:c r="Q18" s="63" t="str">
        <x:f>IF($A18="","",SUMIFS('Histórico de Gastos'!$W$6:$W$205,'Histórico de Gastos'!$B$6:$B$205,$A18))</x:f>
      </x:c>
      <x:c r="R18" s="63" t="str">
        <x:f>IF($A18="","",SUMIFS('Histórico de Gastos'!$X$6:$X$205,'Histórico de Gastos'!$B$6:$B$205,$A18))</x:f>
      </x:c>
      <x:c r="S18" s="63" t="str">
        <x:f>IF($A18="","",ABS($Q18-SUMIFS('Histórico de Gastos'!$U$6:$U$205,'Histórico de Gastos'!$B$6:$B$205,$A18)))</x:f>
      </x:c>
      <x:c r="T18" s="67" t="str">
        <x:f>IF($A18="","",IF(ABS($Q18-SUMIFS('Histórico de Gastos'!$U$6:$U$205,'Histórico de Gastos'!$B$6:$B$205,$A18))&lt;0.01,"Tudo certo",IF($Q18&gt;SUMIFS('Histórico de Gastos'!$U$6:$U$205,'Histórico de Gastos'!$B$6:$B$205,$A18),"Camilly deve para Pedro","Pedro deve para Camilly")))</x:f>
      </x:c>
      <x:c r="U18" s="36"/>
      <x:c r="V18" s="67" t="str">
        <x:f>IF($A18="","",IF(COUNTIFS('Checklist de Viagem'!$A$6:$A$205,$A18)=0,"Não",IF(COUNTIFS('Checklist de Viagem'!$A$6:$A$205,$A18,'Checklist de Viagem'!$H$6:$H$205,"Não")=0,"Sim","Não")))</x:f>
      </x:c>
      <x:c r="W18" s="36"/>
      <x:c r="X18" s="36"/>
      <x:c r="Y18" s="36"/>
      <x:c r="Z18" s="59"/>
      <x:c r="AA18" s="59"/>
      <x:c r="AB18" s="67" t="str">
        <x:f>IF($A18="","",IF($P18&gt;1,"Viagem acima do orçamento",IF(AND($K18&lt;&gt;"Concluída",$V18&lt;&gt;"Sim",$H18-TODAY()&lt;=15),"Viagem próxima sem checklist completo",IF($W18="","Passagem ainda não comprada",IF($X18="","Falta reservar hospedagem",IF($S18&gt;0,"Existe valor pendente de compensação","Tudo certo"))))))</x:f>
      </x:c>
      <x:c r="AC18" s="36"/>
    </x:row>
    <x:row r="19">
      <x:c r="A19" s="36"/>
      <x:c r="B19" s="36"/>
      <x:c r="C19" s="36"/>
      <x:c r="D19" s="36"/>
      <x:c r="E19" s="36"/>
      <x:c r="F19" s="36"/>
      <x:c r="G19" s="36"/>
      <x:c r="H19" s="59"/>
      <x:c r="I19" s="59"/>
      <x:c r="J19" s="61" t="str">
        <x:f>IF(OR($H19="",$I19=""),"",MAX($I19-$H19+1,1))</x:f>
      </x:c>
      <x:c r="K19" s="36"/>
      <x:c r="L19" s="36"/>
      <x:c r="M19" s="63" t="str">
        <x:f>IF($A19="","",SUMIFS('Custos Planejados - Pedro'!$G$6:$G$205,'Custos Planejados - Pedro'!$A$6:$A$205,$A19)+SUMIFS('Custos Planejados - Camilly'!$G$6:$G$205,'Custos Planejados - Camilly'!$A$6:$A$205,$A19))</x:f>
      </x:c>
      <x:c r="N19" s="63" t="str">
        <x:f>IF($A19="","",SUMIFS('Histórico de Gastos'!$J$6:$J$205,'Histórico de Gastos'!$B$6:$B$205,$A19))</x:f>
      </x:c>
      <x:c r="O19" s="63" t="str">
        <x:f>IF($A19="","",$M19-$N19)</x:f>
      </x:c>
      <x:c r="P19" s="65" t="str">
        <x:f>IF($A19="","",IFERROR($N19/$M19,0))</x:f>
      </x:c>
      <x:c r="Q19" s="63" t="str">
        <x:f>IF($A19="","",SUMIFS('Histórico de Gastos'!$W$6:$W$205,'Histórico de Gastos'!$B$6:$B$205,$A19))</x:f>
      </x:c>
      <x:c r="R19" s="63" t="str">
        <x:f>IF($A19="","",SUMIFS('Histórico de Gastos'!$X$6:$X$205,'Histórico de Gastos'!$B$6:$B$205,$A19))</x:f>
      </x:c>
      <x:c r="S19" s="63" t="str">
        <x:f>IF($A19="","",ABS($Q19-SUMIFS('Histórico de Gastos'!$U$6:$U$205,'Histórico de Gastos'!$B$6:$B$205,$A19)))</x:f>
      </x:c>
      <x:c r="T19" s="67" t="str">
        <x:f>IF($A19="","",IF(ABS($Q19-SUMIFS('Histórico de Gastos'!$U$6:$U$205,'Histórico de Gastos'!$B$6:$B$205,$A19))&lt;0.01,"Tudo certo",IF($Q19&gt;SUMIFS('Histórico de Gastos'!$U$6:$U$205,'Histórico de Gastos'!$B$6:$B$205,$A19),"Camilly deve para Pedro","Pedro deve para Camilly")))</x:f>
      </x:c>
      <x:c r="U19" s="36"/>
      <x:c r="V19" s="67" t="str">
        <x:f>IF($A19="","",IF(COUNTIFS('Checklist de Viagem'!$A$6:$A$205,$A19)=0,"Não",IF(COUNTIFS('Checklist de Viagem'!$A$6:$A$205,$A19,'Checklist de Viagem'!$H$6:$H$205,"Não")=0,"Sim","Não")))</x:f>
      </x:c>
      <x:c r="W19" s="36"/>
      <x:c r="X19" s="36"/>
      <x:c r="Y19" s="36"/>
      <x:c r="Z19" s="59"/>
      <x:c r="AA19" s="59"/>
      <x:c r="AB19" s="67" t="str">
        <x:f>IF($A19="","",IF($P19&gt;1,"Viagem acima do orçamento",IF(AND($K19&lt;&gt;"Concluída",$V19&lt;&gt;"Sim",$H19-TODAY()&lt;=15),"Viagem próxima sem checklist completo",IF($W19="","Passagem ainda não comprada",IF($X19="","Falta reservar hospedagem",IF($S19&gt;0,"Existe valor pendente de compensação","Tudo certo"))))))</x:f>
      </x:c>
      <x:c r="AC19" s="36"/>
    </x:row>
    <x:row r="20">
      <x:c r="A20" s="36"/>
      <x:c r="B20" s="36"/>
      <x:c r="C20" s="36"/>
      <x:c r="D20" s="36"/>
      <x:c r="E20" s="36"/>
      <x:c r="F20" s="36"/>
      <x:c r="G20" s="36"/>
      <x:c r="H20" s="59"/>
      <x:c r="I20" s="59"/>
      <x:c r="J20" s="61" t="str">
        <x:f>IF(OR($H20="",$I20=""),"",MAX($I20-$H20+1,1))</x:f>
      </x:c>
      <x:c r="K20" s="36"/>
      <x:c r="L20" s="36"/>
      <x:c r="M20" s="63" t="str">
        <x:f>IF($A20="","",SUMIFS('Custos Planejados - Pedro'!$G$6:$G$205,'Custos Planejados - Pedro'!$A$6:$A$205,$A20)+SUMIFS('Custos Planejados - Camilly'!$G$6:$G$205,'Custos Planejados - Camilly'!$A$6:$A$205,$A20))</x:f>
      </x:c>
      <x:c r="N20" s="63" t="str">
        <x:f>IF($A20="","",SUMIFS('Histórico de Gastos'!$J$6:$J$205,'Histórico de Gastos'!$B$6:$B$205,$A20))</x:f>
      </x:c>
      <x:c r="O20" s="63" t="str">
        <x:f>IF($A20="","",$M20-$N20)</x:f>
      </x:c>
      <x:c r="P20" s="65" t="str">
        <x:f>IF($A20="","",IFERROR($N20/$M20,0))</x:f>
      </x:c>
      <x:c r="Q20" s="63" t="str">
        <x:f>IF($A20="","",SUMIFS('Histórico de Gastos'!$W$6:$W$205,'Histórico de Gastos'!$B$6:$B$205,$A20))</x:f>
      </x:c>
      <x:c r="R20" s="63" t="str">
        <x:f>IF($A20="","",SUMIFS('Histórico de Gastos'!$X$6:$X$205,'Histórico de Gastos'!$B$6:$B$205,$A20))</x:f>
      </x:c>
      <x:c r="S20" s="63" t="str">
        <x:f>IF($A20="","",ABS($Q20-SUMIFS('Histórico de Gastos'!$U$6:$U$205,'Histórico de Gastos'!$B$6:$B$205,$A20)))</x:f>
      </x:c>
      <x:c r="T20" s="67" t="str">
        <x:f>IF($A20="","",IF(ABS($Q20-SUMIFS('Histórico de Gastos'!$U$6:$U$205,'Histórico de Gastos'!$B$6:$B$205,$A20))&lt;0.01,"Tudo certo",IF($Q20&gt;SUMIFS('Histórico de Gastos'!$U$6:$U$205,'Histórico de Gastos'!$B$6:$B$205,$A20),"Camilly deve para Pedro","Pedro deve para Camilly")))</x:f>
      </x:c>
      <x:c r="U20" s="36"/>
      <x:c r="V20" s="67" t="str">
        <x:f>IF($A20="","",IF(COUNTIFS('Checklist de Viagem'!$A$6:$A$205,$A20)=0,"Não",IF(COUNTIFS('Checklist de Viagem'!$A$6:$A$205,$A20,'Checklist de Viagem'!$H$6:$H$205,"Não")=0,"Sim","Não")))</x:f>
      </x:c>
      <x:c r="W20" s="36"/>
      <x:c r="X20" s="36"/>
      <x:c r="Y20" s="36"/>
      <x:c r="Z20" s="59"/>
      <x:c r="AA20" s="59"/>
      <x:c r="AB20" s="67" t="str">
        <x:f>IF($A20="","",IF($P20&gt;1,"Viagem acima do orçamento",IF(AND($K20&lt;&gt;"Concluída",$V20&lt;&gt;"Sim",$H20-TODAY()&lt;=15),"Viagem próxima sem checklist completo",IF($W20="","Passagem ainda não comprada",IF($X20="","Falta reservar hospedagem",IF($S20&gt;0,"Existe valor pendente de compensação","Tudo certo"))))))</x:f>
      </x:c>
      <x:c r="AC20" s="36"/>
    </x:row>
    <x:row r="21">
      <x:c r="A21" s="36"/>
      <x:c r="B21" s="36"/>
      <x:c r="C21" s="36"/>
      <x:c r="D21" s="36"/>
      <x:c r="E21" s="36"/>
      <x:c r="F21" s="36"/>
      <x:c r="G21" s="36"/>
      <x:c r="H21" s="59"/>
      <x:c r="I21" s="59"/>
      <x:c r="J21" s="61" t="str">
        <x:f>IF(OR($H21="",$I21=""),"",MAX($I21-$H21+1,1))</x:f>
      </x:c>
      <x:c r="K21" s="36"/>
      <x:c r="L21" s="36"/>
      <x:c r="M21" s="63" t="str">
        <x:f>IF($A21="","",SUMIFS('Custos Planejados - Pedro'!$G$6:$G$205,'Custos Planejados - Pedro'!$A$6:$A$205,$A21)+SUMIFS('Custos Planejados - Camilly'!$G$6:$G$205,'Custos Planejados - Camilly'!$A$6:$A$205,$A21))</x:f>
      </x:c>
      <x:c r="N21" s="63" t="str">
        <x:f>IF($A21="","",SUMIFS('Histórico de Gastos'!$J$6:$J$205,'Histórico de Gastos'!$B$6:$B$205,$A21))</x:f>
      </x:c>
      <x:c r="O21" s="63" t="str">
        <x:f>IF($A21="","",$M21-$N21)</x:f>
      </x:c>
      <x:c r="P21" s="65" t="str">
        <x:f>IF($A21="","",IFERROR($N21/$M21,0))</x:f>
      </x:c>
      <x:c r="Q21" s="63" t="str">
        <x:f>IF($A21="","",SUMIFS('Histórico de Gastos'!$W$6:$W$205,'Histórico de Gastos'!$B$6:$B$205,$A21))</x:f>
      </x:c>
      <x:c r="R21" s="63" t="str">
        <x:f>IF($A21="","",SUMIFS('Histórico de Gastos'!$X$6:$X$205,'Histórico de Gastos'!$B$6:$B$205,$A21))</x:f>
      </x:c>
      <x:c r="S21" s="63" t="str">
        <x:f>IF($A21="","",ABS($Q21-SUMIFS('Histórico de Gastos'!$U$6:$U$205,'Histórico de Gastos'!$B$6:$B$205,$A21)))</x:f>
      </x:c>
      <x:c r="T21" s="67" t="str">
        <x:f>IF($A21="","",IF(ABS($Q21-SUMIFS('Histórico de Gastos'!$U$6:$U$205,'Histórico de Gastos'!$B$6:$B$205,$A21))&lt;0.01,"Tudo certo",IF($Q21&gt;SUMIFS('Histórico de Gastos'!$U$6:$U$205,'Histórico de Gastos'!$B$6:$B$205,$A21),"Camilly deve para Pedro","Pedro deve para Camilly")))</x:f>
      </x:c>
      <x:c r="U21" s="36"/>
      <x:c r="V21" s="67" t="str">
        <x:f>IF($A21="","",IF(COUNTIFS('Checklist de Viagem'!$A$6:$A$205,$A21)=0,"Não",IF(COUNTIFS('Checklist de Viagem'!$A$6:$A$205,$A21,'Checklist de Viagem'!$H$6:$H$205,"Não")=0,"Sim","Não")))</x:f>
      </x:c>
      <x:c r="W21" s="36"/>
      <x:c r="X21" s="36"/>
      <x:c r="Y21" s="36"/>
      <x:c r="Z21" s="59"/>
      <x:c r="AA21" s="59"/>
      <x:c r="AB21" s="67" t="str">
        <x:f>IF($A21="","",IF($P21&gt;1,"Viagem acima do orçamento",IF(AND($K21&lt;&gt;"Concluída",$V21&lt;&gt;"Sim",$H21-TODAY()&lt;=15),"Viagem próxima sem checklist completo",IF($W21="","Passagem ainda não comprada",IF($X21="","Falta reservar hospedagem",IF($S21&gt;0,"Existe valor pendente de compensação","Tudo certo"))))))</x:f>
      </x:c>
      <x:c r="AC21" s="36"/>
    </x:row>
    <x:row r="22">
      <x:c r="A22" s="36"/>
      <x:c r="B22" s="36"/>
      <x:c r="C22" s="36"/>
      <x:c r="D22" s="36"/>
      <x:c r="E22" s="36"/>
      <x:c r="F22" s="36"/>
      <x:c r="G22" s="36"/>
      <x:c r="H22" s="59"/>
      <x:c r="I22" s="59"/>
      <x:c r="J22" s="61" t="str">
        <x:f>IF(OR($H22="",$I22=""),"",MAX($I22-$H22+1,1))</x:f>
      </x:c>
      <x:c r="K22" s="36"/>
      <x:c r="L22" s="36"/>
      <x:c r="M22" s="63" t="str">
        <x:f>IF($A22="","",SUMIFS('Custos Planejados - Pedro'!$G$6:$G$205,'Custos Planejados - Pedro'!$A$6:$A$205,$A22)+SUMIFS('Custos Planejados - Camilly'!$G$6:$G$205,'Custos Planejados - Camilly'!$A$6:$A$205,$A22))</x:f>
      </x:c>
      <x:c r="N22" s="63" t="str">
        <x:f>IF($A22="","",SUMIFS('Histórico de Gastos'!$J$6:$J$205,'Histórico de Gastos'!$B$6:$B$205,$A22))</x:f>
      </x:c>
      <x:c r="O22" s="63" t="str">
        <x:f>IF($A22="","",$M22-$N22)</x:f>
      </x:c>
      <x:c r="P22" s="65" t="str">
        <x:f>IF($A22="","",IFERROR($N22/$M22,0))</x:f>
      </x:c>
      <x:c r="Q22" s="63" t="str">
        <x:f>IF($A22="","",SUMIFS('Histórico de Gastos'!$W$6:$W$205,'Histórico de Gastos'!$B$6:$B$205,$A22))</x:f>
      </x:c>
      <x:c r="R22" s="63" t="str">
        <x:f>IF($A22="","",SUMIFS('Histórico de Gastos'!$X$6:$X$205,'Histórico de Gastos'!$B$6:$B$205,$A22))</x:f>
      </x:c>
      <x:c r="S22" s="63" t="str">
        <x:f>IF($A22="","",ABS($Q22-SUMIFS('Histórico de Gastos'!$U$6:$U$205,'Histórico de Gastos'!$B$6:$B$205,$A22)))</x:f>
      </x:c>
      <x:c r="T22" s="67" t="str">
        <x:f>IF($A22="","",IF(ABS($Q22-SUMIFS('Histórico de Gastos'!$U$6:$U$205,'Histórico de Gastos'!$B$6:$B$205,$A22))&lt;0.01,"Tudo certo",IF($Q22&gt;SUMIFS('Histórico de Gastos'!$U$6:$U$205,'Histórico de Gastos'!$B$6:$B$205,$A22),"Camilly deve para Pedro","Pedro deve para Camilly")))</x:f>
      </x:c>
      <x:c r="U22" s="36"/>
      <x:c r="V22" s="67" t="str">
        <x:f>IF($A22="","",IF(COUNTIFS('Checklist de Viagem'!$A$6:$A$205,$A22)=0,"Não",IF(COUNTIFS('Checklist de Viagem'!$A$6:$A$205,$A22,'Checklist de Viagem'!$H$6:$H$205,"Não")=0,"Sim","Não")))</x:f>
      </x:c>
      <x:c r="W22" s="36"/>
      <x:c r="X22" s="36"/>
      <x:c r="Y22" s="36"/>
      <x:c r="Z22" s="59"/>
      <x:c r="AA22" s="59"/>
      <x:c r="AB22" s="67" t="str">
        <x:f>IF($A22="","",IF($P22&gt;1,"Viagem acima do orçamento",IF(AND($K22&lt;&gt;"Concluída",$V22&lt;&gt;"Sim",$H22-TODAY()&lt;=15),"Viagem próxima sem checklist completo",IF($W22="","Passagem ainda não comprada",IF($X22="","Falta reservar hospedagem",IF($S22&gt;0,"Existe valor pendente de compensação","Tudo certo"))))))</x:f>
      </x:c>
      <x:c r="AC22" s="36"/>
    </x:row>
    <x:row r="23">
      <x:c r="A23" s="36"/>
      <x:c r="B23" s="36"/>
      <x:c r="C23" s="36"/>
      <x:c r="D23" s="36"/>
      <x:c r="E23" s="36"/>
      <x:c r="F23" s="36"/>
      <x:c r="G23" s="36"/>
      <x:c r="H23" s="59"/>
      <x:c r="I23" s="59"/>
      <x:c r="J23" s="61" t="str">
        <x:f>IF(OR($H23="",$I23=""),"",MAX($I23-$H23+1,1))</x:f>
      </x:c>
      <x:c r="K23" s="36"/>
      <x:c r="L23" s="36"/>
      <x:c r="M23" s="63" t="str">
        <x:f>IF($A23="","",SUMIFS('Custos Planejados - Pedro'!$G$6:$G$205,'Custos Planejados - Pedro'!$A$6:$A$205,$A23)+SUMIFS('Custos Planejados - Camilly'!$G$6:$G$205,'Custos Planejados - Camilly'!$A$6:$A$205,$A23))</x:f>
      </x:c>
      <x:c r="N23" s="63" t="str">
        <x:f>IF($A23="","",SUMIFS('Histórico de Gastos'!$J$6:$J$205,'Histórico de Gastos'!$B$6:$B$205,$A23))</x:f>
      </x:c>
      <x:c r="O23" s="63" t="str">
        <x:f>IF($A23="","",$M23-$N23)</x:f>
      </x:c>
      <x:c r="P23" s="65" t="str">
        <x:f>IF($A23="","",IFERROR($N23/$M23,0))</x:f>
      </x:c>
      <x:c r="Q23" s="63" t="str">
        <x:f>IF($A23="","",SUMIFS('Histórico de Gastos'!$W$6:$W$205,'Histórico de Gastos'!$B$6:$B$205,$A23))</x:f>
      </x:c>
      <x:c r="R23" s="63" t="str">
        <x:f>IF($A23="","",SUMIFS('Histórico de Gastos'!$X$6:$X$205,'Histórico de Gastos'!$B$6:$B$205,$A23))</x:f>
      </x:c>
      <x:c r="S23" s="63" t="str">
        <x:f>IF($A23="","",ABS($Q23-SUMIFS('Histórico de Gastos'!$U$6:$U$205,'Histórico de Gastos'!$B$6:$B$205,$A23)))</x:f>
      </x:c>
      <x:c r="T23" s="67" t="str">
        <x:f>IF($A23="","",IF(ABS($Q23-SUMIFS('Histórico de Gastos'!$U$6:$U$205,'Histórico de Gastos'!$B$6:$B$205,$A23))&lt;0.01,"Tudo certo",IF($Q23&gt;SUMIFS('Histórico de Gastos'!$U$6:$U$205,'Histórico de Gastos'!$B$6:$B$205,$A23),"Camilly deve para Pedro","Pedro deve para Camilly")))</x:f>
      </x:c>
      <x:c r="U23" s="36"/>
      <x:c r="V23" s="67" t="str">
        <x:f>IF($A23="","",IF(COUNTIFS('Checklist de Viagem'!$A$6:$A$205,$A23)=0,"Não",IF(COUNTIFS('Checklist de Viagem'!$A$6:$A$205,$A23,'Checklist de Viagem'!$H$6:$H$205,"Não")=0,"Sim","Não")))</x:f>
      </x:c>
      <x:c r="W23" s="36"/>
      <x:c r="X23" s="36"/>
      <x:c r="Y23" s="36"/>
      <x:c r="Z23" s="59"/>
      <x:c r="AA23" s="59"/>
      <x:c r="AB23" s="67" t="str">
        <x:f>IF($A23="","",IF($P23&gt;1,"Viagem acima do orçamento",IF(AND($K23&lt;&gt;"Concluída",$V23&lt;&gt;"Sim",$H23-TODAY()&lt;=15),"Viagem próxima sem checklist completo",IF($W23="","Passagem ainda não comprada",IF($X23="","Falta reservar hospedagem",IF($S23&gt;0,"Existe valor pendente de compensação","Tudo certo"))))))</x:f>
      </x:c>
      <x:c r="AC23" s="36"/>
    </x:row>
    <x:row r="24">
      <x:c r="A24" s="36"/>
      <x:c r="B24" s="36"/>
      <x:c r="C24" s="36"/>
      <x:c r="D24" s="36"/>
      <x:c r="E24" s="36"/>
      <x:c r="F24" s="36"/>
      <x:c r="G24" s="36"/>
      <x:c r="H24" s="59"/>
      <x:c r="I24" s="59"/>
      <x:c r="J24" s="61" t="str">
        <x:f>IF(OR($H24="",$I24=""),"",MAX($I24-$H24+1,1))</x:f>
      </x:c>
      <x:c r="K24" s="36"/>
      <x:c r="L24" s="36"/>
      <x:c r="M24" s="63" t="str">
        <x:f>IF($A24="","",SUMIFS('Custos Planejados - Pedro'!$G$6:$G$205,'Custos Planejados - Pedro'!$A$6:$A$205,$A24)+SUMIFS('Custos Planejados - Camilly'!$G$6:$G$205,'Custos Planejados - Camilly'!$A$6:$A$205,$A24))</x:f>
      </x:c>
      <x:c r="N24" s="63" t="str">
        <x:f>IF($A24="","",SUMIFS('Histórico de Gastos'!$J$6:$J$205,'Histórico de Gastos'!$B$6:$B$205,$A24))</x:f>
      </x:c>
      <x:c r="O24" s="63" t="str">
        <x:f>IF($A24="","",$M24-$N24)</x:f>
      </x:c>
      <x:c r="P24" s="65" t="str">
        <x:f>IF($A24="","",IFERROR($N24/$M24,0))</x:f>
      </x:c>
      <x:c r="Q24" s="63" t="str">
        <x:f>IF($A24="","",SUMIFS('Histórico de Gastos'!$W$6:$W$205,'Histórico de Gastos'!$B$6:$B$205,$A24))</x:f>
      </x:c>
      <x:c r="R24" s="63" t="str">
        <x:f>IF($A24="","",SUMIFS('Histórico de Gastos'!$X$6:$X$205,'Histórico de Gastos'!$B$6:$B$205,$A24))</x:f>
      </x:c>
      <x:c r="S24" s="63" t="str">
        <x:f>IF($A24="","",ABS($Q24-SUMIFS('Histórico de Gastos'!$U$6:$U$205,'Histórico de Gastos'!$B$6:$B$205,$A24)))</x:f>
      </x:c>
      <x:c r="T24" s="67" t="str">
        <x:f>IF($A24="","",IF(ABS($Q24-SUMIFS('Histórico de Gastos'!$U$6:$U$205,'Histórico de Gastos'!$B$6:$B$205,$A24))&lt;0.01,"Tudo certo",IF($Q24&gt;SUMIFS('Histórico de Gastos'!$U$6:$U$205,'Histórico de Gastos'!$B$6:$B$205,$A24),"Camilly deve para Pedro","Pedro deve para Camilly")))</x:f>
      </x:c>
      <x:c r="U24" s="36"/>
      <x:c r="V24" s="67" t="str">
        <x:f>IF($A24="","",IF(COUNTIFS('Checklist de Viagem'!$A$6:$A$205,$A24)=0,"Não",IF(COUNTIFS('Checklist de Viagem'!$A$6:$A$205,$A24,'Checklist de Viagem'!$H$6:$H$205,"Não")=0,"Sim","Não")))</x:f>
      </x:c>
      <x:c r="W24" s="36"/>
      <x:c r="X24" s="36"/>
      <x:c r="Y24" s="36"/>
      <x:c r="Z24" s="59"/>
      <x:c r="AA24" s="59"/>
      <x:c r="AB24" s="67" t="str">
        <x:f>IF($A24="","",IF($P24&gt;1,"Viagem acima do orçamento",IF(AND($K24&lt;&gt;"Concluída",$V24&lt;&gt;"Sim",$H24-TODAY()&lt;=15),"Viagem próxima sem checklist completo",IF($W24="","Passagem ainda não comprada",IF($X24="","Falta reservar hospedagem",IF($S24&gt;0,"Existe valor pendente de compensação","Tudo certo"))))))</x:f>
      </x:c>
      <x:c r="AC24" s="36"/>
    </x:row>
    <x:row r="25">
      <x:c r="A25" s="36"/>
      <x:c r="B25" s="36"/>
      <x:c r="C25" s="36"/>
      <x:c r="D25" s="36"/>
      <x:c r="E25" s="36"/>
      <x:c r="F25" s="36"/>
      <x:c r="G25" s="36"/>
      <x:c r="H25" s="59"/>
      <x:c r="I25" s="59"/>
      <x:c r="J25" s="61" t="str">
        <x:f>IF(OR($H25="",$I25=""),"",MAX($I25-$H25+1,1))</x:f>
      </x:c>
      <x:c r="K25" s="36"/>
      <x:c r="L25" s="36"/>
      <x:c r="M25" s="63" t="str">
        <x:f>IF($A25="","",SUMIFS('Custos Planejados - Pedro'!$G$6:$G$205,'Custos Planejados - Pedro'!$A$6:$A$205,$A25)+SUMIFS('Custos Planejados - Camilly'!$G$6:$G$205,'Custos Planejados - Camilly'!$A$6:$A$205,$A25))</x:f>
      </x:c>
      <x:c r="N25" s="63" t="str">
        <x:f>IF($A25="","",SUMIFS('Histórico de Gastos'!$J$6:$J$205,'Histórico de Gastos'!$B$6:$B$205,$A25))</x:f>
      </x:c>
      <x:c r="O25" s="63" t="str">
        <x:f>IF($A25="","",$M25-$N25)</x:f>
      </x:c>
      <x:c r="P25" s="65" t="str">
        <x:f>IF($A25="","",IFERROR($N25/$M25,0))</x:f>
      </x:c>
      <x:c r="Q25" s="63" t="str">
        <x:f>IF($A25="","",SUMIFS('Histórico de Gastos'!$W$6:$W$205,'Histórico de Gastos'!$B$6:$B$205,$A25))</x:f>
      </x:c>
      <x:c r="R25" s="63" t="str">
        <x:f>IF($A25="","",SUMIFS('Histórico de Gastos'!$X$6:$X$205,'Histórico de Gastos'!$B$6:$B$205,$A25))</x:f>
      </x:c>
      <x:c r="S25" s="63" t="str">
        <x:f>IF($A25="","",ABS($Q25-SUMIFS('Histórico de Gastos'!$U$6:$U$205,'Histórico de Gastos'!$B$6:$B$205,$A25)))</x:f>
      </x:c>
      <x:c r="T25" s="67" t="str">
        <x:f>IF($A25="","",IF(ABS($Q25-SUMIFS('Histórico de Gastos'!$U$6:$U$205,'Histórico de Gastos'!$B$6:$B$205,$A25))&lt;0.01,"Tudo certo",IF($Q25&gt;SUMIFS('Histórico de Gastos'!$U$6:$U$205,'Histórico de Gastos'!$B$6:$B$205,$A25),"Camilly deve para Pedro","Pedro deve para Camilly")))</x:f>
      </x:c>
      <x:c r="U25" s="36"/>
      <x:c r="V25" s="67" t="str">
        <x:f>IF($A25="","",IF(COUNTIFS('Checklist de Viagem'!$A$6:$A$205,$A25)=0,"Não",IF(COUNTIFS('Checklist de Viagem'!$A$6:$A$205,$A25,'Checklist de Viagem'!$H$6:$H$205,"Não")=0,"Sim","Não")))</x:f>
      </x:c>
      <x:c r="W25" s="36"/>
      <x:c r="X25" s="36"/>
      <x:c r="Y25" s="36"/>
      <x:c r="Z25" s="59"/>
      <x:c r="AA25" s="59"/>
      <x:c r="AB25" s="67" t="str">
        <x:f>IF($A25="","",IF($P25&gt;1,"Viagem acima do orçamento",IF(AND($K25&lt;&gt;"Concluída",$V25&lt;&gt;"Sim",$H25-TODAY()&lt;=15),"Viagem próxima sem checklist completo",IF($W25="","Passagem ainda não comprada",IF($X25="","Falta reservar hospedagem",IF($S25&gt;0,"Existe valor pendente de compensação","Tudo certo"))))))</x:f>
      </x:c>
      <x:c r="AC25" s="36"/>
    </x:row>
    <x:row r="26">
      <x:c r="A26" s="36"/>
      <x:c r="B26" s="36"/>
      <x:c r="C26" s="36"/>
      <x:c r="D26" s="36"/>
      <x:c r="E26" s="36"/>
      <x:c r="F26" s="36"/>
      <x:c r="G26" s="36"/>
      <x:c r="H26" s="59"/>
      <x:c r="I26" s="59"/>
      <x:c r="J26" s="61" t="str">
        <x:f>IF(OR($H26="",$I26=""),"",MAX($I26-$H26+1,1))</x:f>
      </x:c>
      <x:c r="K26" s="36"/>
      <x:c r="L26" s="36"/>
      <x:c r="M26" s="63" t="str">
        <x:f>IF($A26="","",SUMIFS('Custos Planejados - Pedro'!$G$6:$G$205,'Custos Planejados - Pedro'!$A$6:$A$205,$A26)+SUMIFS('Custos Planejados - Camilly'!$G$6:$G$205,'Custos Planejados - Camilly'!$A$6:$A$205,$A26))</x:f>
      </x:c>
      <x:c r="N26" s="63" t="str">
        <x:f>IF($A26="","",SUMIFS('Histórico de Gastos'!$J$6:$J$205,'Histórico de Gastos'!$B$6:$B$205,$A26))</x:f>
      </x:c>
      <x:c r="O26" s="63" t="str">
        <x:f>IF($A26="","",$M26-$N26)</x:f>
      </x:c>
      <x:c r="P26" s="65" t="str">
        <x:f>IF($A26="","",IFERROR($N26/$M26,0))</x:f>
      </x:c>
      <x:c r="Q26" s="63" t="str">
        <x:f>IF($A26="","",SUMIFS('Histórico de Gastos'!$W$6:$W$205,'Histórico de Gastos'!$B$6:$B$205,$A26))</x:f>
      </x:c>
      <x:c r="R26" s="63" t="str">
        <x:f>IF($A26="","",SUMIFS('Histórico de Gastos'!$X$6:$X$205,'Histórico de Gastos'!$B$6:$B$205,$A26))</x:f>
      </x:c>
      <x:c r="S26" s="63" t="str">
        <x:f>IF($A26="","",ABS($Q26-SUMIFS('Histórico de Gastos'!$U$6:$U$205,'Histórico de Gastos'!$B$6:$B$205,$A26)))</x:f>
      </x:c>
      <x:c r="T26" s="67" t="str">
        <x:f>IF($A26="","",IF(ABS($Q26-SUMIFS('Histórico de Gastos'!$U$6:$U$205,'Histórico de Gastos'!$B$6:$B$205,$A26))&lt;0.01,"Tudo certo",IF($Q26&gt;SUMIFS('Histórico de Gastos'!$U$6:$U$205,'Histórico de Gastos'!$B$6:$B$205,$A26),"Camilly deve para Pedro","Pedro deve para Camilly")))</x:f>
      </x:c>
      <x:c r="U26" s="36"/>
      <x:c r="V26" s="67" t="str">
        <x:f>IF($A26="","",IF(COUNTIFS('Checklist de Viagem'!$A$6:$A$205,$A26)=0,"Não",IF(COUNTIFS('Checklist de Viagem'!$A$6:$A$205,$A26,'Checklist de Viagem'!$H$6:$H$205,"Não")=0,"Sim","Não")))</x:f>
      </x:c>
      <x:c r="W26" s="36"/>
      <x:c r="X26" s="36"/>
      <x:c r="Y26" s="36"/>
      <x:c r="Z26" s="59"/>
      <x:c r="AA26" s="59"/>
      <x:c r="AB26" s="67" t="str">
        <x:f>IF($A26="","",IF($P26&gt;1,"Viagem acima do orçamento",IF(AND($K26&lt;&gt;"Concluída",$V26&lt;&gt;"Sim",$H26-TODAY()&lt;=15),"Viagem próxima sem checklist completo",IF($W26="","Passagem ainda não comprada",IF($X26="","Falta reservar hospedagem",IF($S26&gt;0,"Existe valor pendente de compensação","Tudo certo"))))))</x:f>
      </x:c>
      <x:c r="AC26" s="36"/>
    </x:row>
    <x:row r="27">
      <x:c r="A27" s="36"/>
      <x:c r="B27" s="36"/>
      <x:c r="C27" s="36"/>
      <x:c r="D27" s="36"/>
      <x:c r="E27" s="36"/>
      <x:c r="F27" s="36"/>
      <x:c r="G27" s="36"/>
      <x:c r="H27" s="59"/>
      <x:c r="I27" s="59"/>
      <x:c r="J27" s="61" t="str">
        <x:f>IF(OR($H27="",$I27=""),"",MAX($I27-$H27+1,1))</x:f>
      </x:c>
      <x:c r="K27" s="36"/>
      <x:c r="L27" s="36"/>
      <x:c r="M27" s="63" t="str">
        <x:f>IF($A27="","",SUMIFS('Custos Planejados - Pedro'!$G$6:$G$205,'Custos Planejados - Pedro'!$A$6:$A$205,$A27)+SUMIFS('Custos Planejados - Camilly'!$G$6:$G$205,'Custos Planejados - Camilly'!$A$6:$A$205,$A27))</x:f>
      </x:c>
      <x:c r="N27" s="63" t="str">
        <x:f>IF($A27="","",SUMIFS('Histórico de Gastos'!$J$6:$J$205,'Histórico de Gastos'!$B$6:$B$205,$A27))</x:f>
      </x:c>
      <x:c r="O27" s="63" t="str">
        <x:f>IF($A27="","",$M27-$N27)</x:f>
      </x:c>
      <x:c r="P27" s="65" t="str">
        <x:f>IF($A27="","",IFERROR($N27/$M27,0))</x:f>
      </x:c>
      <x:c r="Q27" s="63" t="str">
        <x:f>IF($A27="","",SUMIFS('Histórico de Gastos'!$W$6:$W$205,'Histórico de Gastos'!$B$6:$B$205,$A27))</x:f>
      </x:c>
      <x:c r="R27" s="63" t="str">
        <x:f>IF($A27="","",SUMIFS('Histórico de Gastos'!$X$6:$X$205,'Histórico de Gastos'!$B$6:$B$205,$A27))</x:f>
      </x:c>
      <x:c r="S27" s="63" t="str">
        <x:f>IF($A27="","",ABS($Q27-SUMIFS('Histórico de Gastos'!$U$6:$U$205,'Histórico de Gastos'!$B$6:$B$205,$A27)))</x:f>
      </x:c>
      <x:c r="T27" s="67" t="str">
        <x:f>IF($A27="","",IF(ABS($Q27-SUMIFS('Histórico de Gastos'!$U$6:$U$205,'Histórico de Gastos'!$B$6:$B$205,$A27))&lt;0.01,"Tudo certo",IF($Q27&gt;SUMIFS('Histórico de Gastos'!$U$6:$U$205,'Histórico de Gastos'!$B$6:$B$205,$A27),"Camilly deve para Pedro","Pedro deve para Camilly")))</x:f>
      </x:c>
      <x:c r="U27" s="36"/>
      <x:c r="V27" s="67" t="str">
        <x:f>IF($A27="","",IF(COUNTIFS('Checklist de Viagem'!$A$6:$A$205,$A27)=0,"Não",IF(COUNTIFS('Checklist de Viagem'!$A$6:$A$205,$A27,'Checklist de Viagem'!$H$6:$H$205,"Não")=0,"Sim","Não")))</x:f>
      </x:c>
      <x:c r="W27" s="36"/>
      <x:c r="X27" s="36"/>
      <x:c r="Y27" s="36"/>
      <x:c r="Z27" s="59"/>
      <x:c r="AA27" s="59"/>
      <x:c r="AB27" s="67" t="str">
        <x:f>IF($A27="","",IF($P27&gt;1,"Viagem acima do orçamento",IF(AND($K27&lt;&gt;"Concluída",$V27&lt;&gt;"Sim",$H27-TODAY()&lt;=15),"Viagem próxima sem checklist completo",IF($W27="","Passagem ainda não comprada",IF($X27="","Falta reservar hospedagem",IF($S27&gt;0,"Existe valor pendente de compensação","Tudo certo"))))))</x:f>
      </x:c>
      <x:c r="AC27" s="36"/>
    </x:row>
    <x:row r="28">
      <x:c r="A28" s="36"/>
      <x:c r="B28" s="36"/>
      <x:c r="C28" s="36"/>
      <x:c r="D28" s="36"/>
      <x:c r="E28" s="36"/>
      <x:c r="F28" s="36"/>
      <x:c r="G28" s="36"/>
      <x:c r="H28" s="59"/>
      <x:c r="I28" s="59"/>
      <x:c r="J28" s="61" t="str">
        <x:f>IF(OR($H28="",$I28=""),"",MAX($I28-$H28+1,1))</x:f>
      </x:c>
      <x:c r="K28" s="36"/>
      <x:c r="L28" s="36"/>
      <x:c r="M28" s="63" t="str">
        <x:f>IF($A28="","",SUMIFS('Custos Planejados - Pedro'!$G$6:$G$205,'Custos Planejados - Pedro'!$A$6:$A$205,$A28)+SUMIFS('Custos Planejados - Camilly'!$G$6:$G$205,'Custos Planejados - Camilly'!$A$6:$A$205,$A28))</x:f>
      </x:c>
      <x:c r="N28" s="63" t="str">
        <x:f>IF($A28="","",SUMIFS('Histórico de Gastos'!$J$6:$J$205,'Histórico de Gastos'!$B$6:$B$205,$A28))</x:f>
      </x:c>
      <x:c r="O28" s="63" t="str">
        <x:f>IF($A28="","",$M28-$N28)</x:f>
      </x:c>
      <x:c r="P28" s="65" t="str">
        <x:f>IF($A28="","",IFERROR($N28/$M28,0))</x:f>
      </x:c>
      <x:c r="Q28" s="63" t="str">
        <x:f>IF($A28="","",SUMIFS('Histórico de Gastos'!$W$6:$W$205,'Histórico de Gastos'!$B$6:$B$205,$A28))</x:f>
      </x:c>
      <x:c r="R28" s="63" t="str">
        <x:f>IF($A28="","",SUMIFS('Histórico de Gastos'!$X$6:$X$205,'Histórico de Gastos'!$B$6:$B$205,$A28))</x:f>
      </x:c>
      <x:c r="S28" s="63" t="str">
        <x:f>IF($A28="","",ABS($Q28-SUMIFS('Histórico de Gastos'!$U$6:$U$205,'Histórico de Gastos'!$B$6:$B$205,$A28)))</x:f>
      </x:c>
      <x:c r="T28" s="67" t="str">
        <x:f>IF($A28="","",IF(ABS($Q28-SUMIFS('Histórico de Gastos'!$U$6:$U$205,'Histórico de Gastos'!$B$6:$B$205,$A28))&lt;0.01,"Tudo certo",IF($Q28&gt;SUMIFS('Histórico de Gastos'!$U$6:$U$205,'Histórico de Gastos'!$B$6:$B$205,$A28),"Camilly deve para Pedro","Pedro deve para Camilly")))</x:f>
      </x:c>
      <x:c r="U28" s="36"/>
      <x:c r="V28" s="67" t="str">
        <x:f>IF($A28="","",IF(COUNTIFS('Checklist de Viagem'!$A$6:$A$205,$A28)=0,"Não",IF(COUNTIFS('Checklist de Viagem'!$A$6:$A$205,$A28,'Checklist de Viagem'!$H$6:$H$205,"Não")=0,"Sim","Não")))</x:f>
      </x:c>
      <x:c r="W28" s="36"/>
      <x:c r="X28" s="36"/>
      <x:c r="Y28" s="36"/>
      <x:c r="Z28" s="59"/>
      <x:c r="AA28" s="59"/>
      <x:c r="AB28" s="67" t="str">
        <x:f>IF($A28="","",IF($P28&gt;1,"Viagem acima do orçamento",IF(AND($K28&lt;&gt;"Concluída",$V28&lt;&gt;"Sim",$H28-TODAY()&lt;=15),"Viagem próxima sem checklist completo",IF($W28="","Passagem ainda não comprada",IF($X28="","Falta reservar hospedagem",IF($S28&gt;0,"Existe valor pendente de compensação","Tudo certo"))))))</x:f>
      </x:c>
      <x:c r="AC28" s="36"/>
    </x:row>
    <x:row r="29">
      <x:c r="A29" s="36"/>
      <x:c r="B29" s="36"/>
      <x:c r="C29" s="36"/>
      <x:c r="D29" s="36"/>
      <x:c r="E29" s="36"/>
      <x:c r="F29" s="36"/>
      <x:c r="G29" s="36"/>
      <x:c r="H29" s="59"/>
      <x:c r="I29" s="59"/>
      <x:c r="J29" s="61" t="str">
        <x:f>IF(OR($H29="",$I29=""),"",MAX($I29-$H29+1,1))</x:f>
      </x:c>
      <x:c r="K29" s="36"/>
      <x:c r="L29" s="36"/>
      <x:c r="M29" s="63" t="str">
        <x:f>IF($A29="","",SUMIFS('Custos Planejados - Pedro'!$G$6:$G$205,'Custos Planejados - Pedro'!$A$6:$A$205,$A29)+SUMIFS('Custos Planejados - Camilly'!$G$6:$G$205,'Custos Planejados - Camilly'!$A$6:$A$205,$A29))</x:f>
      </x:c>
      <x:c r="N29" s="63" t="str">
        <x:f>IF($A29="","",SUMIFS('Histórico de Gastos'!$J$6:$J$205,'Histórico de Gastos'!$B$6:$B$205,$A29))</x:f>
      </x:c>
      <x:c r="O29" s="63" t="str">
        <x:f>IF($A29="","",$M29-$N29)</x:f>
      </x:c>
      <x:c r="P29" s="65" t="str">
        <x:f>IF($A29="","",IFERROR($N29/$M29,0))</x:f>
      </x:c>
      <x:c r="Q29" s="63" t="str">
        <x:f>IF($A29="","",SUMIFS('Histórico de Gastos'!$W$6:$W$205,'Histórico de Gastos'!$B$6:$B$205,$A29))</x:f>
      </x:c>
      <x:c r="R29" s="63" t="str">
        <x:f>IF($A29="","",SUMIFS('Histórico de Gastos'!$X$6:$X$205,'Histórico de Gastos'!$B$6:$B$205,$A29))</x:f>
      </x:c>
      <x:c r="S29" s="63" t="str">
        <x:f>IF($A29="","",ABS($Q29-SUMIFS('Histórico de Gastos'!$U$6:$U$205,'Histórico de Gastos'!$B$6:$B$205,$A29)))</x:f>
      </x:c>
      <x:c r="T29" s="67" t="str">
        <x:f>IF($A29="","",IF(ABS($Q29-SUMIFS('Histórico de Gastos'!$U$6:$U$205,'Histórico de Gastos'!$B$6:$B$205,$A29))&lt;0.01,"Tudo certo",IF($Q29&gt;SUMIFS('Histórico de Gastos'!$U$6:$U$205,'Histórico de Gastos'!$B$6:$B$205,$A29),"Camilly deve para Pedro","Pedro deve para Camilly")))</x:f>
      </x:c>
      <x:c r="U29" s="36"/>
      <x:c r="V29" s="67" t="str">
        <x:f>IF($A29="","",IF(COUNTIFS('Checklist de Viagem'!$A$6:$A$205,$A29)=0,"Não",IF(COUNTIFS('Checklist de Viagem'!$A$6:$A$205,$A29,'Checklist de Viagem'!$H$6:$H$205,"Não")=0,"Sim","Não")))</x:f>
      </x:c>
      <x:c r="W29" s="36"/>
      <x:c r="X29" s="36"/>
      <x:c r="Y29" s="36"/>
      <x:c r="Z29" s="59"/>
      <x:c r="AA29" s="59"/>
      <x:c r="AB29" s="67" t="str">
        <x:f>IF($A29="","",IF($P29&gt;1,"Viagem acima do orçamento",IF(AND($K29&lt;&gt;"Concluída",$V29&lt;&gt;"Sim",$H29-TODAY()&lt;=15),"Viagem próxima sem checklist completo",IF($W29="","Passagem ainda não comprada",IF($X29="","Falta reservar hospedagem",IF($S29&gt;0,"Existe valor pendente de compensação","Tudo certo"))))))</x:f>
      </x:c>
      <x:c r="AC29" s="36"/>
    </x:row>
    <x:row r="30">
      <x:c r="A30" s="36"/>
      <x:c r="B30" s="36"/>
      <x:c r="C30" s="36"/>
      <x:c r="D30" s="36"/>
      <x:c r="E30" s="36"/>
      <x:c r="F30" s="36"/>
      <x:c r="G30" s="36"/>
      <x:c r="H30" s="59"/>
      <x:c r="I30" s="59"/>
      <x:c r="J30" s="61" t="str">
        <x:f>IF(OR($H30="",$I30=""),"",MAX($I30-$H30+1,1))</x:f>
      </x:c>
      <x:c r="K30" s="36"/>
      <x:c r="L30" s="36"/>
      <x:c r="M30" s="63" t="str">
        <x:f>IF($A30="","",SUMIFS('Custos Planejados - Pedro'!$G$6:$G$205,'Custos Planejados - Pedro'!$A$6:$A$205,$A30)+SUMIFS('Custos Planejados - Camilly'!$G$6:$G$205,'Custos Planejados - Camilly'!$A$6:$A$205,$A30))</x:f>
      </x:c>
      <x:c r="N30" s="63" t="str">
        <x:f>IF($A30="","",SUMIFS('Histórico de Gastos'!$J$6:$J$205,'Histórico de Gastos'!$B$6:$B$205,$A30))</x:f>
      </x:c>
      <x:c r="O30" s="63" t="str">
        <x:f>IF($A30="","",$M30-$N30)</x:f>
      </x:c>
      <x:c r="P30" s="65" t="str">
        <x:f>IF($A30="","",IFERROR($N30/$M30,0))</x:f>
      </x:c>
      <x:c r="Q30" s="63" t="str">
        <x:f>IF($A30="","",SUMIFS('Histórico de Gastos'!$W$6:$W$205,'Histórico de Gastos'!$B$6:$B$205,$A30))</x:f>
      </x:c>
      <x:c r="R30" s="63" t="str">
        <x:f>IF($A30="","",SUMIFS('Histórico de Gastos'!$X$6:$X$205,'Histórico de Gastos'!$B$6:$B$205,$A30))</x:f>
      </x:c>
      <x:c r="S30" s="63" t="str">
        <x:f>IF($A30="","",ABS($Q30-SUMIFS('Histórico de Gastos'!$U$6:$U$205,'Histórico de Gastos'!$B$6:$B$205,$A30)))</x:f>
      </x:c>
      <x:c r="T30" s="67" t="str">
        <x:f>IF($A30="","",IF(ABS($Q30-SUMIFS('Histórico de Gastos'!$U$6:$U$205,'Histórico de Gastos'!$B$6:$B$205,$A30))&lt;0.01,"Tudo certo",IF($Q30&gt;SUMIFS('Histórico de Gastos'!$U$6:$U$205,'Histórico de Gastos'!$B$6:$B$205,$A30),"Camilly deve para Pedro","Pedro deve para Camilly")))</x:f>
      </x:c>
      <x:c r="U30" s="36"/>
      <x:c r="V30" s="67" t="str">
        <x:f>IF($A30="","",IF(COUNTIFS('Checklist de Viagem'!$A$6:$A$205,$A30)=0,"Não",IF(COUNTIFS('Checklist de Viagem'!$A$6:$A$205,$A30,'Checklist de Viagem'!$H$6:$H$205,"Não")=0,"Sim","Não")))</x:f>
      </x:c>
      <x:c r="W30" s="36"/>
      <x:c r="X30" s="36"/>
      <x:c r="Y30" s="36"/>
      <x:c r="Z30" s="59"/>
      <x:c r="AA30" s="59"/>
      <x:c r="AB30" s="67" t="str">
        <x:f>IF($A30="","",IF($P30&gt;1,"Viagem acima do orçamento",IF(AND($K30&lt;&gt;"Concluída",$V30&lt;&gt;"Sim",$H30-TODAY()&lt;=15),"Viagem próxima sem checklist completo",IF($W30="","Passagem ainda não comprada",IF($X30="","Falta reservar hospedagem",IF($S30&gt;0,"Existe valor pendente de compensação","Tudo certo"))))))</x:f>
      </x:c>
      <x:c r="AC30" s="36"/>
    </x:row>
    <x:row r="31">
      <x:c r="A31" s="36"/>
      <x:c r="B31" s="36"/>
      <x:c r="C31" s="36"/>
      <x:c r="D31" s="36"/>
      <x:c r="E31" s="36"/>
      <x:c r="F31" s="36"/>
      <x:c r="G31" s="36"/>
      <x:c r="H31" s="59"/>
      <x:c r="I31" s="59"/>
      <x:c r="J31" s="61" t="str">
        <x:f>IF(OR($H31="",$I31=""),"",MAX($I31-$H31+1,1))</x:f>
      </x:c>
      <x:c r="K31" s="36"/>
      <x:c r="L31" s="36"/>
      <x:c r="M31" s="63" t="str">
        <x:f>IF($A31="","",SUMIFS('Custos Planejados - Pedro'!$G$6:$G$205,'Custos Planejados - Pedro'!$A$6:$A$205,$A31)+SUMIFS('Custos Planejados - Camilly'!$G$6:$G$205,'Custos Planejados - Camilly'!$A$6:$A$205,$A31))</x:f>
      </x:c>
      <x:c r="N31" s="63" t="str">
        <x:f>IF($A31="","",SUMIFS('Histórico de Gastos'!$J$6:$J$205,'Histórico de Gastos'!$B$6:$B$205,$A31))</x:f>
      </x:c>
      <x:c r="O31" s="63" t="str">
        <x:f>IF($A31="","",$M31-$N31)</x:f>
      </x:c>
      <x:c r="P31" s="65" t="str">
        <x:f>IF($A31="","",IFERROR($N31/$M31,0))</x:f>
      </x:c>
      <x:c r="Q31" s="63" t="str">
        <x:f>IF($A31="","",SUMIFS('Histórico de Gastos'!$W$6:$W$205,'Histórico de Gastos'!$B$6:$B$205,$A31))</x:f>
      </x:c>
      <x:c r="R31" s="63" t="str">
        <x:f>IF($A31="","",SUMIFS('Histórico de Gastos'!$X$6:$X$205,'Histórico de Gastos'!$B$6:$B$205,$A31))</x:f>
      </x:c>
      <x:c r="S31" s="63" t="str">
        <x:f>IF($A31="","",ABS($Q31-SUMIFS('Histórico de Gastos'!$U$6:$U$205,'Histórico de Gastos'!$B$6:$B$205,$A31)))</x:f>
      </x:c>
      <x:c r="T31" s="67" t="str">
        <x:f>IF($A31="","",IF(ABS($Q31-SUMIFS('Histórico de Gastos'!$U$6:$U$205,'Histórico de Gastos'!$B$6:$B$205,$A31))&lt;0.01,"Tudo certo",IF($Q31&gt;SUMIFS('Histórico de Gastos'!$U$6:$U$205,'Histórico de Gastos'!$B$6:$B$205,$A31),"Camilly deve para Pedro","Pedro deve para Camilly")))</x:f>
      </x:c>
      <x:c r="U31" s="36"/>
      <x:c r="V31" s="67" t="str">
        <x:f>IF($A31="","",IF(COUNTIFS('Checklist de Viagem'!$A$6:$A$205,$A31)=0,"Não",IF(COUNTIFS('Checklist de Viagem'!$A$6:$A$205,$A31,'Checklist de Viagem'!$H$6:$H$205,"Não")=0,"Sim","Não")))</x:f>
      </x:c>
      <x:c r="W31" s="36"/>
      <x:c r="X31" s="36"/>
      <x:c r="Y31" s="36"/>
      <x:c r="Z31" s="59"/>
      <x:c r="AA31" s="59"/>
      <x:c r="AB31" s="67" t="str">
        <x:f>IF($A31="","",IF($P31&gt;1,"Viagem acima do orçamento",IF(AND($K31&lt;&gt;"Concluída",$V31&lt;&gt;"Sim",$H31-TODAY()&lt;=15),"Viagem próxima sem checklist completo",IF($W31="","Passagem ainda não comprada",IF($X31="","Falta reservar hospedagem",IF($S31&gt;0,"Existe valor pendente de compensação","Tudo certo"))))))</x:f>
      </x:c>
      <x:c r="AC31" s="36"/>
    </x:row>
    <x:row r="32">
      <x:c r="A32" s="36"/>
      <x:c r="B32" s="36"/>
      <x:c r="C32" s="36"/>
      <x:c r="D32" s="36"/>
      <x:c r="E32" s="36"/>
      <x:c r="F32" s="36"/>
      <x:c r="G32" s="36"/>
      <x:c r="H32" s="59"/>
      <x:c r="I32" s="59"/>
      <x:c r="J32" s="61" t="str">
        <x:f>IF(OR($H32="",$I32=""),"",MAX($I32-$H32+1,1))</x:f>
      </x:c>
      <x:c r="K32" s="36"/>
      <x:c r="L32" s="36"/>
      <x:c r="M32" s="63" t="str">
        <x:f>IF($A32="","",SUMIFS('Custos Planejados - Pedro'!$G$6:$G$205,'Custos Planejados - Pedro'!$A$6:$A$205,$A32)+SUMIFS('Custos Planejados - Camilly'!$G$6:$G$205,'Custos Planejados - Camilly'!$A$6:$A$205,$A32))</x:f>
      </x:c>
      <x:c r="N32" s="63" t="str">
        <x:f>IF($A32="","",SUMIFS('Histórico de Gastos'!$J$6:$J$205,'Histórico de Gastos'!$B$6:$B$205,$A32))</x:f>
      </x:c>
      <x:c r="O32" s="63" t="str">
        <x:f>IF($A32="","",$M32-$N32)</x:f>
      </x:c>
      <x:c r="P32" s="65" t="str">
        <x:f>IF($A32="","",IFERROR($N32/$M32,0))</x:f>
      </x:c>
      <x:c r="Q32" s="63" t="str">
        <x:f>IF($A32="","",SUMIFS('Histórico de Gastos'!$W$6:$W$205,'Histórico de Gastos'!$B$6:$B$205,$A32))</x:f>
      </x:c>
      <x:c r="R32" s="63" t="str">
        <x:f>IF($A32="","",SUMIFS('Histórico de Gastos'!$X$6:$X$205,'Histórico de Gastos'!$B$6:$B$205,$A32))</x:f>
      </x:c>
      <x:c r="S32" s="63" t="str">
        <x:f>IF($A32="","",ABS($Q32-SUMIFS('Histórico de Gastos'!$U$6:$U$205,'Histórico de Gastos'!$B$6:$B$205,$A32)))</x:f>
      </x:c>
      <x:c r="T32" s="67" t="str">
        <x:f>IF($A32="","",IF(ABS($Q32-SUMIFS('Histórico de Gastos'!$U$6:$U$205,'Histórico de Gastos'!$B$6:$B$205,$A32))&lt;0.01,"Tudo certo",IF($Q32&gt;SUMIFS('Histórico de Gastos'!$U$6:$U$205,'Histórico de Gastos'!$B$6:$B$205,$A32),"Camilly deve para Pedro","Pedro deve para Camilly")))</x:f>
      </x:c>
      <x:c r="U32" s="36"/>
      <x:c r="V32" s="67" t="str">
        <x:f>IF($A32="","",IF(COUNTIFS('Checklist de Viagem'!$A$6:$A$205,$A32)=0,"Não",IF(COUNTIFS('Checklist de Viagem'!$A$6:$A$205,$A32,'Checklist de Viagem'!$H$6:$H$205,"Não")=0,"Sim","Não")))</x:f>
      </x:c>
      <x:c r="W32" s="36"/>
      <x:c r="X32" s="36"/>
      <x:c r="Y32" s="36"/>
      <x:c r="Z32" s="59"/>
      <x:c r="AA32" s="59"/>
      <x:c r="AB32" s="67" t="str">
        <x:f>IF($A32="","",IF($P32&gt;1,"Viagem acima do orçamento",IF(AND($K32&lt;&gt;"Concluída",$V32&lt;&gt;"Sim",$H32-TODAY()&lt;=15),"Viagem próxima sem checklist completo",IF($W32="","Passagem ainda não comprada",IF($X32="","Falta reservar hospedagem",IF($S32&gt;0,"Existe valor pendente de compensação","Tudo certo"))))))</x:f>
      </x:c>
      <x:c r="AC32" s="36"/>
    </x:row>
    <x:row r="33">
      <x:c r="A33" s="36"/>
      <x:c r="B33" s="36"/>
      <x:c r="C33" s="36"/>
      <x:c r="D33" s="36"/>
      <x:c r="E33" s="36"/>
      <x:c r="F33" s="36"/>
      <x:c r="G33" s="36"/>
      <x:c r="H33" s="59"/>
      <x:c r="I33" s="59"/>
      <x:c r="J33" s="61" t="str">
        <x:f>IF(OR($H33="",$I33=""),"",MAX($I33-$H33+1,1))</x:f>
      </x:c>
      <x:c r="K33" s="36"/>
      <x:c r="L33" s="36"/>
      <x:c r="M33" s="63" t="str">
        <x:f>IF($A33="","",SUMIFS('Custos Planejados - Pedro'!$G$6:$G$205,'Custos Planejados - Pedro'!$A$6:$A$205,$A33)+SUMIFS('Custos Planejados - Camilly'!$G$6:$G$205,'Custos Planejados - Camilly'!$A$6:$A$205,$A33))</x:f>
      </x:c>
      <x:c r="N33" s="63" t="str">
        <x:f>IF($A33="","",SUMIFS('Histórico de Gastos'!$J$6:$J$205,'Histórico de Gastos'!$B$6:$B$205,$A33))</x:f>
      </x:c>
      <x:c r="O33" s="63" t="str">
        <x:f>IF($A33="","",$M33-$N33)</x:f>
      </x:c>
      <x:c r="P33" s="65" t="str">
        <x:f>IF($A33="","",IFERROR($N33/$M33,0))</x:f>
      </x:c>
      <x:c r="Q33" s="63" t="str">
        <x:f>IF($A33="","",SUMIFS('Histórico de Gastos'!$W$6:$W$205,'Histórico de Gastos'!$B$6:$B$205,$A33))</x:f>
      </x:c>
      <x:c r="R33" s="63" t="str">
        <x:f>IF($A33="","",SUMIFS('Histórico de Gastos'!$X$6:$X$205,'Histórico de Gastos'!$B$6:$B$205,$A33))</x:f>
      </x:c>
      <x:c r="S33" s="63" t="str">
        <x:f>IF($A33="","",ABS($Q33-SUMIFS('Histórico de Gastos'!$U$6:$U$205,'Histórico de Gastos'!$B$6:$B$205,$A33)))</x:f>
      </x:c>
      <x:c r="T33" s="67" t="str">
        <x:f>IF($A33="","",IF(ABS($Q33-SUMIFS('Histórico de Gastos'!$U$6:$U$205,'Histórico de Gastos'!$B$6:$B$205,$A33))&lt;0.01,"Tudo certo",IF($Q33&gt;SUMIFS('Histórico de Gastos'!$U$6:$U$205,'Histórico de Gastos'!$B$6:$B$205,$A33),"Camilly deve para Pedro","Pedro deve para Camilly")))</x:f>
      </x:c>
      <x:c r="U33" s="36"/>
      <x:c r="V33" s="67" t="str">
        <x:f>IF($A33="","",IF(COUNTIFS('Checklist de Viagem'!$A$6:$A$205,$A33)=0,"Não",IF(COUNTIFS('Checklist de Viagem'!$A$6:$A$205,$A33,'Checklist de Viagem'!$H$6:$H$205,"Não")=0,"Sim","Não")))</x:f>
      </x:c>
      <x:c r="W33" s="36"/>
      <x:c r="X33" s="36"/>
      <x:c r="Y33" s="36"/>
      <x:c r="Z33" s="59"/>
      <x:c r="AA33" s="59"/>
      <x:c r="AB33" s="67" t="str">
        <x:f>IF($A33="","",IF($P33&gt;1,"Viagem acima do orçamento",IF(AND($K33&lt;&gt;"Concluída",$V33&lt;&gt;"Sim",$H33-TODAY()&lt;=15),"Viagem próxima sem checklist completo",IF($W33="","Passagem ainda não comprada",IF($X33="","Falta reservar hospedagem",IF($S33&gt;0,"Existe valor pendente de compensação","Tudo certo"))))))</x:f>
      </x:c>
      <x:c r="AC33" s="36"/>
    </x:row>
    <x:row r="34">
      <x:c r="A34" s="36"/>
      <x:c r="B34" s="36"/>
      <x:c r="C34" s="36"/>
      <x:c r="D34" s="36"/>
      <x:c r="E34" s="36"/>
      <x:c r="F34" s="36"/>
      <x:c r="G34" s="36"/>
      <x:c r="H34" s="59"/>
      <x:c r="I34" s="59"/>
      <x:c r="J34" s="61" t="str">
        <x:f>IF(OR($H34="",$I34=""),"",MAX($I34-$H34+1,1))</x:f>
      </x:c>
      <x:c r="K34" s="36"/>
      <x:c r="L34" s="36"/>
      <x:c r="M34" s="63" t="str">
        <x:f>IF($A34="","",SUMIFS('Custos Planejados - Pedro'!$G$6:$G$205,'Custos Planejados - Pedro'!$A$6:$A$205,$A34)+SUMIFS('Custos Planejados - Camilly'!$G$6:$G$205,'Custos Planejados - Camilly'!$A$6:$A$205,$A34))</x:f>
      </x:c>
      <x:c r="N34" s="63" t="str">
        <x:f>IF($A34="","",SUMIFS('Histórico de Gastos'!$J$6:$J$205,'Histórico de Gastos'!$B$6:$B$205,$A34))</x:f>
      </x:c>
      <x:c r="O34" s="63" t="str">
        <x:f>IF($A34="","",$M34-$N34)</x:f>
      </x:c>
      <x:c r="P34" s="65" t="str">
        <x:f>IF($A34="","",IFERROR($N34/$M34,0))</x:f>
      </x:c>
      <x:c r="Q34" s="63" t="str">
        <x:f>IF($A34="","",SUMIFS('Histórico de Gastos'!$W$6:$W$205,'Histórico de Gastos'!$B$6:$B$205,$A34))</x:f>
      </x:c>
      <x:c r="R34" s="63" t="str">
        <x:f>IF($A34="","",SUMIFS('Histórico de Gastos'!$X$6:$X$205,'Histórico de Gastos'!$B$6:$B$205,$A34))</x:f>
      </x:c>
      <x:c r="S34" s="63" t="str">
        <x:f>IF($A34="","",ABS($Q34-SUMIFS('Histórico de Gastos'!$U$6:$U$205,'Histórico de Gastos'!$B$6:$B$205,$A34)))</x:f>
      </x:c>
      <x:c r="T34" s="67" t="str">
        <x:f>IF($A34="","",IF(ABS($Q34-SUMIFS('Histórico de Gastos'!$U$6:$U$205,'Histórico de Gastos'!$B$6:$B$205,$A34))&lt;0.01,"Tudo certo",IF($Q34&gt;SUMIFS('Histórico de Gastos'!$U$6:$U$205,'Histórico de Gastos'!$B$6:$B$205,$A34),"Camilly deve para Pedro","Pedro deve para Camilly")))</x:f>
      </x:c>
      <x:c r="U34" s="36"/>
      <x:c r="V34" s="67" t="str">
        <x:f>IF($A34="","",IF(COUNTIFS('Checklist de Viagem'!$A$6:$A$205,$A34)=0,"Não",IF(COUNTIFS('Checklist de Viagem'!$A$6:$A$205,$A34,'Checklist de Viagem'!$H$6:$H$205,"Não")=0,"Sim","Não")))</x:f>
      </x:c>
      <x:c r="W34" s="36"/>
      <x:c r="X34" s="36"/>
      <x:c r="Y34" s="36"/>
      <x:c r="Z34" s="59"/>
      <x:c r="AA34" s="59"/>
      <x:c r="AB34" s="67" t="str">
        <x:f>IF($A34="","",IF($P34&gt;1,"Viagem acima do orçamento",IF(AND($K34&lt;&gt;"Concluída",$V34&lt;&gt;"Sim",$H34-TODAY()&lt;=15),"Viagem próxima sem checklist completo",IF($W34="","Passagem ainda não comprada",IF($X34="","Falta reservar hospedagem",IF($S34&gt;0,"Existe valor pendente de compensação","Tudo certo"))))))</x:f>
      </x:c>
      <x:c r="AC34" s="36"/>
    </x:row>
    <x:row r="35">
      <x:c r="A35" s="36"/>
      <x:c r="B35" s="36"/>
      <x:c r="C35" s="36"/>
      <x:c r="D35" s="36"/>
      <x:c r="E35" s="36"/>
      <x:c r="F35" s="36"/>
      <x:c r="G35" s="36"/>
      <x:c r="H35" s="59"/>
      <x:c r="I35" s="59"/>
      <x:c r="J35" s="61" t="str">
        <x:f>IF(OR($H35="",$I35=""),"",MAX($I35-$H35+1,1))</x:f>
      </x:c>
      <x:c r="K35" s="36"/>
      <x:c r="L35" s="36"/>
      <x:c r="M35" s="63" t="str">
        <x:f>IF($A35="","",SUMIFS('Custos Planejados - Pedro'!$G$6:$G$205,'Custos Planejados - Pedro'!$A$6:$A$205,$A35)+SUMIFS('Custos Planejados - Camilly'!$G$6:$G$205,'Custos Planejados - Camilly'!$A$6:$A$205,$A35))</x:f>
      </x:c>
      <x:c r="N35" s="63" t="str">
        <x:f>IF($A35="","",SUMIFS('Histórico de Gastos'!$J$6:$J$205,'Histórico de Gastos'!$B$6:$B$205,$A35))</x:f>
      </x:c>
      <x:c r="O35" s="63" t="str">
        <x:f>IF($A35="","",$M35-$N35)</x:f>
      </x:c>
      <x:c r="P35" s="65" t="str">
        <x:f>IF($A35="","",IFERROR($N35/$M35,0))</x:f>
      </x:c>
      <x:c r="Q35" s="63" t="str">
        <x:f>IF($A35="","",SUMIFS('Histórico de Gastos'!$W$6:$W$205,'Histórico de Gastos'!$B$6:$B$205,$A35))</x:f>
      </x:c>
      <x:c r="R35" s="63" t="str">
        <x:f>IF($A35="","",SUMIFS('Histórico de Gastos'!$X$6:$X$205,'Histórico de Gastos'!$B$6:$B$205,$A35))</x:f>
      </x:c>
      <x:c r="S35" s="63" t="str">
        <x:f>IF($A35="","",ABS($Q35-SUMIFS('Histórico de Gastos'!$U$6:$U$205,'Histórico de Gastos'!$B$6:$B$205,$A35)))</x:f>
      </x:c>
      <x:c r="T35" s="67" t="str">
        <x:f>IF($A35="","",IF(ABS($Q35-SUMIFS('Histórico de Gastos'!$U$6:$U$205,'Histórico de Gastos'!$B$6:$B$205,$A35))&lt;0.01,"Tudo certo",IF($Q35&gt;SUMIFS('Histórico de Gastos'!$U$6:$U$205,'Histórico de Gastos'!$B$6:$B$205,$A35),"Camilly deve para Pedro","Pedro deve para Camilly")))</x:f>
      </x:c>
      <x:c r="U35" s="36"/>
      <x:c r="V35" s="67" t="str">
        <x:f>IF($A35="","",IF(COUNTIFS('Checklist de Viagem'!$A$6:$A$205,$A35)=0,"Não",IF(COUNTIFS('Checklist de Viagem'!$A$6:$A$205,$A35,'Checklist de Viagem'!$H$6:$H$205,"Não")=0,"Sim","Não")))</x:f>
      </x:c>
      <x:c r="W35" s="36"/>
      <x:c r="X35" s="36"/>
      <x:c r="Y35" s="36"/>
      <x:c r="Z35" s="59"/>
      <x:c r="AA35" s="59"/>
      <x:c r="AB35" s="67" t="str">
        <x:f>IF($A35="","",IF($P35&gt;1,"Viagem acima do orçamento",IF(AND($K35&lt;&gt;"Concluída",$V35&lt;&gt;"Sim",$H35-TODAY()&lt;=15),"Viagem próxima sem checklist completo",IF($W35="","Passagem ainda não comprada",IF($X35="","Falta reservar hospedagem",IF($S35&gt;0,"Existe valor pendente de compensação","Tudo certo"))))))</x:f>
      </x:c>
      <x:c r="AC35" s="36"/>
    </x:row>
    <x:row r="36">
      <x:c r="A36" s="36"/>
      <x:c r="B36" s="36"/>
      <x:c r="C36" s="36"/>
      <x:c r="D36" s="36"/>
      <x:c r="E36" s="36"/>
      <x:c r="F36" s="36"/>
      <x:c r="G36" s="36"/>
      <x:c r="H36" s="59"/>
      <x:c r="I36" s="59"/>
      <x:c r="J36" s="61" t="str">
        <x:f>IF(OR($H36="",$I36=""),"",MAX($I36-$H36+1,1))</x:f>
      </x:c>
      <x:c r="K36" s="36"/>
      <x:c r="L36" s="36"/>
      <x:c r="M36" s="63" t="str">
        <x:f>IF($A36="","",SUMIFS('Custos Planejados - Pedro'!$G$6:$G$205,'Custos Planejados - Pedro'!$A$6:$A$205,$A36)+SUMIFS('Custos Planejados - Camilly'!$G$6:$G$205,'Custos Planejados - Camilly'!$A$6:$A$205,$A36))</x:f>
      </x:c>
      <x:c r="N36" s="63" t="str">
        <x:f>IF($A36="","",SUMIFS('Histórico de Gastos'!$J$6:$J$205,'Histórico de Gastos'!$B$6:$B$205,$A36))</x:f>
      </x:c>
      <x:c r="O36" s="63" t="str">
        <x:f>IF($A36="","",$M36-$N36)</x:f>
      </x:c>
      <x:c r="P36" s="65" t="str">
        <x:f>IF($A36="","",IFERROR($N36/$M36,0))</x:f>
      </x:c>
      <x:c r="Q36" s="63" t="str">
        <x:f>IF($A36="","",SUMIFS('Histórico de Gastos'!$W$6:$W$205,'Histórico de Gastos'!$B$6:$B$205,$A36))</x:f>
      </x:c>
      <x:c r="R36" s="63" t="str">
        <x:f>IF($A36="","",SUMIFS('Histórico de Gastos'!$X$6:$X$205,'Histórico de Gastos'!$B$6:$B$205,$A36))</x:f>
      </x:c>
      <x:c r="S36" s="63" t="str">
        <x:f>IF($A36="","",ABS($Q36-SUMIFS('Histórico de Gastos'!$U$6:$U$205,'Histórico de Gastos'!$B$6:$B$205,$A36)))</x:f>
      </x:c>
      <x:c r="T36" s="67" t="str">
        <x:f>IF($A36="","",IF(ABS($Q36-SUMIFS('Histórico de Gastos'!$U$6:$U$205,'Histórico de Gastos'!$B$6:$B$205,$A36))&lt;0.01,"Tudo certo",IF($Q36&gt;SUMIFS('Histórico de Gastos'!$U$6:$U$205,'Histórico de Gastos'!$B$6:$B$205,$A36),"Camilly deve para Pedro","Pedro deve para Camilly")))</x:f>
      </x:c>
      <x:c r="U36" s="36"/>
      <x:c r="V36" s="67" t="str">
        <x:f>IF($A36="","",IF(COUNTIFS('Checklist de Viagem'!$A$6:$A$205,$A36)=0,"Não",IF(COUNTIFS('Checklist de Viagem'!$A$6:$A$205,$A36,'Checklist de Viagem'!$H$6:$H$205,"Não")=0,"Sim","Não")))</x:f>
      </x:c>
      <x:c r="W36" s="36"/>
      <x:c r="X36" s="36"/>
      <x:c r="Y36" s="36"/>
      <x:c r="Z36" s="59"/>
      <x:c r="AA36" s="59"/>
      <x:c r="AB36" s="67" t="str">
        <x:f>IF($A36="","",IF($P36&gt;1,"Viagem acima do orçamento",IF(AND($K36&lt;&gt;"Concluída",$V36&lt;&gt;"Sim",$H36-TODAY()&lt;=15),"Viagem próxima sem checklist completo",IF($W36="","Passagem ainda não comprada",IF($X36="","Falta reservar hospedagem",IF($S36&gt;0,"Existe valor pendente de compensação","Tudo certo"))))))</x:f>
      </x:c>
      <x:c r="AC36" s="36"/>
    </x:row>
    <x:row r="37">
      <x:c r="A37" s="36"/>
      <x:c r="B37" s="36"/>
      <x:c r="C37" s="36"/>
      <x:c r="D37" s="36"/>
      <x:c r="E37" s="36"/>
      <x:c r="F37" s="36"/>
      <x:c r="G37" s="36"/>
      <x:c r="H37" s="59"/>
      <x:c r="I37" s="59"/>
      <x:c r="J37" s="61" t="str">
        <x:f>IF(OR($H37="",$I37=""),"",MAX($I37-$H37+1,1))</x:f>
      </x:c>
      <x:c r="K37" s="36"/>
      <x:c r="L37" s="36"/>
      <x:c r="M37" s="63" t="str">
        <x:f>IF($A37="","",SUMIFS('Custos Planejados - Pedro'!$G$6:$G$205,'Custos Planejados - Pedro'!$A$6:$A$205,$A37)+SUMIFS('Custos Planejados - Camilly'!$G$6:$G$205,'Custos Planejados - Camilly'!$A$6:$A$205,$A37))</x:f>
      </x:c>
      <x:c r="N37" s="63" t="str">
        <x:f>IF($A37="","",SUMIFS('Histórico de Gastos'!$J$6:$J$205,'Histórico de Gastos'!$B$6:$B$205,$A37))</x:f>
      </x:c>
      <x:c r="O37" s="63" t="str">
        <x:f>IF($A37="","",$M37-$N37)</x:f>
      </x:c>
      <x:c r="P37" s="65" t="str">
        <x:f>IF($A37="","",IFERROR($N37/$M37,0))</x:f>
      </x:c>
      <x:c r="Q37" s="63" t="str">
        <x:f>IF($A37="","",SUMIFS('Histórico de Gastos'!$W$6:$W$205,'Histórico de Gastos'!$B$6:$B$205,$A37))</x:f>
      </x:c>
      <x:c r="R37" s="63" t="str">
        <x:f>IF($A37="","",SUMIFS('Histórico de Gastos'!$X$6:$X$205,'Histórico de Gastos'!$B$6:$B$205,$A37))</x:f>
      </x:c>
      <x:c r="S37" s="63" t="str">
        <x:f>IF($A37="","",ABS($Q37-SUMIFS('Histórico de Gastos'!$U$6:$U$205,'Histórico de Gastos'!$B$6:$B$205,$A37)))</x:f>
      </x:c>
      <x:c r="T37" s="67" t="str">
        <x:f>IF($A37="","",IF(ABS($Q37-SUMIFS('Histórico de Gastos'!$U$6:$U$205,'Histórico de Gastos'!$B$6:$B$205,$A37))&lt;0.01,"Tudo certo",IF($Q37&gt;SUMIFS('Histórico de Gastos'!$U$6:$U$205,'Histórico de Gastos'!$B$6:$B$205,$A37),"Camilly deve para Pedro","Pedro deve para Camilly")))</x:f>
      </x:c>
      <x:c r="U37" s="36"/>
      <x:c r="V37" s="67" t="str">
        <x:f>IF($A37="","",IF(COUNTIFS('Checklist de Viagem'!$A$6:$A$205,$A37)=0,"Não",IF(COUNTIFS('Checklist de Viagem'!$A$6:$A$205,$A37,'Checklist de Viagem'!$H$6:$H$205,"Não")=0,"Sim","Não")))</x:f>
      </x:c>
      <x:c r="W37" s="36"/>
      <x:c r="X37" s="36"/>
      <x:c r="Y37" s="36"/>
      <x:c r="Z37" s="59"/>
      <x:c r="AA37" s="59"/>
      <x:c r="AB37" s="67" t="str">
        <x:f>IF($A37="","",IF($P37&gt;1,"Viagem acima do orçamento",IF(AND($K37&lt;&gt;"Concluída",$V37&lt;&gt;"Sim",$H37-TODAY()&lt;=15),"Viagem próxima sem checklist completo",IF($W37="","Passagem ainda não comprada",IF($X37="","Falta reservar hospedagem",IF($S37&gt;0,"Existe valor pendente de compensação","Tudo certo"))))))</x:f>
      </x:c>
      <x:c r="AC37" s="36"/>
    </x:row>
    <x:row r="38">
      <x:c r="A38" s="36"/>
      <x:c r="B38" s="36"/>
      <x:c r="C38" s="36"/>
      <x:c r="D38" s="36"/>
      <x:c r="E38" s="36"/>
      <x:c r="F38" s="36"/>
      <x:c r="G38" s="36"/>
      <x:c r="H38" s="59"/>
      <x:c r="I38" s="59"/>
      <x:c r="J38" s="61" t="str">
        <x:f>IF(OR($H38="",$I38=""),"",MAX($I38-$H38+1,1))</x:f>
      </x:c>
      <x:c r="K38" s="36"/>
      <x:c r="L38" s="36"/>
      <x:c r="M38" s="63" t="str">
        <x:f>IF($A38="","",SUMIFS('Custos Planejados - Pedro'!$G$6:$G$205,'Custos Planejados - Pedro'!$A$6:$A$205,$A38)+SUMIFS('Custos Planejados - Camilly'!$G$6:$G$205,'Custos Planejados - Camilly'!$A$6:$A$205,$A38))</x:f>
      </x:c>
      <x:c r="N38" s="63" t="str">
        <x:f>IF($A38="","",SUMIFS('Histórico de Gastos'!$J$6:$J$205,'Histórico de Gastos'!$B$6:$B$205,$A38))</x:f>
      </x:c>
      <x:c r="O38" s="63" t="str">
        <x:f>IF($A38="","",$M38-$N38)</x:f>
      </x:c>
      <x:c r="P38" s="65" t="str">
        <x:f>IF($A38="","",IFERROR($N38/$M38,0))</x:f>
      </x:c>
      <x:c r="Q38" s="63" t="str">
        <x:f>IF($A38="","",SUMIFS('Histórico de Gastos'!$W$6:$W$205,'Histórico de Gastos'!$B$6:$B$205,$A38))</x:f>
      </x:c>
      <x:c r="R38" s="63" t="str">
        <x:f>IF($A38="","",SUMIFS('Histórico de Gastos'!$X$6:$X$205,'Histórico de Gastos'!$B$6:$B$205,$A38))</x:f>
      </x:c>
      <x:c r="S38" s="63" t="str">
        <x:f>IF($A38="","",ABS($Q38-SUMIFS('Histórico de Gastos'!$U$6:$U$205,'Histórico de Gastos'!$B$6:$B$205,$A38)))</x:f>
      </x:c>
      <x:c r="T38" s="67" t="str">
        <x:f>IF($A38="","",IF(ABS($Q38-SUMIFS('Histórico de Gastos'!$U$6:$U$205,'Histórico de Gastos'!$B$6:$B$205,$A38))&lt;0.01,"Tudo certo",IF($Q38&gt;SUMIFS('Histórico de Gastos'!$U$6:$U$205,'Histórico de Gastos'!$B$6:$B$205,$A38),"Camilly deve para Pedro","Pedro deve para Camilly")))</x:f>
      </x:c>
      <x:c r="U38" s="36"/>
      <x:c r="V38" s="67" t="str">
        <x:f>IF($A38="","",IF(COUNTIFS('Checklist de Viagem'!$A$6:$A$205,$A38)=0,"Não",IF(COUNTIFS('Checklist de Viagem'!$A$6:$A$205,$A38,'Checklist de Viagem'!$H$6:$H$205,"Não")=0,"Sim","Não")))</x:f>
      </x:c>
      <x:c r="W38" s="36"/>
      <x:c r="X38" s="36"/>
      <x:c r="Y38" s="36"/>
      <x:c r="Z38" s="59"/>
      <x:c r="AA38" s="59"/>
      <x:c r="AB38" s="67" t="str">
        <x:f>IF($A38="","",IF($P38&gt;1,"Viagem acima do orçamento",IF(AND($K38&lt;&gt;"Concluída",$V38&lt;&gt;"Sim",$H38-TODAY()&lt;=15),"Viagem próxima sem checklist completo",IF($W38="","Passagem ainda não comprada",IF($X38="","Falta reservar hospedagem",IF($S38&gt;0,"Existe valor pendente de compensação","Tudo certo"))))))</x:f>
      </x:c>
      <x:c r="AC38" s="36"/>
    </x:row>
    <x:row r="39">
      <x:c r="A39" s="36"/>
      <x:c r="B39" s="36"/>
      <x:c r="C39" s="36"/>
      <x:c r="D39" s="36"/>
      <x:c r="E39" s="36"/>
      <x:c r="F39" s="36"/>
      <x:c r="G39" s="36"/>
      <x:c r="H39" s="59"/>
      <x:c r="I39" s="59"/>
      <x:c r="J39" s="61" t="str">
        <x:f>IF(OR($H39="",$I39=""),"",MAX($I39-$H39+1,1))</x:f>
      </x:c>
      <x:c r="K39" s="36"/>
      <x:c r="L39" s="36"/>
      <x:c r="M39" s="63" t="str">
        <x:f>IF($A39="","",SUMIFS('Custos Planejados - Pedro'!$G$6:$G$205,'Custos Planejados - Pedro'!$A$6:$A$205,$A39)+SUMIFS('Custos Planejados - Camilly'!$G$6:$G$205,'Custos Planejados - Camilly'!$A$6:$A$205,$A39))</x:f>
      </x:c>
      <x:c r="N39" s="63" t="str">
        <x:f>IF($A39="","",SUMIFS('Histórico de Gastos'!$J$6:$J$205,'Histórico de Gastos'!$B$6:$B$205,$A39))</x:f>
      </x:c>
      <x:c r="O39" s="63" t="str">
        <x:f>IF($A39="","",$M39-$N39)</x:f>
      </x:c>
      <x:c r="P39" s="65" t="str">
        <x:f>IF($A39="","",IFERROR($N39/$M39,0))</x:f>
      </x:c>
      <x:c r="Q39" s="63" t="str">
        <x:f>IF($A39="","",SUMIFS('Histórico de Gastos'!$W$6:$W$205,'Histórico de Gastos'!$B$6:$B$205,$A39))</x:f>
      </x:c>
      <x:c r="R39" s="63" t="str">
        <x:f>IF($A39="","",SUMIFS('Histórico de Gastos'!$X$6:$X$205,'Histórico de Gastos'!$B$6:$B$205,$A39))</x:f>
      </x:c>
      <x:c r="S39" s="63" t="str">
        <x:f>IF($A39="","",ABS($Q39-SUMIFS('Histórico de Gastos'!$U$6:$U$205,'Histórico de Gastos'!$B$6:$B$205,$A39)))</x:f>
      </x:c>
      <x:c r="T39" s="67" t="str">
        <x:f>IF($A39="","",IF(ABS($Q39-SUMIFS('Histórico de Gastos'!$U$6:$U$205,'Histórico de Gastos'!$B$6:$B$205,$A39))&lt;0.01,"Tudo certo",IF($Q39&gt;SUMIFS('Histórico de Gastos'!$U$6:$U$205,'Histórico de Gastos'!$B$6:$B$205,$A39),"Camilly deve para Pedro","Pedro deve para Camilly")))</x:f>
      </x:c>
      <x:c r="U39" s="36"/>
      <x:c r="V39" s="67" t="str">
        <x:f>IF($A39="","",IF(COUNTIFS('Checklist de Viagem'!$A$6:$A$205,$A39)=0,"Não",IF(COUNTIFS('Checklist de Viagem'!$A$6:$A$205,$A39,'Checklist de Viagem'!$H$6:$H$205,"Não")=0,"Sim","Não")))</x:f>
      </x:c>
      <x:c r="W39" s="36"/>
      <x:c r="X39" s="36"/>
      <x:c r="Y39" s="36"/>
      <x:c r="Z39" s="59"/>
      <x:c r="AA39" s="59"/>
      <x:c r="AB39" s="67" t="str">
        <x:f>IF($A39="","",IF($P39&gt;1,"Viagem acima do orçamento",IF(AND($K39&lt;&gt;"Concluída",$V39&lt;&gt;"Sim",$H39-TODAY()&lt;=15),"Viagem próxima sem checklist completo",IF($W39="","Passagem ainda não comprada",IF($X39="","Falta reservar hospedagem",IF($S39&gt;0,"Existe valor pendente de compensação","Tudo certo"))))))</x:f>
      </x:c>
      <x:c r="AC39" s="36"/>
    </x:row>
    <x:row r="40">
      <x:c r="A40" s="36"/>
      <x:c r="B40" s="36"/>
      <x:c r="C40" s="36"/>
      <x:c r="D40" s="36"/>
      <x:c r="E40" s="36"/>
      <x:c r="F40" s="36"/>
      <x:c r="G40" s="36"/>
      <x:c r="H40" s="59"/>
      <x:c r="I40" s="59"/>
      <x:c r="J40" s="61" t="str">
        <x:f>IF(OR($H40="",$I40=""),"",MAX($I40-$H40+1,1))</x:f>
      </x:c>
      <x:c r="K40" s="36"/>
      <x:c r="L40" s="36"/>
      <x:c r="M40" s="63" t="str">
        <x:f>IF($A40="","",SUMIFS('Custos Planejados - Pedro'!$G$6:$G$205,'Custos Planejados - Pedro'!$A$6:$A$205,$A40)+SUMIFS('Custos Planejados - Camilly'!$G$6:$G$205,'Custos Planejados - Camilly'!$A$6:$A$205,$A40))</x:f>
      </x:c>
      <x:c r="N40" s="63" t="str">
        <x:f>IF($A40="","",SUMIFS('Histórico de Gastos'!$J$6:$J$205,'Histórico de Gastos'!$B$6:$B$205,$A40))</x:f>
      </x:c>
      <x:c r="O40" s="63" t="str">
        <x:f>IF($A40="","",$M40-$N40)</x:f>
      </x:c>
      <x:c r="P40" s="65" t="str">
        <x:f>IF($A40="","",IFERROR($N40/$M40,0))</x:f>
      </x:c>
      <x:c r="Q40" s="63" t="str">
        <x:f>IF($A40="","",SUMIFS('Histórico de Gastos'!$W$6:$W$205,'Histórico de Gastos'!$B$6:$B$205,$A40))</x:f>
      </x:c>
      <x:c r="R40" s="63" t="str">
        <x:f>IF($A40="","",SUMIFS('Histórico de Gastos'!$X$6:$X$205,'Histórico de Gastos'!$B$6:$B$205,$A40))</x:f>
      </x:c>
      <x:c r="S40" s="63" t="str">
        <x:f>IF($A40="","",ABS($Q40-SUMIFS('Histórico de Gastos'!$U$6:$U$205,'Histórico de Gastos'!$B$6:$B$205,$A40)))</x:f>
      </x:c>
      <x:c r="T40" s="67" t="str">
        <x:f>IF($A40="","",IF(ABS($Q40-SUMIFS('Histórico de Gastos'!$U$6:$U$205,'Histórico de Gastos'!$B$6:$B$205,$A40))&lt;0.01,"Tudo certo",IF($Q40&gt;SUMIFS('Histórico de Gastos'!$U$6:$U$205,'Histórico de Gastos'!$B$6:$B$205,$A40),"Camilly deve para Pedro","Pedro deve para Camilly")))</x:f>
      </x:c>
      <x:c r="U40" s="36"/>
      <x:c r="V40" s="67" t="str">
        <x:f>IF($A40="","",IF(COUNTIFS('Checklist de Viagem'!$A$6:$A$205,$A40)=0,"Não",IF(COUNTIFS('Checklist de Viagem'!$A$6:$A$205,$A40,'Checklist de Viagem'!$H$6:$H$205,"Não")=0,"Sim","Não")))</x:f>
      </x:c>
      <x:c r="W40" s="36"/>
      <x:c r="X40" s="36"/>
      <x:c r="Y40" s="36"/>
      <x:c r="Z40" s="59"/>
      <x:c r="AA40" s="59"/>
      <x:c r="AB40" s="67" t="str">
        <x:f>IF($A40="","",IF($P40&gt;1,"Viagem acima do orçamento",IF(AND($K40&lt;&gt;"Concluída",$V40&lt;&gt;"Sim",$H40-TODAY()&lt;=15),"Viagem próxima sem checklist completo",IF($W40="","Passagem ainda não comprada",IF($X40="","Falta reservar hospedagem",IF($S40&gt;0,"Existe valor pendente de compensação","Tudo certo"))))))</x:f>
      </x:c>
      <x:c r="AC40" s="36"/>
    </x:row>
    <x:row r="41">
      <x:c r="A41" s="36"/>
      <x:c r="B41" s="36"/>
      <x:c r="C41" s="36"/>
      <x:c r="D41" s="36"/>
      <x:c r="E41" s="36"/>
      <x:c r="F41" s="36"/>
      <x:c r="G41" s="36"/>
      <x:c r="H41" s="59"/>
      <x:c r="I41" s="59"/>
      <x:c r="J41" s="61" t="str">
        <x:f>IF(OR($H41="",$I41=""),"",MAX($I41-$H41+1,1))</x:f>
      </x:c>
      <x:c r="K41" s="36"/>
      <x:c r="L41" s="36"/>
      <x:c r="M41" s="63" t="str">
        <x:f>IF($A41="","",SUMIFS('Custos Planejados - Pedro'!$G$6:$G$205,'Custos Planejados - Pedro'!$A$6:$A$205,$A41)+SUMIFS('Custos Planejados - Camilly'!$G$6:$G$205,'Custos Planejados - Camilly'!$A$6:$A$205,$A41))</x:f>
      </x:c>
      <x:c r="N41" s="63" t="str">
        <x:f>IF($A41="","",SUMIFS('Histórico de Gastos'!$J$6:$J$205,'Histórico de Gastos'!$B$6:$B$205,$A41))</x:f>
      </x:c>
      <x:c r="O41" s="63" t="str">
        <x:f>IF($A41="","",$M41-$N41)</x:f>
      </x:c>
      <x:c r="P41" s="65" t="str">
        <x:f>IF($A41="","",IFERROR($N41/$M41,0))</x:f>
      </x:c>
      <x:c r="Q41" s="63" t="str">
        <x:f>IF($A41="","",SUMIFS('Histórico de Gastos'!$W$6:$W$205,'Histórico de Gastos'!$B$6:$B$205,$A41))</x:f>
      </x:c>
      <x:c r="R41" s="63" t="str">
        <x:f>IF($A41="","",SUMIFS('Histórico de Gastos'!$X$6:$X$205,'Histórico de Gastos'!$B$6:$B$205,$A41))</x:f>
      </x:c>
      <x:c r="S41" s="63" t="str">
        <x:f>IF($A41="","",ABS($Q41-SUMIFS('Histórico de Gastos'!$U$6:$U$205,'Histórico de Gastos'!$B$6:$B$205,$A41)))</x:f>
      </x:c>
      <x:c r="T41" s="67" t="str">
        <x:f>IF($A41="","",IF(ABS($Q41-SUMIFS('Histórico de Gastos'!$U$6:$U$205,'Histórico de Gastos'!$B$6:$B$205,$A41))&lt;0.01,"Tudo certo",IF($Q41&gt;SUMIFS('Histórico de Gastos'!$U$6:$U$205,'Histórico de Gastos'!$B$6:$B$205,$A41),"Camilly deve para Pedro","Pedro deve para Camilly")))</x:f>
      </x:c>
      <x:c r="U41" s="36"/>
      <x:c r="V41" s="67" t="str">
        <x:f>IF($A41="","",IF(COUNTIFS('Checklist de Viagem'!$A$6:$A$205,$A41)=0,"Não",IF(COUNTIFS('Checklist de Viagem'!$A$6:$A$205,$A41,'Checklist de Viagem'!$H$6:$H$205,"Não")=0,"Sim","Não")))</x:f>
      </x:c>
      <x:c r="W41" s="36"/>
      <x:c r="X41" s="36"/>
      <x:c r="Y41" s="36"/>
      <x:c r="Z41" s="59"/>
      <x:c r="AA41" s="59"/>
      <x:c r="AB41" s="67" t="str">
        <x:f>IF($A41="","",IF($P41&gt;1,"Viagem acima do orçamento",IF(AND($K41&lt;&gt;"Concluída",$V41&lt;&gt;"Sim",$H41-TODAY()&lt;=15),"Viagem próxima sem checklist completo",IF($W41="","Passagem ainda não comprada",IF($X41="","Falta reservar hospedagem",IF($S41&gt;0,"Existe valor pendente de compensação","Tudo certo"))))))</x:f>
      </x:c>
      <x:c r="AC41" s="36"/>
    </x:row>
    <x:row r="42">
      <x:c r="A42" s="36"/>
      <x:c r="B42" s="36"/>
      <x:c r="C42" s="36"/>
      <x:c r="D42" s="36"/>
      <x:c r="E42" s="36"/>
      <x:c r="F42" s="36"/>
      <x:c r="G42" s="36"/>
      <x:c r="H42" s="59"/>
      <x:c r="I42" s="59"/>
      <x:c r="J42" s="61" t="str">
        <x:f>IF(OR($H42="",$I42=""),"",MAX($I42-$H42+1,1))</x:f>
      </x:c>
      <x:c r="K42" s="36"/>
      <x:c r="L42" s="36"/>
      <x:c r="M42" s="63" t="str">
        <x:f>IF($A42="","",SUMIFS('Custos Planejados - Pedro'!$G$6:$G$205,'Custos Planejados - Pedro'!$A$6:$A$205,$A42)+SUMIFS('Custos Planejados - Camilly'!$G$6:$G$205,'Custos Planejados - Camilly'!$A$6:$A$205,$A42))</x:f>
      </x:c>
      <x:c r="N42" s="63" t="str">
        <x:f>IF($A42="","",SUMIFS('Histórico de Gastos'!$J$6:$J$205,'Histórico de Gastos'!$B$6:$B$205,$A42))</x:f>
      </x:c>
      <x:c r="O42" s="63" t="str">
        <x:f>IF($A42="","",$M42-$N42)</x:f>
      </x:c>
      <x:c r="P42" s="65" t="str">
        <x:f>IF($A42="","",IFERROR($N42/$M42,0))</x:f>
      </x:c>
      <x:c r="Q42" s="63" t="str">
        <x:f>IF($A42="","",SUMIFS('Histórico de Gastos'!$W$6:$W$205,'Histórico de Gastos'!$B$6:$B$205,$A42))</x:f>
      </x:c>
      <x:c r="R42" s="63" t="str">
        <x:f>IF($A42="","",SUMIFS('Histórico de Gastos'!$X$6:$X$205,'Histórico de Gastos'!$B$6:$B$205,$A42))</x:f>
      </x:c>
      <x:c r="S42" s="63" t="str">
        <x:f>IF($A42="","",ABS($Q42-SUMIFS('Histórico de Gastos'!$U$6:$U$205,'Histórico de Gastos'!$B$6:$B$205,$A42)))</x:f>
      </x:c>
      <x:c r="T42" s="67" t="str">
        <x:f>IF($A42="","",IF(ABS($Q42-SUMIFS('Histórico de Gastos'!$U$6:$U$205,'Histórico de Gastos'!$B$6:$B$205,$A42))&lt;0.01,"Tudo certo",IF($Q42&gt;SUMIFS('Histórico de Gastos'!$U$6:$U$205,'Histórico de Gastos'!$B$6:$B$205,$A42),"Camilly deve para Pedro","Pedro deve para Camilly")))</x:f>
      </x:c>
      <x:c r="U42" s="36"/>
      <x:c r="V42" s="67" t="str">
        <x:f>IF($A42="","",IF(COUNTIFS('Checklist de Viagem'!$A$6:$A$205,$A42)=0,"Não",IF(COUNTIFS('Checklist de Viagem'!$A$6:$A$205,$A42,'Checklist de Viagem'!$H$6:$H$205,"Não")=0,"Sim","Não")))</x:f>
      </x:c>
      <x:c r="W42" s="36"/>
      <x:c r="X42" s="36"/>
      <x:c r="Y42" s="36"/>
      <x:c r="Z42" s="59"/>
      <x:c r="AA42" s="59"/>
      <x:c r="AB42" s="67" t="str">
        <x:f>IF($A42="","",IF($P42&gt;1,"Viagem acima do orçamento",IF(AND($K42&lt;&gt;"Concluída",$V42&lt;&gt;"Sim",$H42-TODAY()&lt;=15),"Viagem próxima sem checklist completo",IF($W42="","Passagem ainda não comprada",IF($X42="","Falta reservar hospedagem",IF($S42&gt;0,"Existe valor pendente de compensação","Tudo certo"))))))</x:f>
      </x:c>
      <x:c r="AC42" s="36"/>
    </x:row>
    <x:row r="43">
      <x:c r="A43" s="36"/>
      <x:c r="B43" s="36"/>
      <x:c r="C43" s="36"/>
      <x:c r="D43" s="36"/>
      <x:c r="E43" s="36"/>
      <x:c r="F43" s="36"/>
      <x:c r="G43" s="36"/>
      <x:c r="H43" s="59"/>
      <x:c r="I43" s="59"/>
      <x:c r="J43" s="61" t="str">
        <x:f>IF(OR($H43="",$I43=""),"",MAX($I43-$H43+1,1))</x:f>
      </x:c>
      <x:c r="K43" s="36"/>
      <x:c r="L43" s="36"/>
      <x:c r="M43" s="63" t="str">
        <x:f>IF($A43="","",SUMIFS('Custos Planejados - Pedro'!$G$6:$G$205,'Custos Planejados - Pedro'!$A$6:$A$205,$A43)+SUMIFS('Custos Planejados - Camilly'!$G$6:$G$205,'Custos Planejados - Camilly'!$A$6:$A$205,$A43))</x:f>
      </x:c>
      <x:c r="N43" s="63" t="str">
        <x:f>IF($A43="","",SUMIFS('Histórico de Gastos'!$J$6:$J$205,'Histórico de Gastos'!$B$6:$B$205,$A43))</x:f>
      </x:c>
      <x:c r="O43" s="63" t="str">
        <x:f>IF($A43="","",$M43-$N43)</x:f>
      </x:c>
      <x:c r="P43" s="65" t="str">
        <x:f>IF($A43="","",IFERROR($N43/$M43,0))</x:f>
      </x:c>
      <x:c r="Q43" s="63" t="str">
        <x:f>IF($A43="","",SUMIFS('Histórico de Gastos'!$W$6:$W$205,'Histórico de Gastos'!$B$6:$B$205,$A43))</x:f>
      </x:c>
      <x:c r="R43" s="63" t="str">
        <x:f>IF($A43="","",SUMIFS('Histórico de Gastos'!$X$6:$X$205,'Histórico de Gastos'!$B$6:$B$205,$A43))</x:f>
      </x:c>
      <x:c r="S43" s="63" t="str">
        <x:f>IF($A43="","",ABS($Q43-SUMIFS('Histórico de Gastos'!$U$6:$U$205,'Histórico de Gastos'!$B$6:$B$205,$A43)))</x:f>
      </x:c>
      <x:c r="T43" s="67" t="str">
        <x:f>IF($A43="","",IF(ABS($Q43-SUMIFS('Histórico de Gastos'!$U$6:$U$205,'Histórico de Gastos'!$B$6:$B$205,$A43))&lt;0.01,"Tudo certo",IF($Q43&gt;SUMIFS('Histórico de Gastos'!$U$6:$U$205,'Histórico de Gastos'!$B$6:$B$205,$A43),"Camilly deve para Pedro","Pedro deve para Camilly")))</x:f>
      </x:c>
      <x:c r="U43" s="36"/>
      <x:c r="V43" s="67" t="str">
        <x:f>IF($A43="","",IF(COUNTIFS('Checklist de Viagem'!$A$6:$A$205,$A43)=0,"Não",IF(COUNTIFS('Checklist de Viagem'!$A$6:$A$205,$A43,'Checklist de Viagem'!$H$6:$H$205,"Não")=0,"Sim","Não")))</x:f>
      </x:c>
      <x:c r="W43" s="36"/>
      <x:c r="X43" s="36"/>
      <x:c r="Y43" s="36"/>
      <x:c r="Z43" s="59"/>
      <x:c r="AA43" s="59"/>
      <x:c r="AB43" s="67" t="str">
        <x:f>IF($A43="","",IF($P43&gt;1,"Viagem acima do orçamento",IF(AND($K43&lt;&gt;"Concluída",$V43&lt;&gt;"Sim",$H43-TODAY()&lt;=15),"Viagem próxima sem checklist completo",IF($W43="","Passagem ainda não comprada",IF($X43="","Falta reservar hospedagem",IF($S43&gt;0,"Existe valor pendente de compensação","Tudo certo"))))))</x:f>
      </x:c>
      <x:c r="AC43" s="36"/>
    </x:row>
    <x:row r="44">
      <x:c r="A44" s="36"/>
      <x:c r="B44" s="36"/>
      <x:c r="C44" s="36"/>
      <x:c r="D44" s="36"/>
      <x:c r="E44" s="36"/>
      <x:c r="F44" s="36"/>
      <x:c r="G44" s="36"/>
      <x:c r="H44" s="59"/>
      <x:c r="I44" s="59"/>
      <x:c r="J44" s="61" t="str">
        <x:f>IF(OR($H44="",$I44=""),"",MAX($I44-$H44+1,1))</x:f>
      </x:c>
      <x:c r="K44" s="36"/>
      <x:c r="L44" s="36"/>
      <x:c r="M44" s="63" t="str">
        <x:f>IF($A44="","",SUMIFS('Custos Planejados - Pedro'!$G$6:$G$205,'Custos Planejados - Pedro'!$A$6:$A$205,$A44)+SUMIFS('Custos Planejados - Camilly'!$G$6:$G$205,'Custos Planejados - Camilly'!$A$6:$A$205,$A44))</x:f>
      </x:c>
      <x:c r="N44" s="63" t="str">
        <x:f>IF($A44="","",SUMIFS('Histórico de Gastos'!$J$6:$J$205,'Histórico de Gastos'!$B$6:$B$205,$A44))</x:f>
      </x:c>
      <x:c r="O44" s="63" t="str">
        <x:f>IF($A44="","",$M44-$N44)</x:f>
      </x:c>
      <x:c r="P44" s="65" t="str">
        <x:f>IF($A44="","",IFERROR($N44/$M44,0))</x:f>
      </x:c>
      <x:c r="Q44" s="63" t="str">
        <x:f>IF($A44="","",SUMIFS('Histórico de Gastos'!$W$6:$W$205,'Histórico de Gastos'!$B$6:$B$205,$A44))</x:f>
      </x:c>
      <x:c r="R44" s="63" t="str">
        <x:f>IF($A44="","",SUMIFS('Histórico de Gastos'!$X$6:$X$205,'Histórico de Gastos'!$B$6:$B$205,$A44))</x:f>
      </x:c>
      <x:c r="S44" s="63" t="str">
        <x:f>IF($A44="","",ABS($Q44-SUMIFS('Histórico de Gastos'!$U$6:$U$205,'Histórico de Gastos'!$B$6:$B$205,$A44)))</x:f>
      </x:c>
      <x:c r="T44" s="67" t="str">
        <x:f>IF($A44="","",IF(ABS($Q44-SUMIFS('Histórico de Gastos'!$U$6:$U$205,'Histórico de Gastos'!$B$6:$B$205,$A44))&lt;0.01,"Tudo certo",IF($Q44&gt;SUMIFS('Histórico de Gastos'!$U$6:$U$205,'Histórico de Gastos'!$B$6:$B$205,$A44),"Camilly deve para Pedro","Pedro deve para Camilly")))</x:f>
      </x:c>
      <x:c r="U44" s="36"/>
      <x:c r="V44" s="67" t="str">
        <x:f>IF($A44="","",IF(COUNTIFS('Checklist de Viagem'!$A$6:$A$205,$A44)=0,"Não",IF(COUNTIFS('Checklist de Viagem'!$A$6:$A$205,$A44,'Checklist de Viagem'!$H$6:$H$205,"Não")=0,"Sim","Não")))</x:f>
      </x:c>
      <x:c r="W44" s="36"/>
      <x:c r="X44" s="36"/>
      <x:c r="Y44" s="36"/>
      <x:c r="Z44" s="59"/>
      <x:c r="AA44" s="59"/>
      <x:c r="AB44" s="67" t="str">
        <x:f>IF($A44="","",IF($P44&gt;1,"Viagem acima do orçamento",IF(AND($K44&lt;&gt;"Concluída",$V44&lt;&gt;"Sim",$H44-TODAY()&lt;=15),"Viagem próxima sem checklist completo",IF($W44="","Passagem ainda não comprada",IF($X44="","Falta reservar hospedagem",IF($S44&gt;0,"Existe valor pendente de compensação","Tudo certo"))))))</x:f>
      </x:c>
      <x:c r="AC44" s="36"/>
    </x:row>
    <x:row r="45">
      <x:c r="A45" s="36"/>
      <x:c r="B45" s="36"/>
      <x:c r="C45" s="36"/>
      <x:c r="D45" s="36"/>
      <x:c r="E45" s="36"/>
      <x:c r="F45" s="36"/>
      <x:c r="G45" s="36"/>
      <x:c r="H45" s="59"/>
      <x:c r="I45" s="59"/>
      <x:c r="J45" s="61" t="str">
        <x:f>IF(OR($H45="",$I45=""),"",MAX($I45-$H45+1,1))</x:f>
      </x:c>
      <x:c r="K45" s="36"/>
      <x:c r="L45" s="36"/>
      <x:c r="M45" s="63" t="str">
        <x:f>IF($A45="","",SUMIFS('Custos Planejados - Pedro'!$G$6:$G$205,'Custos Planejados - Pedro'!$A$6:$A$205,$A45)+SUMIFS('Custos Planejados - Camilly'!$G$6:$G$205,'Custos Planejados - Camilly'!$A$6:$A$205,$A45))</x:f>
      </x:c>
      <x:c r="N45" s="63" t="str">
        <x:f>IF($A45="","",SUMIFS('Histórico de Gastos'!$J$6:$J$205,'Histórico de Gastos'!$B$6:$B$205,$A45))</x:f>
      </x:c>
      <x:c r="O45" s="63" t="str">
        <x:f>IF($A45="","",$M45-$N45)</x:f>
      </x:c>
      <x:c r="P45" s="65" t="str">
        <x:f>IF($A45="","",IFERROR($N45/$M45,0))</x:f>
      </x:c>
      <x:c r="Q45" s="63" t="str">
        <x:f>IF($A45="","",SUMIFS('Histórico de Gastos'!$W$6:$W$205,'Histórico de Gastos'!$B$6:$B$205,$A45))</x:f>
      </x:c>
      <x:c r="R45" s="63" t="str">
        <x:f>IF($A45="","",SUMIFS('Histórico de Gastos'!$X$6:$X$205,'Histórico de Gastos'!$B$6:$B$205,$A45))</x:f>
      </x:c>
      <x:c r="S45" s="63" t="str">
        <x:f>IF($A45="","",ABS($Q45-SUMIFS('Histórico de Gastos'!$U$6:$U$205,'Histórico de Gastos'!$B$6:$B$205,$A45)))</x:f>
      </x:c>
      <x:c r="T45" s="67" t="str">
        <x:f>IF($A45="","",IF(ABS($Q45-SUMIFS('Histórico de Gastos'!$U$6:$U$205,'Histórico de Gastos'!$B$6:$B$205,$A45))&lt;0.01,"Tudo certo",IF($Q45&gt;SUMIFS('Histórico de Gastos'!$U$6:$U$205,'Histórico de Gastos'!$B$6:$B$205,$A45),"Camilly deve para Pedro","Pedro deve para Camilly")))</x:f>
      </x:c>
      <x:c r="U45" s="36"/>
      <x:c r="V45" s="67" t="str">
        <x:f>IF($A45="","",IF(COUNTIFS('Checklist de Viagem'!$A$6:$A$205,$A45)=0,"Não",IF(COUNTIFS('Checklist de Viagem'!$A$6:$A$205,$A45,'Checklist de Viagem'!$H$6:$H$205,"Não")=0,"Sim","Não")))</x:f>
      </x:c>
      <x:c r="W45" s="36"/>
      <x:c r="X45" s="36"/>
      <x:c r="Y45" s="36"/>
      <x:c r="Z45" s="59"/>
      <x:c r="AA45" s="59"/>
      <x:c r="AB45" s="67" t="str">
        <x:f>IF($A45="","",IF($P45&gt;1,"Viagem acima do orçamento",IF(AND($K45&lt;&gt;"Concluída",$V45&lt;&gt;"Sim",$H45-TODAY()&lt;=15),"Viagem próxima sem checklist completo",IF($W45="","Passagem ainda não comprada",IF($X45="","Falta reservar hospedagem",IF($S45&gt;0,"Existe valor pendente de compensação","Tudo certo"))))))</x:f>
      </x:c>
      <x:c r="AC45" s="36"/>
    </x:row>
    <x:row r="46">
      <x:c r="A46" s="36"/>
      <x:c r="B46" s="36"/>
      <x:c r="C46" s="36"/>
      <x:c r="D46" s="36"/>
      <x:c r="E46" s="36"/>
      <x:c r="F46" s="36"/>
      <x:c r="G46" s="36"/>
      <x:c r="H46" s="59"/>
      <x:c r="I46" s="59"/>
      <x:c r="J46" s="61" t="str">
        <x:f>IF(OR($H46="",$I46=""),"",MAX($I46-$H46+1,1))</x:f>
      </x:c>
      <x:c r="K46" s="36"/>
      <x:c r="L46" s="36"/>
      <x:c r="M46" s="63" t="str">
        <x:f>IF($A46="","",SUMIFS('Custos Planejados - Pedro'!$G$6:$G$205,'Custos Planejados - Pedro'!$A$6:$A$205,$A46)+SUMIFS('Custos Planejados - Camilly'!$G$6:$G$205,'Custos Planejados - Camilly'!$A$6:$A$205,$A46))</x:f>
      </x:c>
      <x:c r="N46" s="63" t="str">
        <x:f>IF($A46="","",SUMIFS('Histórico de Gastos'!$J$6:$J$205,'Histórico de Gastos'!$B$6:$B$205,$A46))</x:f>
      </x:c>
      <x:c r="O46" s="63" t="str">
        <x:f>IF($A46="","",$M46-$N46)</x:f>
      </x:c>
      <x:c r="P46" s="65" t="str">
        <x:f>IF($A46="","",IFERROR($N46/$M46,0))</x:f>
      </x:c>
      <x:c r="Q46" s="63" t="str">
        <x:f>IF($A46="","",SUMIFS('Histórico de Gastos'!$W$6:$W$205,'Histórico de Gastos'!$B$6:$B$205,$A46))</x:f>
      </x:c>
      <x:c r="R46" s="63" t="str">
        <x:f>IF($A46="","",SUMIFS('Histórico de Gastos'!$X$6:$X$205,'Histórico de Gastos'!$B$6:$B$205,$A46))</x:f>
      </x:c>
      <x:c r="S46" s="63" t="str">
        <x:f>IF($A46="","",ABS($Q46-SUMIFS('Histórico de Gastos'!$U$6:$U$205,'Histórico de Gastos'!$B$6:$B$205,$A46)))</x:f>
      </x:c>
      <x:c r="T46" s="67" t="str">
        <x:f>IF($A46="","",IF(ABS($Q46-SUMIFS('Histórico de Gastos'!$U$6:$U$205,'Histórico de Gastos'!$B$6:$B$205,$A46))&lt;0.01,"Tudo certo",IF($Q46&gt;SUMIFS('Histórico de Gastos'!$U$6:$U$205,'Histórico de Gastos'!$B$6:$B$205,$A46),"Camilly deve para Pedro","Pedro deve para Camilly")))</x:f>
      </x:c>
      <x:c r="U46" s="36"/>
      <x:c r="V46" s="67" t="str">
        <x:f>IF($A46="","",IF(COUNTIFS('Checklist de Viagem'!$A$6:$A$205,$A46)=0,"Não",IF(COUNTIFS('Checklist de Viagem'!$A$6:$A$205,$A46,'Checklist de Viagem'!$H$6:$H$205,"Não")=0,"Sim","Não")))</x:f>
      </x:c>
      <x:c r="W46" s="36"/>
      <x:c r="X46" s="36"/>
      <x:c r="Y46" s="36"/>
      <x:c r="Z46" s="59"/>
      <x:c r="AA46" s="59"/>
      <x:c r="AB46" s="67" t="str">
        <x:f>IF($A46="","",IF($P46&gt;1,"Viagem acima do orçamento",IF(AND($K46&lt;&gt;"Concluída",$V46&lt;&gt;"Sim",$H46-TODAY()&lt;=15),"Viagem próxima sem checklist completo",IF($W46="","Passagem ainda não comprada",IF($X46="","Falta reservar hospedagem",IF($S46&gt;0,"Existe valor pendente de compensação","Tudo certo"))))))</x:f>
      </x:c>
      <x:c r="AC46" s="36"/>
    </x:row>
    <x:row r="47">
      <x:c r="A47" s="36"/>
      <x:c r="B47" s="36"/>
      <x:c r="C47" s="36"/>
      <x:c r="D47" s="36"/>
      <x:c r="E47" s="36"/>
      <x:c r="F47" s="36"/>
      <x:c r="G47" s="36"/>
      <x:c r="H47" s="59"/>
      <x:c r="I47" s="59"/>
      <x:c r="J47" s="61" t="str">
        <x:f>IF(OR($H47="",$I47=""),"",MAX($I47-$H47+1,1))</x:f>
      </x:c>
      <x:c r="K47" s="36"/>
      <x:c r="L47" s="36"/>
      <x:c r="M47" s="63" t="str">
        <x:f>IF($A47="","",SUMIFS('Custos Planejados - Pedro'!$G$6:$G$205,'Custos Planejados - Pedro'!$A$6:$A$205,$A47)+SUMIFS('Custos Planejados - Camilly'!$G$6:$G$205,'Custos Planejados - Camilly'!$A$6:$A$205,$A47))</x:f>
      </x:c>
      <x:c r="N47" s="63" t="str">
        <x:f>IF($A47="","",SUMIFS('Histórico de Gastos'!$J$6:$J$205,'Histórico de Gastos'!$B$6:$B$205,$A47))</x:f>
      </x:c>
      <x:c r="O47" s="63" t="str">
        <x:f>IF($A47="","",$M47-$N47)</x:f>
      </x:c>
      <x:c r="P47" s="65" t="str">
        <x:f>IF($A47="","",IFERROR($N47/$M47,0))</x:f>
      </x:c>
      <x:c r="Q47" s="63" t="str">
        <x:f>IF($A47="","",SUMIFS('Histórico de Gastos'!$W$6:$W$205,'Histórico de Gastos'!$B$6:$B$205,$A47))</x:f>
      </x:c>
      <x:c r="R47" s="63" t="str">
        <x:f>IF($A47="","",SUMIFS('Histórico de Gastos'!$X$6:$X$205,'Histórico de Gastos'!$B$6:$B$205,$A47))</x:f>
      </x:c>
      <x:c r="S47" s="63" t="str">
        <x:f>IF($A47="","",ABS($Q47-SUMIFS('Histórico de Gastos'!$U$6:$U$205,'Histórico de Gastos'!$B$6:$B$205,$A47)))</x:f>
      </x:c>
      <x:c r="T47" s="67" t="str">
        <x:f>IF($A47="","",IF(ABS($Q47-SUMIFS('Histórico de Gastos'!$U$6:$U$205,'Histórico de Gastos'!$B$6:$B$205,$A47))&lt;0.01,"Tudo certo",IF($Q47&gt;SUMIFS('Histórico de Gastos'!$U$6:$U$205,'Histórico de Gastos'!$B$6:$B$205,$A47),"Camilly deve para Pedro","Pedro deve para Camilly")))</x:f>
      </x:c>
      <x:c r="U47" s="36"/>
      <x:c r="V47" s="67" t="str">
        <x:f>IF($A47="","",IF(COUNTIFS('Checklist de Viagem'!$A$6:$A$205,$A47)=0,"Não",IF(COUNTIFS('Checklist de Viagem'!$A$6:$A$205,$A47,'Checklist de Viagem'!$H$6:$H$205,"Não")=0,"Sim","Não")))</x:f>
      </x:c>
      <x:c r="W47" s="36"/>
      <x:c r="X47" s="36"/>
      <x:c r="Y47" s="36"/>
      <x:c r="Z47" s="59"/>
      <x:c r="AA47" s="59"/>
      <x:c r="AB47" s="67" t="str">
        <x:f>IF($A47="","",IF($P47&gt;1,"Viagem acima do orçamento",IF(AND($K47&lt;&gt;"Concluída",$V47&lt;&gt;"Sim",$H47-TODAY()&lt;=15),"Viagem próxima sem checklist completo",IF($W47="","Passagem ainda não comprada",IF($X47="","Falta reservar hospedagem",IF($S47&gt;0,"Existe valor pendente de compensação","Tudo certo"))))))</x:f>
      </x:c>
      <x:c r="AC47" s="36"/>
    </x:row>
    <x:row r="48">
      <x:c r="A48" s="36"/>
      <x:c r="B48" s="36"/>
      <x:c r="C48" s="36"/>
      <x:c r="D48" s="36"/>
      <x:c r="E48" s="36"/>
      <x:c r="F48" s="36"/>
      <x:c r="G48" s="36"/>
      <x:c r="H48" s="59"/>
      <x:c r="I48" s="59"/>
      <x:c r="J48" s="61" t="str">
        <x:f>IF(OR($H48="",$I48=""),"",MAX($I48-$H48+1,1))</x:f>
      </x:c>
      <x:c r="K48" s="36"/>
      <x:c r="L48" s="36"/>
      <x:c r="M48" s="63" t="str">
        <x:f>IF($A48="","",SUMIFS('Custos Planejados - Pedro'!$G$6:$G$205,'Custos Planejados - Pedro'!$A$6:$A$205,$A48)+SUMIFS('Custos Planejados - Camilly'!$G$6:$G$205,'Custos Planejados - Camilly'!$A$6:$A$205,$A48))</x:f>
      </x:c>
      <x:c r="N48" s="63" t="str">
        <x:f>IF($A48="","",SUMIFS('Histórico de Gastos'!$J$6:$J$205,'Histórico de Gastos'!$B$6:$B$205,$A48))</x:f>
      </x:c>
      <x:c r="O48" s="63" t="str">
        <x:f>IF($A48="","",$M48-$N48)</x:f>
      </x:c>
      <x:c r="P48" s="65" t="str">
        <x:f>IF($A48="","",IFERROR($N48/$M48,0))</x:f>
      </x:c>
      <x:c r="Q48" s="63" t="str">
        <x:f>IF($A48="","",SUMIFS('Histórico de Gastos'!$W$6:$W$205,'Histórico de Gastos'!$B$6:$B$205,$A48))</x:f>
      </x:c>
      <x:c r="R48" s="63" t="str">
        <x:f>IF($A48="","",SUMIFS('Histórico de Gastos'!$X$6:$X$205,'Histórico de Gastos'!$B$6:$B$205,$A48))</x:f>
      </x:c>
      <x:c r="S48" s="63" t="str">
        <x:f>IF($A48="","",ABS($Q48-SUMIFS('Histórico de Gastos'!$U$6:$U$205,'Histórico de Gastos'!$B$6:$B$205,$A48)))</x:f>
      </x:c>
      <x:c r="T48" s="67" t="str">
        <x:f>IF($A48="","",IF(ABS($Q48-SUMIFS('Histórico de Gastos'!$U$6:$U$205,'Histórico de Gastos'!$B$6:$B$205,$A48))&lt;0.01,"Tudo certo",IF($Q48&gt;SUMIFS('Histórico de Gastos'!$U$6:$U$205,'Histórico de Gastos'!$B$6:$B$205,$A48),"Camilly deve para Pedro","Pedro deve para Camilly")))</x:f>
      </x:c>
      <x:c r="U48" s="36"/>
      <x:c r="V48" s="67" t="str">
        <x:f>IF($A48="","",IF(COUNTIFS('Checklist de Viagem'!$A$6:$A$205,$A48)=0,"Não",IF(COUNTIFS('Checklist de Viagem'!$A$6:$A$205,$A48,'Checklist de Viagem'!$H$6:$H$205,"Não")=0,"Sim","Não")))</x:f>
      </x:c>
      <x:c r="W48" s="36"/>
      <x:c r="X48" s="36"/>
      <x:c r="Y48" s="36"/>
      <x:c r="Z48" s="59"/>
      <x:c r="AA48" s="59"/>
      <x:c r="AB48" s="67" t="str">
        <x:f>IF($A48="","",IF($P48&gt;1,"Viagem acima do orçamento",IF(AND($K48&lt;&gt;"Concluída",$V48&lt;&gt;"Sim",$H48-TODAY()&lt;=15),"Viagem próxima sem checklist completo",IF($W48="","Passagem ainda não comprada",IF($X48="","Falta reservar hospedagem",IF($S48&gt;0,"Existe valor pendente de compensação","Tudo certo"))))))</x:f>
      </x:c>
      <x:c r="AC48" s="36"/>
    </x:row>
    <x:row r="49">
      <x:c r="A49" s="36"/>
      <x:c r="B49" s="36"/>
      <x:c r="C49" s="36"/>
      <x:c r="D49" s="36"/>
      <x:c r="E49" s="36"/>
      <x:c r="F49" s="36"/>
      <x:c r="G49" s="36"/>
      <x:c r="H49" s="59"/>
      <x:c r="I49" s="59"/>
      <x:c r="J49" s="61" t="str">
        <x:f>IF(OR($H49="",$I49=""),"",MAX($I49-$H49+1,1))</x:f>
      </x:c>
      <x:c r="K49" s="36"/>
      <x:c r="L49" s="36"/>
      <x:c r="M49" s="63" t="str">
        <x:f>IF($A49="","",SUMIFS('Custos Planejados - Pedro'!$G$6:$G$205,'Custos Planejados - Pedro'!$A$6:$A$205,$A49)+SUMIFS('Custos Planejados - Camilly'!$G$6:$G$205,'Custos Planejados - Camilly'!$A$6:$A$205,$A49))</x:f>
      </x:c>
      <x:c r="N49" s="63" t="str">
        <x:f>IF($A49="","",SUMIFS('Histórico de Gastos'!$J$6:$J$205,'Histórico de Gastos'!$B$6:$B$205,$A49))</x:f>
      </x:c>
      <x:c r="O49" s="63" t="str">
        <x:f>IF($A49="","",$M49-$N49)</x:f>
      </x:c>
      <x:c r="P49" s="65" t="str">
        <x:f>IF($A49="","",IFERROR($N49/$M49,0))</x:f>
      </x:c>
      <x:c r="Q49" s="63" t="str">
        <x:f>IF($A49="","",SUMIFS('Histórico de Gastos'!$W$6:$W$205,'Histórico de Gastos'!$B$6:$B$205,$A49))</x:f>
      </x:c>
      <x:c r="R49" s="63" t="str">
        <x:f>IF($A49="","",SUMIFS('Histórico de Gastos'!$X$6:$X$205,'Histórico de Gastos'!$B$6:$B$205,$A49))</x:f>
      </x:c>
      <x:c r="S49" s="63" t="str">
        <x:f>IF($A49="","",ABS($Q49-SUMIFS('Histórico de Gastos'!$U$6:$U$205,'Histórico de Gastos'!$B$6:$B$205,$A49)))</x:f>
      </x:c>
      <x:c r="T49" s="67" t="str">
        <x:f>IF($A49="","",IF(ABS($Q49-SUMIFS('Histórico de Gastos'!$U$6:$U$205,'Histórico de Gastos'!$B$6:$B$205,$A49))&lt;0.01,"Tudo certo",IF($Q49&gt;SUMIFS('Histórico de Gastos'!$U$6:$U$205,'Histórico de Gastos'!$B$6:$B$205,$A49),"Camilly deve para Pedro","Pedro deve para Camilly")))</x:f>
      </x:c>
      <x:c r="U49" s="36"/>
      <x:c r="V49" s="67" t="str">
        <x:f>IF($A49="","",IF(COUNTIFS('Checklist de Viagem'!$A$6:$A$205,$A49)=0,"Não",IF(COUNTIFS('Checklist de Viagem'!$A$6:$A$205,$A49,'Checklist de Viagem'!$H$6:$H$205,"Não")=0,"Sim","Não")))</x:f>
      </x:c>
      <x:c r="W49" s="36"/>
      <x:c r="X49" s="36"/>
      <x:c r="Y49" s="36"/>
      <x:c r="Z49" s="59"/>
      <x:c r="AA49" s="59"/>
      <x:c r="AB49" s="67" t="str">
        <x:f>IF($A49="","",IF($P49&gt;1,"Viagem acima do orçamento",IF(AND($K49&lt;&gt;"Concluída",$V49&lt;&gt;"Sim",$H49-TODAY()&lt;=15),"Viagem próxima sem checklist completo",IF($W49="","Passagem ainda não comprada",IF($X49="","Falta reservar hospedagem",IF($S49&gt;0,"Existe valor pendente de compensação","Tudo certo"))))))</x:f>
      </x:c>
      <x:c r="AC49" s="36"/>
    </x:row>
    <x:row r="50">
      <x:c r="A50" s="36"/>
      <x:c r="B50" s="36"/>
      <x:c r="C50" s="36"/>
      <x:c r="D50" s="36"/>
      <x:c r="E50" s="36"/>
      <x:c r="F50" s="36"/>
      <x:c r="G50" s="36"/>
      <x:c r="H50" s="59"/>
      <x:c r="I50" s="59"/>
      <x:c r="J50" s="61" t="str">
        <x:f>IF(OR($H50="",$I50=""),"",MAX($I50-$H50+1,1))</x:f>
      </x:c>
      <x:c r="K50" s="36"/>
      <x:c r="L50" s="36"/>
      <x:c r="M50" s="63" t="str">
        <x:f>IF($A50="","",SUMIFS('Custos Planejados - Pedro'!$G$6:$G$205,'Custos Planejados - Pedro'!$A$6:$A$205,$A50)+SUMIFS('Custos Planejados - Camilly'!$G$6:$G$205,'Custos Planejados - Camilly'!$A$6:$A$205,$A50))</x:f>
      </x:c>
      <x:c r="N50" s="63" t="str">
        <x:f>IF($A50="","",SUMIFS('Histórico de Gastos'!$J$6:$J$205,'Histórico de Gastos'!$B$6:$B$205,$A50))</x:f>
      </x:c>
      <x:c r="O50" s="63" t="str">
        <x:f>IF($A50="","",$M50-$N50)</x:f>
      </x:c>
      <x:c r="P50" s="65" t="str">
        <x:f>IF($A50="","",IFERROR($N50/$M50,0))</x:f>
      </x:c>
      <x:c r="Q50" s="63" t="str">
        <x:f>IF($A50="","",SUMIFS('Histórico de Gastos'!$W$6:$W$205,'Histórico de Gastos'!$B$6:$B$205,$A50))</x:f>
      </x:c>
      <x:c r="R50" s="63" t="str">
        <x:f>IF($A50="","",SUMIFS('Histórico de Gastos'!$X$6:$X$205,'Histórico de Gastos'!$B$6:$B$205,$A50))</x:f>
      </x:c>
      <x:c r="S50" s="63" t="str">
        <x:f>IF($A50="","",ABS($Q50-SUMIFS('Histórico de Gastos'!$U$6:$U$205,'Histórico de Gastos'!$B$6:$B$205,$A50)))</x:f>
      </x:c>
      <x:c r="T50" s="67" t="str">
        <x:f>IF($A50="","",IF(ABS($Q50-SUMIFS('Histórico de Gastos'!$U$6:$U$205,'Histórico de Gastos'!$B$6:$B$205,$A50))&lt;0.01,"Tudo certo",IF($Q50&gt;SUMIFS('Histórico de Gastos'!$U$6:$U$205,'Histórico de Gastos'!$B$6:$B$205,$A50),"Camilly deve para Pedro","Pedro deve para Camilly")))</x:f>
      </x:c>
      <x:c r="U50" s="36"/>
      <x:c r="V50" s="67" t="str">
        <x:f>IF($A50="","",IF(COUNTIFS('Checklist de Viagem'!$A$6:$A$205,$A50)=0,"Não",IF(COUNTIFS('Checklist de Viagem'!$A$6:$A$205,$A50,'Checklist de Viagem'!$H$6:$H$205,"Não")=0,"Sim","Não")))</x:f>
      </x:c>
      <x:c r="W50" s="36"/>
      <x:c r="X50" s="36"/>
      <x:c r="Y50" s="36"/>
      <x:c r="Z50" s="59"/>
      <x:c r="AA50" s="59"/>
      <x:c r="AB50" s="67" t="str">
        <x:f>IF($A50="","",IF($P50&gt;1,"Viagem acima do orçamento",IF(AND($K50&lt;&gt;"Concluída",$V50&lt;&gt;"Sim",$H50-TODAY()&lt;=15),"Viagem próxima sem checklist completo",IF($W50="","Passagem ainda não comprada",IF($X50="","Falta reservar hospedagem",IF($S50&gt;0,"Existe valor pendente de compensação","Tudo certo"))))))</x:f>
      </x:c>
      <x:c r="AC50" s="36"/>
    </x:row>
    <x:row r="51">
      <x:c r="A51" s="36"/>
      <x:c r="B51" s="36"/>
      <x:c r="C51" s="36"/>
      <x:c r="D51" s="36"/>
      <x:c r="E51" s="36"/>
      <x:c r="F51" s="36"/>
      <x:c r="G51" s="36"/>
      <x:c r="H51" s="59"/>
      <x:c r="I51" s="59"/>
      <x:c r="J51" s="61" t="str">
        <x:f>IF(OR($H51="",$I51=""),"",MAX($I51-$H51+1,1))</x:f>
      </x:c>
      <x:c r="K51" s="36"/>
      <x:c r="L51" s="36"/>
      <x:c r="M51" s="63" t="str">
        <x:f>IF($A51="","",SUMIFS('Custos Planejados - Pedro'!$G$6:$G$205,'Custos Planejados - Pedro'!$A$6:$A$205,$A51)+SUMIFS('Custos Planejados - Camilly'!$G$6:$G$205,'Custos Planejados - Camilly'!$A$6:$A$205,$A51))</x:f>
      </x:c>
      <x:c r="N51" s="63" t="str">
        <x:f>IF($A51="","",SUMIFS('Histórico de Gastos'!$J$6:$J$205,'Histórico de Gastos'!$B$6:$B$205,$A51))</x:f>
      </x:c>
      <x:c r="O51" s="63" t="str">
        <x:f>IF($A51="","",$M51-$N51)</x:f>
      </x:c>
      <x:c r="P51" s="65" t="str">
        <x:f>IF($A51="","",IFERROR($N51/$M51,0))</x:f>
      </x:c>
      <x:c r="Q51" s="63" t="str">
        <x:f>IF($A51="","",SUMIFS('Histórico de Gastos'!$W$6:$W$205,'Histórico de Gastos'!$B$6:$B$205,$A51))</x:f>
      </x:c>
      <x:c r="R51" s="63" t="str">
        <x:f>IF($A51="","",SUMIFS('Histórico de Gastos'!$X$6:$X$205,'Histórico de Gastos'!$B$6:$B$205,$A51))</x:f>
      </x:c>
      <x:c r="S51" s="63" t="str">
        <x:f>IF($A51="","",ABS($Q51-SUMIFS('Histórico de Gastos'!$U$6:$U$205,'Histórico de Gastos'!$B$6:$B$205,$A51)))</x:f>
      </x:c>
      <x:c r="T51" s="67" t="str">
        <x:f>IF($A51="","",IF(ABS($Q51-SUMIFS('Histórico de Gastos'!$U$6:$U$205,'Histórico de Gastos'!$B$6:$B$205,$A51))&lt;0.01,"Tudo certo",IF($Q51&gt;SUMIFS('Histórico de Gastos'!$U$6:$U$205,'Histórico de Gastos'!$B$6:$B$205,$A51),"Camilly deve para Pedro","Pedro deve para Camilly")))</x:f>
      </x:c>
      <x:c r="U51" s="36"/>
      <x:c r="V51" s="67" t="str">
        <x:f>IF($A51="","",IF(COUNTIFS('Checklist de Viagem'!$A$6:$A$205,$A51)=0,"Não",IF(COUNTIFS('Checklist de Viagem'!$A$6:$A$205,$A51,'Checklist de Viagem'!$H$6:$H$205,"Não")=0,"Sim","Não")))</x:f>
      </x:c>
      <x:c r="W51" s="36"/>
      <x:c r="X51" s="36"/>
      <x:c r="Y51" s="36"/>
      <x:c r="Z51" s="59"/>
      <x:c r="AA51" s="59"/>
      <x:c r="AB51" s="67" t="str">
        <x:f>IF($A51="","",IF($P51&gt;1,"Viagem acima do orçamento",IF(AND($K51&lt;&gt;"Concluída",$V51&lt;&gt;"Sim",$H51-TODAY()&lt;=15),"Viagem próxima sem checklist completo",IF($W51="","Passagem ainda não comprada",IF($X51="","Falta reservar hospedagem",IF($S51&gt;0,"Existe valor pendente de compensação","Tudo certo"))))))</x:f>
      </x:c>
      <x:c r="AC51" s="36"/>
    </x:row>
    <x:row r="52">
      <x:c r="A52" s="36"/>
      <x:c r="B52" s="36"/>
      <x:c r="C52" s="36"/>
      <x:c r="D52" s="36"/>
      <x:c r="E52" s="36"/>
      <x:c r="F52" s="36"/>
      <x:c r="G52" s="36"/>
      <x:c r="H52" s="59"/>
      <x:c r="I52" s="59"/>
      <x:c r="J52" s="61" t="str">
        <x:f>IF(OR($H52="",$I52=""),"",MAX($I52-$H52+1,1))</x:f>
      </x:c>
      <x:c r="K52" s="36"/>
      <x:c r="L52" s="36"/>
      <x:c r="M52" s="63" t="str">
        <x:f>IF($A52="","",SUMIFS('Custos Planejados - Pedro'!$G$6:$G$205,'Custos Planejados - Pedro'!$A$6:$A$205,$A52)+SUMIFS('Custos Planejados - Camilly'!$G$6:$G$205,'Custos Planejados - Camilly'!$A$6:$A$205,$A52))</x:f>
      </x:c>
      <x:c r="N52" s="63" t="str">
        <x:f>IF($A52="","",SUMIFS('Histórico de Gastos'!$J$6:$J$205,'Histórico de Gastos'!$B$6:$B$205,$A52))</x:f>
      </x:c>
      <x:c r="O52" s="63" t="str">
        <x:f>IF($A52="","",$M52-$N52)</x:f>
      </x:c>
      <x:c r="P52" s="65" t="str">
        <x:f>IF($A52="","",IFERROR($N52/$M52,0))</x:f>
      </x:c>
      <x:c r="Q52" s="63" t="str">
        <x:f>IF($A52="","",SUMIFS('Histórico de Gastos'!$W$6:$W$205,'Histórico de Gastos'!$B$6:$B$205,$A52))</x:f>
      </x:c>
      <x:c r="R52" s="63" t="str">
        <x:f>IF($A52="","",SUMIFS('Histórico de Gastos'!$X$6:$X$205,'Histórico de Gastos'!$B$6:$B$205,$A52))</x:f>
      </x:c>
      <x:c r="S52" s="63" t="str">
        <x:f>IF($A52="","",ABS($Q52-SUMIFS('Histórico de Gastos'!$U$6:$U$205,'Histórico de Gastos'!$B$6:$B$205,$A52)))</x:f>
      </x:c>
      <x:c r="T52" s="67" t="str">
        <x:f>IF($A52="","",IF(ABS($Q52-SUMIFS('Histórico de Gastos'!$U$6:$U$205,'Histórico de Gastos'!$B$6:$B$205,$A52))&lt;0.01,"Tudo certo",IF($Q52&gt;SUMIFS('Histórico de Gastos'!$U$6:$U$205,'Histórico de Gastos'!$B$6:$B$205,$A52),"Camilly deve para Pedro","Pedro deve para Camilly")))</x:f>
      </x:c>
      <x:c r="U52" s="36"/>
      <x:c r="V52" s="67" t="str">
        <x:f>IF($A52="","",IF(COUNTIFS('Checklist de Viagem'!$A$6:$A$205,$A52)=0,"Não",IF(COUNTIFS('Checklist de Viagem'!$A$6:$A$205,$A52,'Checklist de Viagem'!$H$6:$H$205,"Não")=0,"Sim","Não")))</x:f>
      </x:c>
      <x:c r="W52" s="36"/>
      <x:c r="X52" s="36"/>
      <x:c r="Y52" s="36"/>
      <x:c r="Z52" s="59"/>
      <x:c r="AA52" s="59"/>
      <x:c r="AB52" s="67" t="str">
        <x:f>IF($A52="","",IF($P52&gt;1,"Viagem acima do orçamento",IF(AND($K52&lt;&gt;"Concluída",$V52&lt;&gt;"Sim",$H52-TODAY()&lt;=15),"Viagem próxima sem checklist completo",IF($W52="","Passagem ainda não comprada",IF($X52="","Falta reservar hospedagem",IF($S52&gt;0,"Existe valor pendente de compensação","Tudo certo"))))))</x:f>
      </x:c>
      <x:c r="AC52" s="36"/>
    </x:row>
    <x:row r="53">
      <x:c r="A53" s="36"/>
      <x:c r="B53" s="36"/>
      <x:c r="C53" s="36"/>
      <x:c r="D53" s="36"/>
      <x:c r="E53" s="36"/>
      <x:c r="F53" s="36"/>
      <x:c r="G53" s="36"/>
      <x:c r="H53" s="59"/>
      <x:c r="I53" s="59"/>
      <x:c r="J53" s="61" t="str">
        <x:f>IF(OR($H53="",$I53=""),"",MAX($I53-$H53+1,1))</x:f>
      </x:c>
      <x:c r="K53" s="36"/>
      <x:c r="L53" s="36"/>
      <x:c r="M53" s="63" t="str">
        <x:f>IF($A53="","",SUMIFS('Custos Planejados - Pedro'!$G$6:$G$205,'Custos Planejados - Pedro'!$A$6:$A$205,$A53)+SUMIFS('Custos Planejados - Camilly'!$G$6:$G$205,'Custos Planejados - Camilly'!$A$6:$A$205,$A53))</x:f>
      </x:c>
      <x:c r="N53" s="63" t="str">
        <x:f>IF($A53="","",SUMIFS('Histórico de Gastos'!$J$6:$J$205,'Histórico de Gastos'!$B$6:$B$205,$A53))</x:f>
      </x:c>
      <x:c r="O53" s="63" t="str">
        <x:f>IF($A53="","",$M53-$N53)</x:f>
      </x:c>
      <x:c r="P53" s="65" t="str">
        <x:f>IF($A53="","",IFERROR($N53/$M53,0))</x:f>
      </x:c>
      <x:c r="Q53" s="63" t="str">
        <x:f>IF($A53="","",SUMIFS('Histórico de Gastos'!$W$6:$W$205,'Histórico de Gastos'!$B$6:$B$205,$A53))</x:f>
      </x:c>
      <x:c r="R53" s="63" t="str">
        <x:f>IF($A53="","",SUMIFS('Histórico de Gastos'!$X$6:$X$205,'Histórico de Gastos'!$B$6:$B$205,$A53))</x:f>
      </x:c>
      <x:c r="S53" s="63" t="str">
        <x:f>IF($A53="","",ABS($Q53-SUMIFS('Histórico de Gastos'!$U$6:$U$205,'Histórico de Gastos'!$B$6:$B$205,$A53)))</x:f>
      </x:c>
      <x:c r="T53" s="67" t="str">
        <x:f>IF($A53="","",IF(ABS($Q53-SUMIFS('Histórico de Gastos'!$U$6:$U$205,'Histórico de Gastos'!$B$6:$B$205,$A53))&lt;0.01,"Tudo certo",IF($Q53&gt;SUMIFS('Histórico de Gastos'!$U$6:$U$205,'Histórico de Gastos'!$B$6:$B$205,$A53),"Camilly deve para Pedro","Pedro deve para Camilly")))</x:f>
      </x:c>
      <x:c r="U53" s="36"/>
      <x:c r="V53" s="67" t="str">
        <x:f>IF($A53="","",IF(COUNTIFS('Checklist de Viagem'!$A$6:$A$205,$A53)=0,"Não",IF(COUNTIFS('Checklist de Viagem'!$A$6:$A$205,$A53,'Checklist de Viagem'!$H$6:$H$205,"Não")=0,"Sim","Não")))</x:f>
      </x:c>
      <x:c r="W53" s="36"/>
      <x:c r="X53" s="36"/>
      <x:c r="Y53" s="36"/>
      <x:c r="Z53" s="59"/>
      <x:c r="AA53" s="59"/>
      <x:c r="AB53" s="67" t="str">
        <x:f>IF($A53="","",IF($P53&gt;1,"Viagem acima do orçamento",IF(AND($K53&lt;&gt;"Concluída",$V53&lt;&gt;"Sim",$H53-TODAY()&lt;=15),"Viagem próxima sem checklist completo",IF($W53="","Passagem ainda não comprada",IF($X53="","Falta reservar hospedagem",IF($S53&gt;0,"Existe valor pendente de compensação","Tudo certo"))))))</x:f>
      </x:c>
      <x:c r="AC53" s="36"/>
    </x:row>
    <x:row r="54">
      <x:c r="A54" s="36"/>
      <x:c r="B54" s="36"/>
      <x:c r="C54" s="36"/>
      <x:c r="D54" s="36"/>
      <x:c r="E54" s="36"/>
      <x:c r="F54" s="36"/>
      <x:c r="G54" s="36"/>
      <x:c r="H54" s="59"/>
      <x:c r="I54" s="59"/>
      <x:c r="J54" s="61" t="str">
        <x:f>IF(OR($H54="",$I54=""),"",MAX($I54-$H54+1,1))</x:f>
      </x:c>
      <x:c r="K54" s="36"/>
      <x:c r="L54" s="36"/>
      <x:c r="M54" s="63" t="str">
        <x:f>IF($A54="","",SUMIFS('Custos Planejados - Pedro'!$G$6:$G$205,'Custos Planejados - Pedro'!$A$6:$A$205,$A54)+SUMIFS('Custos Planejados - Camilly'!$G$6:$G$205,'Custos Planejados - Camilly'!$A$6:$A$205,$A54))</x:f>
      </x:c>
      <x:c r="N54" s="63" t="str">
        <x:f>IF($A54="","",SUMIFS('Histórico de Gastos'!$J$6:$J$205,'Histórico de Gastos'!$B$6:$B$205,$A54))</x:f>
      </x:c>
      <x:c r="O54" s="63" t="str">
        <x:f>IF($A54="","",$M54-$N54)</x:f>
      </x:c>
      <x:c r="P54" s="65" t="str">
        <x:f>IF($A54="","",IFERROR($N54/$M54,0))</x:f>
      </x:c>
      <x:c r="Q54" s="63" t="str">
        <x:f>IF($A54="","",SUMIFS('Histórico de Gastos'!$W$6:$W$205,'Histórico de Gastos'!$B$6:$B$205,$A54))</x:f>
      </x:c>
      <x:c r="R54" s="63" t="str">
        <x:f>IF($A54="","",SUMIFS('Histórico de Gastos'!$X$6:$X$205,'Histórico de Gastos'!$B$6:$B$205,$A54))</x:f>
      </x:c>
      <x:c r="S54" s="63" t="str">
        <x:f>IF($A54="","",ABS($Q54-SUMIFS('Histórico de Gastos'!$U$6:$U$205,'Histórico de Gastos'!$B$6:$B$205,$A54)))</x:f>
      </x:c>
      <x:c r="T54" s="67" t="str">
        <x:f>IF($A54="","",IF(ABS($Q54-SUMIFS('Histórico de Gastos'!$U$6:$U$205,'Histórico de Gastos'!$B$6:$B$205,$A54))&lt;0.01,"Tudo certo",IF($Q54&gt;SUMIFS('Histórico de Gastos'!$U$6:$U$205,'Histórico de Gastos'!$B$6:$B$205,$A54),"Camilly deve para Pedro","Pedro deve para Camilly")))</x:f>
      </x:c>
      <x:c r="U54" s="36"/>
      <x:c r="V54" s="67" t="str">
        <x:f>IF($A54="","",IF(COUNTIFS('Checklist de Viagem'!$A$6:$A$205,$A54)=0,"Não",IF(COUNTIFS('Checklist de Viagem'!$A$6:$A$205,$A54,'Checklist de Viagem'!$H$6:$H$205,"Não")=0,"Sim","Não")))</x:f>
      </x:c>
      <x:c r="W54" s="36"/>
      <x:c r="X54" s="36"/>
      <x:c r="Y54" s="36"/>
      <x:c r="Z54" s="59"/>
      <x:c r="AA54" s="59"/>
      <x:c r="AB54" s="67" t="str">
        <x:f>IF($A54="","",IF($P54&gt;1,"Viagem acima do orçamento",IF(AND($K54&lt;&gt;"Concluída",$V54&lt;&gt;"Sim",$H54-TODAY()&lt;=15),"Viagem próxima sem checklist completo",IF($W54="","Passagem ainda não comprada",IF($X54="","Falta reservar hospedagem",IF($S54&gt;0,"Existe valor pendente de compensação","Tudo certo"))))))</x:f>
      </x:c>
      <x:c r="AC54" s="36"/>
    </x:row>
    <x:row r="55">
      <x:c r="A55" s="36"/>
      <x:c r="B55" s="36"/>
      <x:c r="C55" s="36"/>
      <x:c r="D55" s="36"/>
      <x:c r="E55" s="36"/>
      <x:c r="F55" s="36"/>
      <x:c r="G55" s="36"/>
      <x:c r="H55" s="59"/>
      <x:c r="I55" s="59"/>
      <x:c r="J55" s="61" t="str">
        <x:f>IF(OR($H55="",$I55=""),"",MAX($I55-$H55+1,1))</x:f>
      </x:c>
      <x:c r="K55" s="36"/>
      <x:c r="L55" s="36"/>
      <x:c r="M55" s="63" t="str">
        <x:f>IF($A55="","",SUMIFS('Custos Planejados - Pedro'!$G$6:$G$205,'Custos Planejados - Pedro'!$A$6:$A$205,$A55)+SUMIFS('Custos Planejados - Camilly'!$G$6:$G$205,'Custos Planejados - Camilly'!$A$6:$A$205,$A55))</x:f>
      </x:c>
      <x:c r="N55" s="63" t="str">
        <x:f>IF($A55="","",SUMIFS('Histórico de Gastos'!$J$6:$J$205,'Histórico de Gastos'!$B$6:$B$205,$A55))</x:f>
      </x:c>
      <x:c r="O55" s="63" t="str">
        <x:f>IF($A55="","",$M55-$N55)</x:f>
      </x:c>
      <x:c r="P55" s="65" t="str">
        <x:f>IF($A55="","",IFERROR($N55/$M55,0))</x:f>
      </x:c>
      <x:c r="Q55" s="63" t="str">
        <x:f>IF($A55="","",SUMIFS('Histórico de Gastos'!$W$6:$W$205,'Histórico de Gastos'!$B$6:$B$205,$A55))</x:f>
      </x:c>
      <x:c r="R55" s="63" t="str">
        <x:f>IF($A55="","",SUMIFS('Histórico de Gastos'!$X$6:$X$205,'Histórico de Gastos'!$B$6:$B$205,$A55))</x:f>
      </x:c>
      <x:c r="S55" s="63" t="str">
        <x:f>IF($A55="","",ABS($Q55-SUMIFS('Histórico de Gastos'!$U$6:$U$205,'Histórico de Gastos'!$B$6:$B$205,$A55)))</x:f>
      </x:c>
      <x:c r="T55" s="67" t="str">
        <x:f>IF($A55="","",IF(ABS($Q55-SUMIFS('Histórico de Gastos'!$U$6:$U$205,'Histórico de Gastos'!$B$6:$B$205,$A55))&lt;0.01,"Tudo certo",IF($Q55&gt;SUMIFS('Histórico de Gastos'!$U$6:$U$205,'Histórico de Gastos'!$B$6:$B$205,$A55),"Camilly deve para Pedro","Pedro deve para Camilly")))</x:f>
      </x:c>
      <x:c r="U55" s="36"/>
      <x:c r="V55" s="67" t="str">
        <x:f>IF($A55="","",IF(COUNTIFS('Checklist de Viagem'!$A$6:$A$205,$A55)=0,"Não",IF(COUNTIFS('Checklist de Viagem'!$A$6:$A$205,$A55,'Checklist de Viagem'!$H$6:$H$205,"Não")=0,"Sim","Não")))</x:f>
      </x:c>
      <x:c r="W55" s="36"/>
      <x:c r="X55" s="36"/>
      <x:c r="Y55" s="36"/>
      <x:c r="Z55" s="59"/>
      <x:c r="AA55" s="59"/>
      <x:c r="AB55" s="67" t="str">
        <x:f>IF($A55="","",IF($P55&gt;1,"Viagem acima do orçamento",IF(AND($K55&lt;&gt;"Concluída",$V55&lt;&gt;"Sim",$H55-TODAY()&lt;=15),"Viagem próxima sem checklist completo",IF($W55="","Passagem ainda não comprada",IF($X55="","Falta reservar hospedagem",IF($S55&gt;0,"Existe valor pendente de compensação","Tudo certo"))))))</x:f>
      </x:c>
      <x:c r="AC55" s="36"/>
    </x:row>
    <x:row r="56">
      <x:c r="A56" s="36"/>
      <x:c r="B56" s="36"/>
      <x:c r="C56" s="36"/>
      <x:c r="D56" s="36"/>
      <x:c r="E56" s="36"/>
      <x:c r="F56" s="36"/>
      <x:c r="G56" s="36"/>
      <x:c r="H56" s="59"/>
      <x:c r="I56" s="59"/>
      <x:c r="J56" s="61" t="str">
        <x:f>IF(OR($H56="",$I56=""),"",MAX($I56-$H56+1,1))</x:f>
      </x:c>
      <x:c r="K56" s="36"/>
      <x:c r="L56" s="36"/>
      <x:c r="M56" s="63" t="str">
        <x:f>IF($A56="","",SUMIFS('Custos Planejados - Pedro'!$G$6:$G$205,'Custos Planejados - Pedro'!$A$6:$A$205,$A56)+SUMIFS('Custos Planejados - Camilly'!$G$6:$G$205,'Custos Planejados - Camilly'!$A$6:$A$205,$A56))</x:f>
      </x:c>
      <x:c r="N56" s="63" t="str">
        <x:f>IF($A56="","",SUMIFS('Histórico de Gastos'!$J$6:$J$205,'Histórico de Gastos'!$B$6:$B$205,$A56))</x:f>
      </x:c>
      <x:c r="O56" s="63" t="str">
        <x:f>IF($A56="","",$M56-$N56)</x:f>
      </x:c>
      <x:c r="P56" s="65" t="str">
        <x:f>IF($A56="","",IFERROR($N56/$M56,0))</x:f>
      </x:c>
      <x:c r="Q56" s="63" t="str">
        <x:f>IF($A56="","",SUMIFS('Histórico de Gastos'!$W$6:$W$205,'Histórico de Gastos'!$B$6:$B$205,$A56))</x:f>
      </x:c>
      <x:c r="R56" s="63" t="str">
        <x:f>IF($A56="","",SUMIFS('Histórico de Gastos'!$X$6:$X$205,'Histórico de Gastos'!$B$6:$B$205,$A56))</x:f>
      </x:c>
      <x:c r="S56" s="63" t="str">
        <x:f>IF($A56="","",ABS($Q56-SUMIFS('Histórico de Gastos'!$U$6:$U$205,'Histórico de Gastos'!$B$6:$B$205,$A56)))</x:f>
      </x:c>
      <x:c r="T56" s="67" t="str">
        <x:f>IF($A56="","",IF(ABS($Q56-SUMIFS('Histórico de Gastos'!$U$6:$U$205,'Histórico de Gastos'!$B$6:$B$205,$A56))&lt;0.01,"Tudo certo",IF($Q56&gt;SUMIFS('Histórico de Gastos'!$U$6:$U$205,'Histórico de Gastos'!$B$6:$B$205,$A56),"Camilly deve para Pedro","Pedro deve para Camilly")))</x:f>
      </x:c>
      <x:c r="U56" s="36"/>
      <x:c r="V56" s="67" t="str">
        <x:f>IF($A56="","",IF(COUNTIFS('Checklist de Viagem'!$A$6:$A$205,$A56)=0,"Não",IF(COUNTIFS('Checklist de Viagem'!$A$6:$A$205,$A56,'Checklist de Viagem'!$H$6:$H$205,"Não")=0,"Sim","Não")))</x:f>
      </x:c>
      <x:c r="W56" s="36"/>
      <x:c r="X56" s="36"/>
      <x:c r="Y56" s="36"/>
      <x:c r="Z56" s="59"/>
      <x:c r="AA56" s="59"/>
      <x:c r="AB56" s="67" t="str">
        <x:f>IF($A56="","",IF($P56&gt;1,"Viagem acima do orçamento",IF(AND($K56&lt;&gt;"Concluída",$V56&lt;&gt;"Sim",$H56-TODAY()&lt;=15),"Viagem próxima sem checklist completo",IF($W56="","Passagem ainda não comprada",IF($X56="","Falta reservar hospedagem",IF($S56&gt;0,"Existe valor pendente de compensação","Tudo certo"))))))</x:f>
      </x:c>
      <x:c r="AC56" s="36"/>
    </x:row>
    <x:row r="57">
      <x:c r="A57" s="36"/>
      <x:c r="B57" s="36"/>
      <x:c r="C57" s="36"/>
      <x:c r="D57" s="36"/>
      <x:c r="E57" s="36"/>
      <x:c r="F57" s="36"/>
      <x:c r="G57" s="36"/>
      <x:c r="H57" s="59"/>
      <x:c r="I57" s="59"/>
      <x:c r="J57" s="61" t="str">
        <x:f>IF(OR($H57="",$I57=""),"",MAX($I57-$H57+1,1))</x:f>
      </x:c>
      <x:c r="K57" s="36"/>
      <x:c r="L57" s="36"/>
      <x:c r="M57" s="63" t="str">
        <x:f>IF($A57="","",SUMIFS('Custos Planejados - Pedro'!$G$6:$G$205,'Custos Planejados - Pedro'!$A$6:$A$205,$A57)+SUMIFS('Custos Planejados - Camilly'!$G$6:$G$205,'Custos Planejados - Camilly'!$A$6:$A$205,$A57))</x:f>
      </x:c>
      <x:c r="N57" s="63" t="str">
        <x:f>IF($A57="","",SUMIFS('Histórico de Gastos'!$J$6:$J$205,'Histórico de Gastos'!$B$6:$B$205,$A57))</x:f>
      </x:c>
      <x:c r="O57" s="63" t="str">
        <x:f>IF($A57="","",$M57-$N57)</x:f>
      </x:c>
      <x:c r="P57" s="65" t="str">
        <x:f>IF($A57="","",IFERROR($N57/$M57,0))</x:f>
      </x:c>
      <x:c r="Q57" s="63" t="str">
        <x:f>IF($A57="","",SUMIFS('Histórico de Gastos'!$W$6:$W$205,'Histórico de Gastos'!$B$6:$B$205,$A57))</x:f>
      </x:c>
      <x:c r="R57" s="63" t="str">
        <x:f>IF($A57="","",SUMIFS('Histórico de Gastos'!$X$6:$X$205,'Histórico de Gastos'!$B$6:$B$205,$A57))</x:f>
      </x:c>
      <x:c r="S57" s="63" t="str">
        <x:f>IF($A57="","",ABS($Q57-SUMIFS('Histórico de Gastos'!$U$6:$U$205,'Histórico de Gastos'!$B$6:$B$205,$A57)))</x:f>
      </x:c>
      <x:c r="T57" s="67" t="str">
        <x:f>IF($A57="","",IF(ABS($Q57-SUMIFS('Histórico de Gastos'!$U$6:$U$205,'Histórico de Gastos'!$B$6:$B$205,$A57))&lt;0.01,"Tudo certo",IF($Q57&gt;SUMIFS('Histórico de Gastos'!$U$6:$U$205,'Histórico de Gastos'!$B$6:$B$205,$A57),"Camilly deve para Pedro","Pedro deve para Camilly")))</x:f>
      </x:c>
      <x:c r="U57" s="36"/>
      <x:c r="V57" s="67" t="str">
        <x:f>IF($A57="","",IF(COUNTIFS('Checklist de Viagem'!$A$6:$A$205,$A57)=0,"Não",IF(COUNTIFS('Checklist de Viagem'!$A$6:$A$205,$A57,'Checklist de Viagem'!$H$6:$H$205,"Não")=0,"Sim","Não")))</x:f>
      </x:c>
      <x:c r="W57" s="36"/>
      <x:c r="X57" s="36"/>
      <x:c r="Y57" s="36"/>
      <x:c r="Z57" s="59"/>
      <x:c r="AA57" s="59"/>
      <x:c r="AB57" s="67" t="str">
        <x:f>IF($A57="","",IF($P57&gt;1,"Viagem acima do orçamento",IF(AND($K57&lt;&gt;"Concluída",$V57&lt;&gt;"Sim",$H57-TODAY()&lt;=15),"Viagem próxima sem checklist completo",IF($W57="","Passagem ainda não comprada",IF($X57="","Falta reservar hospedagem",IF($S57&gt;0,"Existe valor pendente de compensação","Tudo certo"))))))</x:f>
      </x:c>
      <x:c r="AC57" s="36"/>
    </x:row>
    <x:row r="58">
      <x:c r="A58" s="36"/>
      <x:c r="B58" s="36"/>
      <x:c r="C58" s="36"/>
      <x:c r="D58" s="36"/>
      <x:c r="E58" s="36"/>
      <x:c r="F58" s="36"/>
      <x:c r="G58" s="36"/>
      <x:c r="H58" s="59"/>
      <x:c r="I58" s="59"/>
      <x:c r="J58" s="61" t="str">
        <x:f>IF(OR($H58="",$I58=""),"",MAX($I58-$H58+1,1))</x:f>
      </x:c>
      <x:c r="K58" s="36"/>
      <x:c r="L58" s="36"/>
      <x:c r="M58" s="63" t="str">
        <x:f>IF($A58="","",SUMIFS('Custos Planejados - Pedro'!$G$6:$G$205,'Custos Planejados - Pedro'!$A$6:$A$205,$A58)+SUMIFS('Custos Planejados - Camilly'!$G$6:$G$205,'Custos Planejados - Camilly'!$A$6:$A$205,$A58))</x:f>
      </x:c>
      <x:c r="N58" s="63" t="str">
        <x:f>IF($A58="","",SUMIFS('Histórico de Gastos'!$J$6:$J$205,'Histórico de Gastos'!$B$6:$B$205,$A58))</x:f>
      </x:c>
      <x:c r="O58" s="63" t="str">
        <x:f>IF($A58="","",$M58-$N58)</x:f>
      </x:c>
      <x:c r="P58" s="65" t="str">
        <x:f>IF($A58="","",IFERROR($N58/$M58,0))</x:f>
      </x:c>
      <x:c r="Q58" s="63" t="str">
        <x:f>IF($A58="","",SUMIFS('Histórico de Gastos'!$W$6:$W$205,'Histórico de Gastos'!$B$6:$B$205,$A58))</x:f>
      </x:c>
      <x:c r="R58" s="63" t="str">
        <x:f>IF($A58="","",SUMIFS('Histórico de Gastos'!$X$6:$X$205,'Histórico de Gastos'!$B$6:$B$205,$A58))</x:f>
      </x:c>
      <x:c r="S58" s="63" t="str">
        <x:f>IF($A58="","",ABS($Q58-SUMIFS('Histórico de Gastos'!$U$6:$U$205,'Histórico de Gastos'!$B$6:$B$205,$A58)))</x:f>
      </x:c>
      <x:c r="T58" s="67" t="str">
        <x:f>IF($A58="","",IF(ABS($Q58-SUMIFS('Histórico de Gastos'!$U$6:$U$205,'Histórico de Gastos'!$B$6:$B$205,$A58))&lt;0.01,"Tudo certo",IF($Q58&gt;SUMIFS('Histórico de Gastos'!$U$6:$U$205,'Histórico de Gastos'!$B$6:$B$205,$A58),"Camilly deve para Pedro","Pedro deve para Camilly")))</x:f>
      </x:c>
      <x:c r="U58" s="36"/>
      <x:c r="V58" s="67" t="str">
        <x:f>IF($A58="","",IF(COUNTIFS('Checklist de Viagem'!$A$6:$A$205,$A58)=0,"Não",IF(COUNTIFS('Checklist de Viagem'!$A$6:$A$205,$A58,'Checklist de Viagem'!$H$6:$H$205,"Não")=0,"Sim","Não")))</x:f>
      </x:c>
      <x:c r="W58" s="36"/>
      <x:c r="X58" s="36"/>
      <x:c r="Y58" s="36"/>
      <x:c r="Z58" s="59"/>
      <x:c r="AA58" s="59"/>
      <x:c r="AB58" s="67" t="str">
        <x:f>IF($A58="","",IF($P58&gt;1,"Viagem acima do orçamento",IF(AND($K58&lt;&gt;"Concluída",$V58&lt;&gt;"Sim",$H58-TODAY()&lt;=15),"Viagem próxima sem checklist completo",IF($W58="","Passagem ainda não comprada",IF($X58="","Falta reservar hospedagem",IF($S58&gt;0,"Existe valor pendente de compensação","Tudo certo"))))))</x:f>
      </x:c>
      <x:c r="AC58" s="36"/>
    </x:row>
    <x:row r="59">
      <x:c r="A59" s="36"/>
      <x:c r="B59" s="36"/>
      <x:c r="C59" s="36"/>
      <x:c r="D59" s="36"/>
      <x:c r="E59" s="36"/>
      <x:c r="F59" s="36"/>
      <x:c r="G59" s="36"/>
      <x:c r="H59" s="59"/>
      <x:c r="I59" s="59"/>
      <x:c r="J59" s="61" t="str">
        <x:f>IF(OR($H59="",$I59=""),"",MAX($I59-$H59+1,1))</x:f>
      </x:c>
      <x:c r="K59" s="36"/>
      <x:c r="L59" s="36"/>
      <x:c r="M59" s="63" t="str">
        <x:f>IF($A59="","",SUMIFS('Custos Planejados - Pedro'!$G$6:$G$205,'Custos Planejados - Pedro'!$A$6:$A$205,$A59)+SUMIFS('Custos Planejados - Camilly'!$G$6:$G$205,'Custos Planejados - Camilly'!$A$6:$A$205,$A59))</x:f>
      </x:c>
      <x:c r="N59" s="63" t="str">
        <x:f>IF($A59="","",SUMIFS('Histórico de Gastos'!$J$6:$J$205,'Histórico de Gastos'!$B$6:$B$205,$A59))</x:f>
      </x:c>
      <x:c r="O59" s="63" t="str">
        <x:f>IF($A59="","",$M59-$N59)</x:f>
      </x:c>
      <x:c r="P59" s="65" t="str">
        <x:f>IF($A59="","",IFERROR($N59/$M59,0))</x:f>
      </x:c>
      <x:c r="Q59" s="63" t="str">
        <x:f>IF($A59="","",SUMIFS('Histórico de Gastos'!$W$6:$W$205,'Histórico de Gastos'!$B$6:$B$205,$A59))</x:f>
      </x:c>
      <x:c r="R59" s="63" t="str">
        <x:f>IF($A59="","",SUMIFS('Histórico de Gastos'!$X$6:$X$205,'Histórico de Gastos'!$B$6:$B$205,$A59))</x:f>
      </x:c>
      <x:c r="S59" s="63" t="str">
        <x:f>IF($A59="","",ABS($Q59-SUMIFS('Histórico de Gastos'!$U$6:$U$205,'Histórico de Gastos'!$B$6:$B$205,$A59)))</x:f>
      </x:c>
      <x:c r="T59" s="67" t="str">
        <x:f>IF($A59="","",IF(ABS($Q59-SUMIFS('Histórico de Gastos'!$U$6:$U$205,'Histórico de Gastos'!$B$6:$B$205,$A59))&lt;0.01,"Tudo certo",IF($Q59&gt;SUMIFS('Histórico de Gastos'!$U$6:$U$205,'Histórico de Gastos'!$B$6:$B$205,$A59),"Camilly deve para Pedro","Pedro deve para Camilly")))</x:f>
      </x:c>
      <x:c r="U59" s="36"/>
      <x:c r="V59" s="67" t="str">
        <x:f>IF($A59="","",IF(COUNTIFS('Checklist de Viagem'!$A$6:$A$205,$A59)=0,"Não",IF(COUNTIFS('Checklist de Viagem'!$A$6:$A$205,$A59,'Checklist de Viagem'!$H$6:$H$205,"Não")=0,"Sim","Não")))</x:f>
      </x:c>
      <x:c r="W59" s="36"/>
      <x:c r="X59" s="36"/>
      <x:c r="Y59" s="36"/>
      <x:c r="Z59" s="59"/>
      <x:c r="AA59" s="59"/>
      <x:c r="AB59" s="67" t="str">
        <x:f>IF($A59="","",IF($P59&gt;1,"Viagem acima do orçamento",IF(AND($K59&lt;&gt;"Concluída",$V59&lt;&gt;"Sim",$H59-TODAY()&lt;=15),"Viagem próxima sem checklist completo",IF($W59="","Passagem ainda não comprada",IF($X59="","Falta reservar hospedagem",IF($S59&gt;0,"Existe valor pendente de compensação","Tudo certo"))))))</x:f>
      </x:c>
      <x:c r="AC59" s="36"/>
    </x:row>
    <x:row r="60">
      <x:c r="A60" s="36"/>
      <x:c r="B60" s="36"/>
      <x:c r="C60" s="36"/>
      <x:c r="D60" s="36"/>
      <x:c r="E60" s="36"/>
      <x:c r="F60" s="36"/>
      <x:c r="G60" s="36"/>
      <x:c r="H60" s="59"/>
      <x:c r="I60" s="59"/>
      <x:c r="J60" s="61" t="str">
        <x:f>IF(OR($H60="",$I60=""),"",MAX($I60-$H60+1,1))</x:f>
      </x:c>
      <x:c r="K60" s="36"/>
      <x:c r="L60" s="36"/>
      <x:c r="M60" s="63" t="str">
        <x:f>IF($A60="","",SUMIFS('Custos Planejados - Pedro'!$G$6:$G$205,'Custos Planejados - Pedro'!$A$6:$A$205,$A60)+SUMIFS('Custos Planejados - Camilly'!$G$6:$G$205,'Custos Planejados - Camilly'!$A$6:$A$205,$A60))</x:f>
      </x:c>
      <x:c r="N60" s="63" t="str">
        <x:f>IF($A60="","",SUMIFS('Histórico de Gastos'!$J$6:$J$205,'Histórico de Gastos'!$B$6:$B$205,$A60))</x:f>
      </x:c>
      <x:c r="O60" s="63" t="str">
        <x:f>IF($A60="","",$M60-$N60)</x:f>
      </x:c>
      <x:c r="P60" s="65" t="str">
        <x:f>IF($A60="","",IFERROR($N60/$M60,0))</x:f>
      </x:c>
      <x:c r="Q60" s="63" t="str">
        <x:f>IF($A60="","",SUMIFS('Histórico de Gastos'!$W$6:$W$205,'Histórico de Gastos'!$B$6:$B$205,$A60))</x:f>
      </x:c>
      <x:c r="R60" s="63" t="str">
        <x:f>IF($A60="","",SUMIFS('Histórico de Gastos'!$X$6:$X$205,'Histórico de Gastos'!$B$6:$B$205,$A60))</x:f>
      </x:c>
      <x:c r="S60" s="63" t="str">
        <x:f>IF($A60="","",ABS($Q60-SUMIFS('Histórico de Gastos'!$U$6:$U$205,'Histórico de Gastos'!$B$6:$B$205,$A60)))</x:f>
      </x:c>
      <x:c r="T60" s="67" t="str">
        <x:f>IF($A60="","",IF(ABS($Q60-SUMIFS('Histórico de Gastos'!$U$6:$U$205,'Histórico de Gastos'!$B$6:$B$205,$A60))&lt;0.01,"Tudo certo",IF($Q60&gt;SUMIFS('Histórico de Gastos'!$U$6:$U$205,'Histórico de Gastos'!$B$6:$B$205,$A60),"Camilly deve para Pedro","Pedro deve para Camilly")))</x:f>
      </x:c>
      <x:c r="U60" s="36"/>
      <x:c r="V60" s="67" t="str">
        <x:f>IF($A60="","",IF(COUNTIFS('Checklist de Viagem'!$A$6:$A$205,$A60)=0,"Não",IF(COUNTIFS('Checklist de Viagem'!$A$6:$A$205,$A60,'Checklist de Viagem'!$H$6:$H$205,"Não")=0,"Sim","Não")))</x:f>
      </x:c>
      <x:c r="W60" s="36"/>
      <x:c r="X60" s="36"/>
      <x:c r="Y60" s="36"/>
      <x:c r="Z60" s="59"/>
      <x:c r="AA60" s="59"/>
      <x:c r="AB60" s="67" t="str">
        <x:f>IF($A60="","",IF($P60&gt;1,"Viagem acima do orçamento",IF(AND($K60&lt;&gt;"Concluída",$V60&lt;&gt;"Sim",$H60-TODAY()&lt;=15),"Viagem próxima sem checklist completo",IF($W60="","Passagem ainda não comprada",IF($X60="","Falta reservar hospedagem",IF($S60&gt;0,"Existe valor pendente de compensação","Tudo certo"))))))</x:f>
      </x:c>
      <x:c r="AC60" s="36"/>
    </x:row>
    <x:row r="61">
      <x:c r="A61" s="36"/>
      <x:c r="B61" s="36"/>
      <x:c r="C61" s="36"/>
      <x:c r="D61" s="36"/>
      <x:c r="E61" s="36"/>
      <x:c r="F61" s="36"/>
      <x:c r="G61" s="36"/>
      <x:c r="H61" s="59"/>
      <x:c r="I61" s="59"/>
      <x:c r="J61" s="61" t="str">
        <x:f>IF(OR($H61="",$I61=""),"",MAX($I61-$H61+1,1))</x:f>
      </x:c>
      <x:c r="K61" s="36"/>
      <x:c r="L61" s="36"/>
      <x:c r="M61" s="63" t="str">
        <x:f>IF($A61="","",SUMIFS('Custos Planejados - Pedro'!$G$6:$G$205,'Custos Planejados - Pedro'!$A$6:$A$205,$A61)+SUMIFS('Custos Planejados - Camilly'!$G$6:$G$205,'Custos Planejados - Camilly'!$A$6:$A$205,$A61))</x:f>
      </x:c>
      <x:c r="N61" s="63" t="str">
        <x:f>IF($A61="","",SUMIFS('Histórico de Gastos'!$J$6:$J$205,'Histórico de Gastos'!$B$6:$B$205,$A61))</x:f>
      </x:c>
      <x:c r="O61" s="63" t="str">
        <x:f>IF($A61="","",$M61-$N61)</x:f>
      </x:c>
      <x:c r="P61" s="65" t="str">
        <x:f>IF($A61="","",IFERROR($N61/$M61,0))</x:f>
      </x:c>
      <x:c r="Q61" s="63" t="str">
        <x:f>IF($A61="","",SUMIFS('Histórico de Gastos'!$W$6:$W$205,'Histórico de Gastos'!$B$6:$B$205,$A61))</x:f>
      </x:c>
      <x:c r="R61" s="63" t="str">
        <x:f>IF($A61="","",SUMIFS('Histórico de Gastos'!$X$6:$X$205,'Histórico de Gastos'!$B$6:$B$205,$A61))</x:f>
      </x:c>
      <x:c r="S61" s="63" t="str">
        <x:f>IF($A61="","",ABS($Q61-SUMIFS('Histórico de Gastos'!$U$6:$U$205,'Histórico de Gastos'!$B$6:$B$205,$A61)))</x:f>
      </x:c>
      <x:c r="T61" s="67" t="str">
        <x:f>IF($A61="","",IF(ABS($Q61-SUMIFS('Histórico de Gastos'!$U$6:$U$205,'Histórico de Gastos'!$B$6:$B$205,$A61))&lt;0.01,"Tudo certo",IF($Q61&gt;SUMIFS('Histórico de Gastos'!$U$6:$U$205,'Histórico de Gastos'!$B$6:$B$205,$A61),"Camilly deve para Pedro","Pedro deve para Camilly")))</x:f>
      </x:c>
      <x:c r="U61" s="36"/>
      <x:c r="V61" s="67" t="str">
        <x:f>IF($A61="","",IF(COUNTIFS('Checklist de Viagem'!$A$6:$A$205,$A61)=0,"Não",IF(COUNTIFS('Checklist de Viagem'!$A$6:$A$205,$A61,'Checklist de Viagem'!$H$6:$H$205,"Não")=0,"Sim","Não")))</x:f>
      </x:c>
      <x:c r="W61" s="36"/>
      <x:c r="X61" s="36"/>
      <x:c r="Y61" s="36"/>
      <x:c r="Z61" s="59"/>
      <x:c r="AA61" s="59"/>
      <x:c r="AB61" s="67" t="str">
        <x:f>IF($A61="","",IF($P61&gt;1,"Viagem acima do orçamento",IF(AND($K61&lt;&gt;"Concluída",$V61&lt;&gt;"Sim",$H61-TODAY()&lt;=15),"Viagem próxima sem checklist completo",IF($W61="","Passagem ainda não comprada",IF($X61="","Falta reservar hospedagem",IF($S61&gt;0,"Existe valor pendente de compensação","Tudo certo"))))))</x:f>
      </x:c>
      <x:c r="AC61" s="36"/>
    </x:row>
    <x:row r="62">
      <x:c r="A62" s="36"/>
      <x:c r="B62" s="36"/>
      <x:c r="C62" s="36"/>
      <x:c r="D62" s="36"/>
      <x:c r="E62" s="36"/>
      <x:c r="F62" s="36"/>
      <x:c r="G62" s="36"/>
      <x:c r="H62" s="59"/>
      <x:c r="I62" s="59"/>
      <x:c r="J62" s="61" t="str">
        <x:f>IF(OR($H62="",$I62=""),"",MAX($I62-$H62+1,1))</x:f>
      </x:c>
      <x:c r="K62" s="36"/>
      <x:c r="L62" s="36"/>
      <x:c r="M62" s="63" t="str">
        <x:f>IF($A62="","",SUMIFS('Custos Planejados - Pedro'!$G$6:$G$205,'Custos Planejados - Pedro'!$A$6:$A$205,$A62)+SUMIFS('Custos Planejados - Camilly'!$G$6:$G$205,'Custos Planejados - Camilly'!$A$6:$A$205,$A62))</x:f>
      </x:c>
      <x:c r="N62" s="63" t="str">
        <x:f>IF($A62="","",SUMIFS('Histórico de Gastos'!$J$6:$J$205,'Histórico de Gastos'!$B$6:$B$205,$A62))</x:f>
      </x:c>
      <x:c r="O62" s="63" t="str">
        <x:f>IF($A62="","",$M62-$N62)</x:f>
      </x:c>
      <x:c r="P62" s="65" t="str">
        <x:f>IF($A62="","",IFERROR($N62/$M62,0))</x:f>
      </x:c>
      <x:c r="Q62" s="63" t="str">
        <x:f>IF($A62="","",SUMIFS('Histórico de Gastos'!$W$6:$W$205,'Histórico de Gastos'!$B$6:$B$205,$A62))</x:f>
      </x:c>
      <x:c r="R62" s="63" t="str">
        <x:f>IF($A62="","",SUMIFS('Histórico de Gastos'!$X$6:$X$205,'Histórico de Gastos'!$B$6:$B$205,$A62))</x:f>
      </x:c>
      <x:c r="S62" s="63" t="str">
        <x:f>IF($A62="","",ABS($Q62-SUMIFS('Histórico de Gastos'!$U$6:$U$205,'Histórico de Gastos'!$B$6:$B$205,$A62)))</x:f>
      </x:c>
      <x:c r="T62" s="67" t="str">
        <x:f>IF($A62="","",IF(ABS($Q62-SUMIFS('Histórico de Gastos'!$U$6:$U$205,'Histórico de Gastos'!$B$6:$B$205,$A62))&lt;0.01,"Tudo certo",IF($Q62&gt;SUMIFS('Histórico de Gastos'!$U$6:$U$205,'Histórico de Gastos'!$B$6:$B$205,$A62),"Camilly deve para Pedro","Pedro deve para Camilly")))</x:f>
      </x:c>
      <x:c r="U62" s="36"/>
      <x:c r="V62" s="67" t="str">
        <x:f>IF($A62="","",IF(COUNTIFS('Checklist de Viagem'!$A$6:$A$205,$A62)=0,"Não",IF(COUNTIFS('Checklist de Viagem'!$A$6:$A$205,$A62,'Checklist de Viagem'!$H$6:$H$205,"Não")=0,"Sim","Não")))</x:f>
      </x:c>
      <x:c r="W62" s="36"/>
      <x:c r="X62" s="36"/>
      <x:c r="Y62" s="36"/>
      <x:c r="Z62" s="59"/>
      <x:c r="AA62" s="59"/>
      <x:c r="AB62" s="67" t="str">
        <x:f>IF($A62="","",IF($P62&gt;1,"Viagem acima do orçamento",IF(AND($K62&lt;&gt;"Concluída",$V62&lt;&gt;"Sim",$H62-TODAY()&lt;=15),"Viagem próxima sem checklist completo",IF($W62="","Passagem ainda não comprada",IF($X62="","Falta reservar hospedagem",IF($S62&gt;0,"Existe valor pendente de compensação","Tudo certo"))))))</x:f>
      </x:c>
      <x:c r="AC62" s="36"/>
    </x:row>
    <x:row r="63">
      <x:c r="A63" s="36"/>
      <x:c r="B63" s="36"/>
      <x:c r="C63" s="36"/>
      <x:c r="D63" s="36"/>
      <x:c r="E63" s="36"/>
      <x:c r="F63" s="36"/>
      <x:c r="G63" s="36"/>
      <x:c r="H63" s="59"/>
      <x:c r="I63" s="59"/>
      <x:c r="J63" s="61" t="str">
        <x:f>IF(OR($H63="",$I63=""),"",MAX($I63-$H63+1,1))</x:f>
      </x:c>
      <x:c r="K63" s="36"/>
      <x:c r="L63" s="36"/>
      <x:c r="M63" s="63" t="str">
        <x:f>IF($A63="","",SUMIFS('Custos Planejados - Pedro'!$G$6:$G$205,'Custos Planejados - Pedro'!$A$6:$A$205,$A63)+SUMIFS('Custos Planejados - Camilly'!$G$6:$G$205,'Custos Planejados - Camilly'!$A$6:$A$205,$A63))</x:f>
      </x:c>
      <x:c r="N63" s="63" t="str">
        <x:f>IF($A63="","",SUMIFS('Histórico de Gastos'!$J$6:$J$205,'Histórico de Gastos'!$B$6:$B$205,$A63))</x:f>
      </x:c>
      <x:c r="O63" s="63" t="str">
        <x:f>IF($A63="","",$M63-$N63)</x:f>
      </x:c>
      <x:c r="P63" s="65" t="str">
        <x:f>IF($A63="","",IFERROR($N63/$M63,0))</x:f>
      </x:c>
      <x:c r="Q63" s="63" t="str">
        <x:f>IF($A63="","",SUMIFS('Histórico de Gastos'!$W$6:$W$205,'Histórico de Gastos'!$B$6:$B$205,$A63))</x:f>
      </x:c>
      <x:c r="R63" s="63" t="str">
        <x:f>IF($A63="","",SUMIFS('Histórico de Gastos'!$X$6:$X$205,'Histórico de Gastos'!$B$6:$B$205,$A63))</x:f>
      </x:c>
      <x:c r="S63" s="63" t="str">
        <x:f>IF($A63="","",ABS($Q63-SUMIFS('Histórico de Gastos'!$U$6:$U$205,'Histórico de Gastos'!$B$6:$B$205,$A63)))</x:f>
      </x:c>
      <x:c r="T63" s="67" t="str">
        <x:f>IF($A63="","",IF(ABS($Q63-SUMIFS('Histórico de Gastos'!$U$6:$U$205,'Histórico de Gastos'!$B$6:$B$205,$A63))&lt;0.01,"Tudo certo",IF($Q63&gt;SUMIFS('Histórico de Gastos'!$U$6:$U$205,'Histórico de Gastos'!$B$6:$B$205,$A63),"Camilly deve para Pedro","Pedro deve para Camilly")))</x:f>
      </x:c>
      <x:c r="U63" s="36"/>
      <x:c r="V63" s="67" t="str">
        <x:f>IF($A63="","",IF(COUNTIFS('Checklist de Viagem'!$A$6:$A$205,$A63)=0,"Não",IF(COUNTIFS('Checklist de Viagem'!$A$6:$A$205,$A63,'Checklist de Viagem'!$H$6:$H$205,"Não")=0,"Sim","Não")))</x:f>
      </x:c>
      <x:c r="W63" s="36"/>
      <x:c r="X63" s="36"/>
      <x:c r="Y63" s="36"/>
      <x:c r="Z63" s="59"/>
      <x:c r="AA63" s="59"/>
      <x:c r="AB63" s="67" t="str">
        <x:f>IF($A63="","",IF($P63&gt;1,"Viagem acima do orçamento",IF(AND($K63&lt;&gt;"Concluída",$V63&lt;&gt;"Sim",$H63-TODAY()&lt;=15),"Viagem próxima sem checklist completo",IF($W63="","Passagem ainda não comprada",IF($X63="","Falta reservar hospedagem",IF($S63&gt;0,"Existe valor pendente de compensação","Tudo certo"))))))</x:f>
      </x:c>
      <x:c r="AC63" s="36"/>
    </x:row>
    <x:row r="64">
      <x:c r="A64" s="36"/>
      <x:c r="B64" s="36"/>
      <x:c r="C64" s="36"/>
      <x:c r="D64" s="36"/>
      <x:c r="E64" s="36"/>
      <x:c r="F64" s="36"/>
      <x:c r="G64" s="36"/>
      <x:c r="H64" s="59"/>
      <x:c r="I64" s="59"/>
      <x:c r="J64" s="61" t="str">
        <x:f>IF(OR($H64="",$I64=""),"",MAX($I64-$H64+1,1))</x:f>
      </x:c>
      <x:c r="K64" s="36"/>
      <x:c r="L64" s="36"/>
      <x:c r="M64" s="63" t="str">
        <x:f>IF($A64="","",SUMIFS('Custos Planejados - Pedro'!$G$6:$G$205,'Custos Planejados - Pedro'!$A$6:$A$205,$A64)+SUMIFS('Custos Planejados - Camilly'!$G$6:$G$205,'Custos Planejados - Camilly'!$A$6:$A$205,$A64))</x:f>
      </x:c>
      <x:c r="N64" s="63" t="str">
        <x:f>IF($A64="","",SUMIFS('Histórico de Gastos'!$J$6:$J$205,'Histórico de Gastos'!$B$6:$B$205,$A64))</x:f>
      </x:c>
      <x:c r="O64" s="63" t="str">
        <x:f>IF($A64="","",$M64-$N64)</x:f>
      </x:c>
      <x:c r="P64" s="65" t="str">
        <x:f>IF($A64="","",IFERROR($N64/$M64,0))</x:f>
      </x:c>
      <x:c r="Q64" s="63" t="str">
        <x:f>IF($A64="","",SUMIFS('Histórico de Gastos'!$W$6:$W$205,'Histórico de Gastos'!$B$6:$B$205,$A64))</x:f>
      </x:c>
      <x:c r="R64" s="63" t="str">
        <x:f>IF($A64="","",SUMIFS('Histórico de Gastos'!$X$6:$X$205,'Histórico de Gastos'!$B$6:$B$205,$A64))</x:f>
      </x:c>
      <x:c r="S64" s="63" t="str">
        <x:f>IF($A64="","",ABS($Q64-SUMIFS('Histórico de Gastos'!$U$6:$U$205,'Histórico de Gastos'!$B$6:$B$205,$A64)))</x:f>
      </x:c>
      <x:c r="T64" s="67" t="str">
        <x:f>IF($A64="","",IF(ABS($Q64-SUMIFS('Histórico de Gastos'!$U$6:$U$205,'Histórico de Gastos'!$B$6:$B$205,$A64))&lt;0.01,"Tudo certo",IF($Q64&gt;SUMIFS('Histórico de Gastos'!$U$6:$U$205,'Histórico de Gastos'!$B$6:$B$205,$A64),"Camilly deve para Pedro","Pedro deve para Camilly")))</x:f>
      </x:c>
      <x:c r="U64" s="36"/>
      <x:c r="V64" s="67" t="str">
        <x:f>IF($A64="","",IF(COUNTIFS('Checklist de Viagem'!$A$6:$A$205,$A64)=0,"Não",IF(COUNTIFS('Checklist de Viagem'!$A$6:$A$205,$A64,'Checklist de Viagem'!$H$6:$H$205,"Não")=0,"Sim","Não")))</x:f>
      </x:c>
      <x:c r="W64" s="36"/>
      <x:c r="X64" s="36"/>
      <x:c r="Y64" s="36"/>
      <x:c r="Z64" s="59"/>
      <x:c r="AA64" s="59"/>
      <x:c r="AB64" s="67" t="str">
        <x:f>IF($A64="","",IF($P64&gt;1,"Viagem acima do orçamento",IF(AND($K64&lt;&gt;"Concluída",$V64&lt;&gt;"Sim",$H64-TODAY()&lt;=15),"Viagem próxima sem checklist completo",IF($W64="","Passagem ainda não comprada",IF($X64="","Falta reservar hospedagem",IF($S64&gt;0,"Existe valor pendente de compensação","Tudo certo"))))))</x:f>
      </x:c>
      <x:c r="AC64" s="36"/>
    </x:row>
    <x:row r="65">
      <x:c r="A65" s="36"/>
      <x:c r="B65" s="36"/>
      <x:c r="C65" s="36"/>
      <x:c r="D65" s="36"/>
      <x:c r="E65" s="36"/>
      <x:c r="F65" s="36"/>
      <x:c r="G65" s="36"/>
      <x:c r="H65" s="59"/>
      <x:c r="I65" s="59"/>
      <x:c r="J65" s="61" t="str">
        <x:f>IF(OR($H65="",$I65=""),"",MAX($I65-$H65+1,1))</x:f>
      </x:c>
      <x:c r="K65" s="36"/>
      <x:c r="L65" s="36"/>
      <x:c r="M65" s="63" t="str">
        <x:f>IF($A65="","",SUMIFS('Custos Planejados - Pedro'!$G$6:$G$205,'Custos Planejados - Pedro'!$A$6:$A$205,$A65)+SUMIFS('Custos Planejados - Camilly'!$G$6:$G$205,'Custos Planejados - Camilly'!$A$6:$A$205,$A65))</x:f>
      </x:c>
      <x:c r="N65" s="63" t="str">
        <x:f>IF($A65="","",SUMIFS('Histórico de Gastos'!$J$6:$J$205,'Histórico de Gastos'!$B$6:$B$205,$A65))</x:f>
      </x:c>
      <x:c r="O65" s="63" t="str">
        <x:f>IF($A65="","",$M65-$N65)</x:f>
      </x:c>
      <x:c r="P65" s="65" t="str">
        <x:f>IF($A65="","",IFERROR($N65/$M65,0))</x:f>
      </x:c>
      <x:c r="Q65" s="63" t="str">
        <x:f>IF($A65="","",SUMIFS('Histórico de Gastos'!$W$6:$W$205,'Histórico de Gastos'!$B$6:$B$205,$A65))</x:f>
      </x:c>
      <x:c r="R65" s="63" t="str">
        <x:f>IF($A65="","",SUMIFS('Histórico de Gastos'!$X$6:$X$205,'Histórico de Gastos'!$B$6:$B$205,$A65))</x:f>
      </x:c>
      <x:c r="S65" s="63" t="str">
        <x:f>IF($A65="","",ABS($Q65-SUMIFS('Histórico de Gastos'!$U$6:$U$205,'Histórico de Gastos'!$B$6:$B$205,$A65)))</x:f>
      </x:c>
      <x:c r="T65" s="67" t="str">
        <x:f>IF($A65="","",IF(ABS($Q65-SUMIFS('Histórico de Gastos'!$U$6:$U$205,'Histórico de Gastos'!$B$6:$B$205,$A65))&lt;0.01,"Tudo certo",IF($Q65&gt;SUMIFS('Histórico de Gastos'!$U$6:$U$205,'Histórico de Gastos'!$B$6:$B$205,$A65),"Camilly deve para Pedro","Pedro deve para Camilly")))</x:f>
      </x:c>
      <x:c r="U65" s="36"/>
      <x:c r="V65" s="67" t="str">
        <x:f>IF($A65="","",IF(COUNTIFS('Checklist de Viagem'!$A$6:$A$205,$A65)=0,"Não",IF(COUNTIFS('Checklist de Viagem'!$A$6:$A$205,$A65,'Checklist de Viagem'!$H$6:$H$205,"Não")=0,"Sim","Não")))</x:f>
      </x:c>
      <x:c r="W65" s="36"/>
      <x:c r="X65" s="36"/>
      <x:c r="Y65" s="36"/>
      <x:c r="Z65" s="59"/>
      <x:c r="AA65" s="59"/>
      <x:c r="AB65" s="67" t="str">
        <x:f>IF($A65="","",IF($P65&gt;1,"Viagem acima do orçamento",IF(AND($K65&lt;&gt;"Concluída",$V65&lt;&gt;"Sim",$H65-TODAY()&lt;=15),"Viagem próxima sem checklist completo",IF($W65="","Passagem ainda não comprada",IF($X65="","Falta reservar hospedagem",IF($S65&gt;0,"Existe valor pendente de compensação","Tudo certo"))))))</x:f>
      </x:c>
      <x:c r="AC65" s="36"/>
    </x:row>
    <x:row r="66">
      <x:c r="A66" s="36"/>
      <x:c r="B66" s="36"/>
      <x:c r="C66" s="36"/>
      <x:c r="D66" s="36"/>
      <x:c r="E66" s="36"/>
      <x:c r="F66" s="36"/>
      <x:c r="G66" s="36"/>
      <x:c r="H66" s="59"/>
      <x:c r="I66" s="59"/>
      <x:c r="J66" s="61" t="str">
        <x:f>IF(OR($H66="",$I66=""),"",MAX($I66-$H66+1,1))</x:f>
      </x:c>
      <x:c r="K66" s="36"/>
      <x:c r="L66" s="36"/>
      <x:c r="M66" s="63" t="str">
        <x:f>IF($A66="","",SUMIFS('Custos Planejados - Pedro'!$G$6:$G$205,'Custos Planejados - Pedro'!$A$6:$A$205,$A66)+SUMIFS('Custos Planejados - Camilly'!$G$6:$G$205,'Custos Planejados - Camilly'!$A$6:$A$205,$A66))</x:f>
      </x:c>
      <x:c r="N66" s="63" t="str">
        <x:f>IF($A66="","",SUMIFS('Histórico de Gastos'!$J$6:$J$205,'Histórico de Gastos'!$B$6:$B$205,$A66))</x:f>
      </x:c>
      <x:c r="O66" s="63" t="str">
        <x:f>IF($A66="","",$M66-$N66)</x:f>
      </x:c>
      <x:c r="P66" s="65" t="str">
        <x:f>IF($A66="","",IFERROR($N66/$M66,0))</x:f>
      </x:c>
      <x:c r="Q66" s="63" t="str">
        <x:f>IF($A66="","",SUMIFS('Histórico de Gastos'!$W$6:$W$205,'Histórico de Gastos'!$B$6:$B$205,$A66))</x:f>
      </x:c>
      <x:c r="R66" s="63" t="str">
        <x:f>IF($A66="","",SUMIFS('Histórico de Gastos'!$X$6:$X$205,'Histórico de Gastos'!$B$6:$B$205,$A66))</x:f>
      </x:c>
      <x:c r="S66" s="63" t="str">
        <x:f>IF($A66="","",ABS($Q66-SUMIFS('Histórico de Gastos'!$U$6:$U$205,'Histórico de Gastos'!$B$6:$B$205,$A66)))</x:f>
      </x:c>
      <x:c r="T66" s="67" t="str">
        <x:f>IF($A66="","",IF(ABS($Q66-SUMIFS('Histórico de Gastos'!$U$6:$U$205,'Histórico de Gastos'!$B$6:$B$205,$A66))&lt;0.01,"Tudo certo",IF($Q66&gt;SUMIFS('Histórico de Gastos'!$U$6:$U$205,'Histórico de Gastos'!$B$6:$B$205,$A66),"Camilly deve para Pedro","Pedro deve para Camilly")))</x:f>
      </x:c>
      <x:c r="U66" s="36"/>
      <x:c r="V66" s="67" t="str">
        <x:f>IF($A66="","",IF(COUNTIFS('Checklist de Viagem'!$A$6:$A$205,$A66)=0,"Não",IF(COUNTIFS('Checklist de Viagem'!$A$6:$A$205,$A66,'Checklist de Viagem'!$H$6:$H$205,"Não")=0,"Sim","Não")))</x:f>
      </x:c>
      <x:c r="W66" s="36"/>
      <x:c r="X66" s="36"/>
      <x:c r="Y66" s="36"/>
      <x:c r="Z66" s="59"/>
      <x:c r="AA66" s="59"/>
      <x:c r="AB66" s="67" t="str">
        <x:f>IF($A66="","",IF($P66&gt;1,"Viagem acima do orçamento",IF(AND($K66&lt;&gt;"Concluída",$V66&lt;&gt;"Sim",$H66-TODAY()&lt;=15),"Viagem próxima sem checklist completo",IF($W66="","Passagem ainda não comprada",IF($X66="","Falta reservar hospedagem",IF($S66&gt;0,"Existe valor pendente de compensação","Tudo certo"))))))</x:f>
      </x:c>
      <x:c r="AC66" s="36"/>
    </x:row>
    <x:row r="67">
      <x:c r="A67" s="36"/>
      <x:c r="B67" s="36"/>
      <x:c r="C67" s="36"/>
      <x:c r="D67" s="36"/>
      <x:c r="E67" s="36"/>
      <x:c r="F67" s="36"/>
      <x:c r="G67" s="36"/>
      <x:c r="H67" s="59"/>
      <x:c r="I67" s="59"/>
      <x:c r="J67" s="61" t="str">
        <x:f>IF(OR($H67="",$I67=""),"",MAX($I67-$H67+1,1))</x:f>
      </x:c>
      <x:c r="K67" s="36"/>
      <x:c r="L67" s="36"/>
      <x:c r="M67" s="63" t="str">
        <x:f>IF($A67="","",SUMIFS('Custos Planejados - Pedro'!$G$6:$G$205,'Custos Planejados - Pedro'!$A$6:$A$205,$A67)+SUMIFS('Custos Planejados - Camilly'!$G$6:$G$205,'Custos Planejados - Camilly'!$A$6:$A$205,$A67))</x:f>
      </x:c>
      <x:c r="N67" s="63" t="str">
        <x:f>IF($A67="","",SUMIFS('Histórico de Gastos'!$J$6:$J$205,'Histórico de Gastos'!$B$6:$B$205,$A67))</x:f>
      </x:c>
      <x:c r="O67" s="63" t="str">
        <x:f>IF($A67="","",$M67-$N67)</x:f>
      </x:c>
      <x:c r="P67" s="65" t="str">
        <x:f>IF($A67="","",IFERROR($N67/$M67,0))</x:f>
      </x:c>
      <x:c r="Q67" s="63" t="str">
        <x:f>IF($A67="","",SUMIFS('Histórico de Gastos'!$W$6:$W$205,'Histórico de Gastos'!$B$6:$B$205,$A67))</x:f>
      </x:c>
      <x:c r="R67" s="63" t="str">
        <x:f>IF($A67="","",SUMIFS('Histórico de Gastos'!$X$6:$X$205,'Histórico de Gastos'!$B$6:$B$205,$A67))</x:f>
      </x:c>
      <x:c r="S67" s="63" t="str">
        <x:f>IF($A67="","",ABS($Q67-SUMIFS('Histórico de Gastos'!$U$6:$U$205,'Histórico de Gastos'!$B$6:$B$205,$A67)))</x:f>
      </x:c>
      <x:c r="T67" s="67" t="str">
        <x:f>IF($A67="","",IF(ABS($Q67-SUMIFS('Histórico de Gastos'!$U$6:$U$205,'Histórico de Gastos'!$B$6:$B$205,$A67))&lt;0.01,"Tudo certo",IF($Q67&gt;SUMIFS('Histórico de Gastos'!$U$6:$U$205,'Histórico de Gastos'!$B$6:$B$205,$A67),"Camilly deve para Pedro","Pedro deve para Camilly")))</x:f>
      </x:c>
      <x:c r="U67" s="36"/>
      <x:c r="V67" s="67" t="str">
        <x:f>IF($A67="","",IF(COUNTIFS('Checklist de Viagem'!$A$6:$A$205,$A67)=0,"Não",IF(COUNTIFS('Checklist de Viagem'!$A$6:$A$205,$A67,'Checklist de Viagem'!$H$6:$H$205,"Não")=0,"Sim","Não")))</x:f>
      </x:c>
      <x:c r="W67" s="36"/>
      <x:c r="X67" s="36"/>
      <x:c r="Y67" s="36"/>
      <x:c r="Z67" s="59"/>
      <x:c r="AA67" s="59"/>
      <x:c r="AB67" s="67" t="str">
        <x:f>IF($A67="","",IF($P67&gt;1,"Viagem acima do orçamento",IF(AND($K67&lt;&gt;"Concluída",$V67&lt;&gt;"Sim",$H67-TODAY()&lt;=15),"Viagem próxima sem checklist completo",IF($W67="","Passagem ainda não comprada",IF($X67="","Falta reservar hospedagem",IF($S67&gt;0,"Existe valor pendente de compensação","Tudo certo"))))))</x:f>
      </x:c>
      <x:c r="AC67" s="36"/>
    </x:row>
    <x:row r="68">
      <x:c r="A68" s="36"/>
      <x:c r="B68" s="36"/>
      <x:c r="C68" s="36"/>
      <x:c r="D68" s="36"/>
      <x:c r="E68" s="36"/>
      <x:c r="F68" s="36"/>
      <x:c r="G68" s="36"/>
      <x:c r="H68" s="59"/>
      <x:c r="I68" s="59"/>
      <x:c r="J68" s="61" t="str">
        <x:f>IF(OR($H68="",$I68=""),"",MAX($I68-$H68+1,1))</x:f>
      </x:c>
      <x:c r="K68" s="36"/>
      <x:c r="L68" s="36"/>
      <x:c r="M68" s="63" t="str">
        <x:f>IF($A68="","",SUMIFS('Custos Planejados - Pedro'!$G$6:$G$205,'Custos Planejados - Pedro'!$A$6:$A$205,$A68)+SUMIFS('Custos Planejados - Camilly'!$G$6:$G$205,'Custos Planejados - Camilly'!$A$6:$A$205,$A68))</x:f>
      </x:c>
      <x:c r="N68" s="63" t="str">
        <x:f>IF($A68="","",SUMIFS('Histórico de Gastos'!$J$6:$J$205,'Histórico de Gastos'!$B$6:$B$205,$A68))</x:f>
      </x:c>
      <x:c r="O68" s="63" t="str">
        <x:f>IF($A68="","",$M68-$N68)</x:f>
      </x:c>
      <x:c r="P68" s="65" t="str">
        <x:f>IF($A68="","",IFERROR($N68/$M68,0))</x:f>
      </x:c>
      <x:c r="Q68" s="63" t="str">
        <x:f>IF($A68="","",SUMIFS('Histórico de Gastos'!$W$6:$W$205,'Histórico de Gastos'!$B$6:$B$205,$A68))</x:f>
      </x:c>
      <x:c r="R68" s="63" t="str">
        <x:f>IF($A68="","",SUMIFS('Histórico de Gastos'!$X$6:$X$205,'Histórico de Gastos'!$B$6:$B$205,$A68))</x:f>
      </x:c>
      <x:c r="S68" s="63" t="str">
        <x:f>IF($A68="","",ABS($Q68-SUMIFS('Histórico de Gastos'!$U$6:$U$205,'Histórico de Gastos'!$B$6:$B$205,$A68)))</x:f>
      </x:c>
      <x:c r="T68" s="67" t="str">
        <x:f>IF($A68="","",IF(ABS($Q68-SUMIFS('Histórico de Gastos'!$U$6:$U$205,'Histórico de Gastos'!$B$6:$B$205,$A68))&lt;0.01,"Tudo certo",IF($Q68&gt;SUMIFS('Histórico de Gastos'!$U$6:$U$205,'Histórico de Gastos'!$B$6:$B$205,$A68),"Camilly deve para Pedro","Pedro deve para Camilly")))</x:f>
      </x:c>
      <x:c r="U68" s="36"/>
      <x:c r="V68" s="67" t="str">
        <x:f>IF($A68="","",IF(COUNTIFS('Checklist de Viagem'!$A$6:$A$205,$A68)=0,"Não",IF(COUNTIFS('Checklist de Viagem'!$A$6:$A$205,$A68,'Checklist de Viagem'!$H$6:$H$205,"Não")=0,"Sim","Não")))</x:f>
      </x:c>
      <x:c r="W68" s="36"/>
      <x:c r="X68" s="36"/>
      <x:c r="Y68" s="36"/>
      <x:c r="Z68" s="59"/>
      <x:c r="AA68" s="59"/>
      <x:c r="AB68" s="67" t="str">
        <x:f>IF($A68="","",IF($P68&gt;1,"Viagem acima do orçamento",IF(AND($K68&lt;&gt;"Concluída",$V68&lt;&gt;"Sim",$H68-TODAY()&lt;=15),"Viagem próxima sem checklist completo",IF($W68="","Passagem ainda não comprada",IF($X68="","Falta reservar hospedagem",IF($S68&gt;0,"Existe valor pendente de compensação","Tudo certo"))))))</x:f>
      </x:c>
      <x:c r="AC68" s="36"/>
    </x:row>
    <x:row r="69">
      <x:c r="A69" s="36"/>
      <x:c r="B69" s="36"/>
      <x:c r="C69" s="36"/>
      <x:c r="D69" s="36"/>
      <x:c r="E69" s="36"/>
      <x:c r="F69" s="36"/>
      <x:c r="G69" s="36"/>
      <x:c r="H69" s="59"/>
      <x:c r="I69" s="59"/>
      <x:c r="J69" s="61" t="str">
        <x:f>IF(OR($H69="",$I69=""),"",MAX($I69-$H69+1,1))</x:f>
      </x:c>
      <x:c r="K69" s="36"/>
      <x:c r="L69" s="36"/>
      <x:c r="M69" s="63" t="str">
        <x:f>IF($A69="","",SUMIFS('Custos Planejados - Pedro'!$G$6:$G$205,'Custos Planejados - Pedro'!$A$6:$A$205,$A69)+SUMIFS('Custos Planejados - Camilly'!$G$6:$G$205,'Custos Planejados - Camilly'!$A$6:$A$205,$A69))</x:f>
      </x:c>
      <x:c r="N69" s="63" t="str">
        <x:f>IF($A69="","",SUMIFS('Histórico de Gastos'!$J$6:$J$205,'Histórico de Gastos'!$B$6:$B$205,$A69))</x:f>
      </x:c>
      <x:c r="O69" s="63" t="str">
        <x:f>IF($A69="","",$M69-$N69)</x:f>
      </x:c>
      <x:c r="P69" s="65" t="str">
        <x:f>IF($A69="","",IFERROR($N69/$M69,0))</x:f>
      </x:c>
      <x:c r="Q69" s="63" t="str">
        <x:f>IF($A69="","",SUMIFS('Histórico de Gastos'!$W$6:$W$205,'Histórico de Gastos'!$B$6:$B$205,$A69))</x:f>
      </x:c>
      <x:c r="R69" s="63" t="str">
        <x:f>IF($A69="","",SUMIFS('Histórico de Gastos'!$X$6:$X$205,'Histórico de Gastos'!$B$6:$B$205,$A69))</x:f>
      </x:c>
      <x:c r="S69" s="63" t="str">
        <x:f>IF($A69="","",ABS($Q69-SUMIFS('Histórico de Gastos'!$U$6:$U$205,'Histórico de Gastos'!$B$6:$B$205,$A69)))</x:f>
      </x:c>
      <x:c r="T69" s="67" t="str">
        <x:f>IF($A69="","",IF(ABS($Q69-SUMIFS('Histórico de Gastos'!$U$6:$U$205,'Histórico de Gastos'!$B$6:$B$205,$A69))&lt;0.01,"Tudo certo",IF($Q69&gt;SUMIFS('Histórico de Gastos'!$U$6:$U$205,'Histórico de Gastos'!$B$6:$B$205,$A69),"Camilly deve para Pedro","Pedro deve para Camilly")))</x:f>
      </x:c>
      <x:c r="U69" s="36"/>
      <x:c r="V69" s="67" t="str">
        <x:f>IF($A69="","",IF(COUNTIFS('Checklist de Viagem'!$A$6:$A$205,$A69)=0,"Não",IF(COUNTIFS('Checklist de Viagem'!$A$6:$A$205,$A69,'Checklist de Viagem'!$H$6:$H$205,"Não")=0,"Sim","Não")))</x:f>
      </x:c>
      <x:c r="W69" s="36"/>
      <x:c r="X69" s="36"/>
      <x:c r="Y69" s="36"/>
      <x:c r="Z69" s="59"/>
      <x:c r="AA69" s="59"/>
      <x:c r="AB69" s="67" t="str">
        <x:f>IF($A69="","",IF($P69&gt;1,"Viagem acima do orçamento",IF(AND($K69&lt;&gt;"Concluída",$V69&lt;&gt;"Sim",$H69-TODAY()&lt;=15),"Viagem próxima sem checklist completo",IF($W69="","Passagem ainda não comprada",IF($X69="","Falta reservar hospedagem",IF($S69&gt;0,"Existe valor pendente de compensação","Tudo certo"))))))</x:f>
      </x:c>
      <x:c r="AC69" s="36"/>
    </x:row>
    <x:row r="70">
      <x:c r="A70" s="36"/>
      <x:c r="B70" s="36"/>
      <x:c r="C70" s="36"/>
      <x:c r="D70" s="36"/>
      <x:c r="E70" s="36"/>
      <x:c r="F70" s="36"/>
      <x:c r="G70" s="36"/>
      <x:c r="H70" s="59"/>
      <x:c r="I70" s="59"/>
      <x:c r="J70" s="61" t="str">
        <x:f>IF(OR($H70="",$I70=""),"",MAX($I70-$H70+1,1))</x:f>
      </x:c>
      <x:c r="K70" s="36"/>
      <x:c r="L70" s="36"/>
      <x:c r="M70" s="63" t="str">
        <x:f>IF($A70="","",SUMIFS('Custos Planejados - Pedro'!$G$6:$G$205,'Custos Planejados - Pedro'!$A$6:$A$205,$A70)+SUMIFS('Custos Planejados - Camilly'!$G$6:$G$205,'Custos Planejados - Camilly'!$A$6:$A$205,$A70))</x:f>
      </x:c>
      <x:c r="N70" s="63" t="str">
        <x:f>IF($A70="","",SUMIFS('Histórico de Gastos'!$J$6:$J$205,'Histórico de Gastos'!$B$6:$B$205,$A70))</x:f>
      </x:c>
      <x:c r="O70" s="63" t="str">
        <x:f>IF($A70="","",$M70-$N70)</x:f>
      </x:c>
      <x:c r="P70" s="65" t="str">
        <x:f>IF($A70="","",IFERROR($N70/$M70,0))</x:f>
      </x:c>
      <x:c r="Q70" s="63" t="str">
        <x:f>IF($A70="","",SUMIFS('Histórico de Gastos'!$W$6:$W$205,'Histórico de Gastos'!$B$6:$B$205,$A70))</x:f>
      </x:c>
      <x:c r="R70" s="63" t="str">
        <x:f>IF($A70="","",SUMIFS('Histórico de Gastos'!$X$6:$X$205,'Histórico de Gastos'!$B$6:$B$205,$A70))</x:f>
      </x:c>
      <x:c r="S70" s="63" t="str">
        <x:f>IF($A70="","",ABS($Q70-SUMIFS('Histórico de Gastos'!$U$6:$U$205,'Histórico de Gastos'!$B$6:$B$205,$A70)))</x:f>
      </x:c>
      <x:c r="T70" s="67" t="str">
        <x:f>IF($A70="","",IF(ABS($Q70-SUMIFS('Histórico de Gastos'!$U$6:$U$205,'Histórico de Gastos'!$B$6:$B$205,$A70))&lt;0.01,"Tudo certo",IF($Q70&gt;SUMIFS('Histórico de Gastos'!$U$6:$U$205,'Histórico de Gastos'!$B$6:$B$205,$A70),"Camilly deve para Pedro","Pedro deve para Camilly")))</x:f>
      </x:c>
      <x:c r="U70" s="36"/>
      <x:c r="V70" s="67" t="str">
        <x:f>IF($A70="","",IF(COUNTIFS('Checklist de Viagem'!$A$6:$A$205,$A70)=0,"Não",IF(COUNTIFS('Checklist de Viagem'!$A$6:$A$205,$A70,'Checklist de Viagem'!$H$6:$H$205,"Não")=0,"Sim","Não")))</x:f>
      </x:c>
      <x:c r="W70" s="36"/>
      <x:c r="X70" s="36"/>
      <x:c r="Y70" s="36"/>
      <x:c r="Z70" s="59"/>
      <x:c r="AA70" s="59"/>
      <x:c r="AB70" s="67" t="str">
        <x:f>IF($A70="","",IF($P70&gt;1,"Viagem acima do orçamento",IF(AND($K70&lt;&gt;"Concluída",$V70&lt;&gt;"Sim",$H70-TODAY()&lt;=15),"Viagem próxima sem checklist completo",IF($W70="","Passagem ainda não comprada",IF($X70="","Falta reservar hospedagem",IF($S70&gt;0,"Existe valor pendente de compensação","Tudo certo"))))))</x:f>
      </x:c>
      <x:c r="AC70" s="36"/>
    </x:row>
    <x:row r="71">
      <x:c r="A71" s="36"/>
      <x:c r="B71" s="36"/>
      <x:c r="C71" s="36"/>
      <x:c r="D71" s="36"/>
      <x:c r="E71" s="36"/>
      <x:c r="F71" s="36"/>
      <x:c r="G71" s="36"/>
      <x:c r="H71" s="59"/>
      <x:c r="I71" s="59"/>
      <x:c r="J71" s="61" t="str">
        <x:f>IF(OR($H71="",$I71=""),"",MAX($I71-$H71+1,1))</x:f>
      </x:c>
      <x:c r="K71" s="36"/>
      <x:c r="L71" s="36"/>
      <x:c r="M71" s="63" t="str">
        <x:f>IF($A71="","",SUMIFS('Custos Planejados - Pedro'!$G$6:$G$205,'Custos Planejados - Pedro'!$A$6:$A$205,$A71)+SUMIFS('Custos Planejados - Camilly'!$G$6:$G$205,'Custos Planejados - Camilly'!$A$6:$A$205,$A71))</x:f>
      </x:c>
      <x:c r="N71" s="63" t="str">
        <x:f>IF($A71="","",SUMIFS('Histórico de Gastos'!$J$6:$J$205,'Histórico de Gastos'!$B$6:$B$205,$A71))</x:f>
      </x:c>
      <x:c r="O71" s="63" t="str">
        <x:f>IF($A71="","",$M71-$N71)</x:f>
      </x:c>
      <x:c r="P71" s="65" t="str">
        <x:f>IF($A71="","",IFERROR($N71/$M71,0))</x:f>
      </x:c>
      <x:c r="Q71" s="63" t="str">
        <x:f>IF($A71="","",SUMIFS('Histórico de Gastos'!$W$6:$W$205,'Histórico de Gastos'!$B$6:$B$205,$A71))</x:f>
      </x:c>
      <x:c r="R71" s="63" t="str">
        <x:f>IF($A71="","",SUMIFS('Histórico de Gastos'!$X$6:$X$205,'Histórico de Gastos'!$B$6:$B$205,$A71))</x:f>
      </x:c>
      <x:c r="S71" s="63" t="str">
        <x:f>IF($A71="","",ABS($Q71-SUMIFS('Histórico de Gastos'!$U$6:$U$205,'Histórico de Gastos'!$B$6:$B$205,$A71)))</x:f>
      </x:c>
      <x:c r="T71" s="67" t="str">
        <x:f>IF($A71="","",IF(ABS($Q71-SUMIFS('Histórico de Gastos'!$U$6:$U$205,'Histórico de Gastos'!$B$6:$B$205,$A71))&lt;0.01,"Tudo certo",IF($Q71&gt;SUMIFS('Histórico de Gastos'!$U$6:$U$205,'Histórico de Gastos'!$B$6:$B$205,$A71),"Camilly deve para Pedro","Pedro deve para Camilly")))</x:f>
      </x:c>
      <x:c r="U71" s="36"/>
      <x:c r="V71" s="67" t="str">
        <x:f>IF($A71="","",IF(COUNTIFS('Checklist de Viagem'!$A$6:$A$205,$A71)=0,"Não",IF(COUNTIFS('Checklist de Viagem'!$A$6:$A$205,$A71,'Checklist de Viagem'!$H$6:$H$205,"Não")=0,"Sim","Não")))</x:f>
      </x:c>
      <x:c r="W71" s="36"/>
      <x:c r="X71" s="36"/>
      <x:c r="Y71" s="36"/>
      <x:c r="Z71" s="59"/>
      <x:c r="AA71" s="59"/>
      <x:c r="AB71" s="67" t="str">
        <x:f>IF($A71="","",IF($P71&gt;1,"Viagem acima do orçamento",IF(AND($K71&lt;&gt;"Concluída",$V71&lt;&gt;"Sim",$H71-TODAY()&lt;=15),"Viagem próxima sem checklist completo",IF($W71="","Passagem ainda não comprada",IF($X71="","Falta reservar hospedagem",IF($S71&gt;0,"Existe valor pendente de compensação","Tudo certo"))))))</x:f>
      </x:c>
      <x:c r="AC71" s="36"/>
    </x:row>
    <x:row r="72">
      <x:c r="A72" s="36"/>
      <x:c r="B72" s="36"/>
      <x:c r="C72" s="36"/>
      <x:c r="D72" s="36"/>
      <x:c r="E72" s="36"/>
      <x:c r="F72" s="36"/>
      <x:c r="G72" s="36"/>
      <x:c r="H72" s="59"/>
      <x:c r="I72" s="59"/>
      <x:c r="J72" s="61" t="str">
        <x:f>IF(OR($H72="",$I72=""),"",MAX($I72-$H72+1,1))</x:f>
      </x:c>
      <x:c r="K72" s="36"/>
      <x:c r="L72" s="36"/>
      <x:c r="M72" s="63" t="str">
        <x:f>IF($A72="","",SUMIFS('Custos Planejados - Pedro'!$G$6:$G$205,'Custos Planejados - Pedro'!$A$6:$A$205,$A72)+SUMIFS('Custos Planejados - Camilly'!$G$6:$G$205,'Custos Planejados - Camilly'!$A$6:$A$205,$A72))</x:f>
      </x:c>
      <x:c r="N72" s="63" t="str">
        <x:f>IF($A72="","",SUMIFS('Histórico de Gastos'!$J$6:$J$205,'Histórico de Gastos'!$B$6:$B$205,$A72))</x:f>
      </x:c>
      <x:c r="O72" s="63" t="str">
        <x:f>IF($A72="","",$M72-$N72)</x:f>
      </x:c>
      <x:c r="P72" s="65" t="str">
        <x:f>IF($A72="","",IFERROR($N72/$M72,0))</x:f>
      </x:c>
      <x:c r="Q72" s="63" t="str">
        <x:f>IF($A72="","",SUMIFS('Histórico de Gastos'!$W$6:$W$205,'Histórico de Gastos'!$B$6:$B$205,$A72))</x:f>
      </x:c>
      <x:c r="R72" s="63" t="str">
        <x:f>IF($A72="","",SUMIFS('Histórico de Gastos'!$X$6:$X$205,'Histórico de Gastos'!$B$6:$B$205,$A72))</x:f>
      </x:c>
      <x:c r="S72" s="63" t="str">
        <x:f>IF($A72="","",ABS($Q72-SUMIFS('Histórico de Gastos'!$U$6:$U$205,'Histórico de Gastos'!$B$6:$B$205,$A72)))</x:f>
      </x:c>
      <x:c r="T72" s="67" t="str">
        <x:f>IF($A72="","",IF(ABS($Q72-SUMIFS('Histórico de Gastos'!$U$6:$U$205,'Histórico de Gastos'!$B$6:$B$205,$A72))&lt;0.01,"Tudo certo",IF($Q72&gt;SUMIFS('Histórico de Gastos'!$U$6:$U$205,'Histórico de Gastos'!$B$6:$B$205,$A72),"Camilly deve para Pedro","Pedro deve para Camilly")))</x:f>
      </x:c>
      <x:c r="U72" s="36"/>
      <x:c r="V72" s="67" t="str">
        <x:f>IF($A72="","",IF(COUNTIFS('Checklist de Viagem'!$A$6:$A$205,$A72)=0,"Não",IF(COUNTIFS('Checklist de Viagem'!$A$6:$A$205,$A72,'Checklist de Viagem'!$H$6:$H$205,"Não")=0,"Sim","Não")))</x:f>
      </x:c>
      <x:c r="W72" s="36"/>
      <x:c r="X72" s="36"/>
      <x:c r="Y72" s="36"/>
      <x:c r="Z72" s="59"/>
      <x:c r="AA72" s="59"/>
      <x:c r="AB72" s="67" t="str">
        <x:f>IF($A72="","",IF($P72&gt;1,"Viagem acima do orçamento",IF(AND($K72&lt;&gt;"Concluída",$V72&lt;&gt;"Sim",$H72-TODAY()&lt;=15),"Viagem próxima sem checklist completo",IF($W72="","Passagem ainda não comprada",IF($X72="","Falta reservar hospedagem",IF($S72&gt;0,"Existe valor pendente de compensação","Tudo certo"))))))</x:f>
      </x:c>
      <x:c r="AC72" s="36"/>
    </x:row>
    <x:row r="73">
      <x:c r="A73" s="36"/>
      <x:c r="B73" s="36"/>
      <x:c r="C73" s="36"/>
      <x:c r="D73" s="36"/>
      <x:c r="E73" s="36"/>
      <x:c r="F73" s="36"/>
      <x:c r="G73" s="36"/>
      <x:c r="H73" s="59"/>
      <x:c r="I73" s="59"/>
      <x:c r="J73" s="61" t="str">
        <x:f>IF(OR($H73="",$I73=""),"",MAX($I73-$H73+1,1))</x:f>
      </x:c>
      <x:c r="K73" s="36"/>
      <x:c r="L73" s="36"/>
      <x:c r="M73" s="63" t="str">
        <x:f>IF($A73="","",SUMIFS('Custos Planejados - Pedro'!$G$6:$G$205,'Custos Planejados - Pedro'!$A$6:$A$205,$A73)+SUMIFS('Custos Planejados - Camilly'!$G$6:$G$205,'Custos Planejados - Camilly'!$A$6:$A$205,$A73))</x:f>
      </x:c>
      <x:c r="N73" s="63" t="str">
        <x:f>IF($A73="","",SUMIFS('Histórico de Gastos'!$J$6:$J$205,'Histórico de Gastos'!$B$6:$B$205,$A73))</x:f>
      </x:c>
      <x:c r="O73" s="63" t="str">
        <x:f>IF($A73="","",$M73-$N73)</x:f>
      </x:c>
      <x:c r="P73" s="65" t="str">
        <x:f>IF($A73="","",IFERROR($N73/$M73,0))</x:f>
      </x:c>
      <x:c r="Q73" s="63" t="str">
        <x:f>IF($A73="","",SUMIFS('Histórico de Gastos'!$W$6:$W$205,'Histórico de Gastos'!$B$6:$B$205,$A73))</x:f>
      </x:c>
      <x:c r="R73" s="63" t="str">
        <x:f>IF($A73="","",SUMIFS('Histórico de Gastos'!$X$6:$X$205,'Histórico de Gastos'!$B$6:$B$205,$A73))</x:f>
      </x:c>
      <x:c r="S73" s="63" t="str">
        <x:f>IF($A73="","",ABS($Q73-SUMIFS('Histórico de Gastos'!$U$6:$U$205,'Histórico de Gastos'!$B$6:$B$205,$A73)))</x:f>
      </x:c>
      <x:c r="T73" s="67" t="str">
        <x:f>IF($A73="","",IF(ABS($Q73-SUMIFS('Histórico de Gastos'!$U$6:$U$205,'Histórico de Gastos'!$B$6:$B$205,$A73))&lt;0.01,"Tudo certo",IF($Q73&gt;SUMIFS('Histórico de Gastos'!$U$6:$U$205,'Histórico de Gastos'!$B$6:$B$205,$A73),"Camilly deve para Pedro","Pedro deve para Camilly")))</x:f>
      </x:c>
      <x:c r="U73" s="36"/>
      <x:c r="V73" s="67" t="str">
        <x:f>IF($A73="","",IF(COUNTIFS('Checklist de Viagem'!$A$6:$A$205,$A73)=0,"Não",IF(COUNTIFS('Checklist de Viagem'!$A$6:$A$205,$A73,'Checklist de Viagem'!$H$6:$H$205,"Não")=0,"Sim","Não")))</x:f>
      </x:c>
      <x:c r="W73" s="36"/>
      <x:c r="X73" s="36"/>
      <x:c r="Y73" s="36"/>
      <x:c r="Z73" s="59"/>
      <x:c r="AA73" s="59"/>
      <x:c r="AB73" s="67" t="str">
        <x:f>IF($A73="","",IF($P73&gt;1,"Viagem acima do orçamento",IF(AND($K73&lt;&gt;"Concluída",$V73&lt;&gt;"Sim",$H73-TODAY()&lt;=15),"Viagem próxima sem checklist completo",IF($W73="","Passagem ainda não comprada",IF($X73="","Falta reservar hospedagem",IF($S73&gt;0,"Existe valor pendente de compensação","Tudo certo"))))))</x:f>
      </x:c>
      <x:c r="AC73" s="36"/>
    </x:row>
    <x:row r="74">
      <x:c r="A74" s="36"/>
      <x:c r="B74" s="36"/>
      <x:c r="C74" s="36"/>
      <x:c r="D74" s="36"/>
      <x:c r="E74" s="36"/>
      <x:c r="F74" s="36"/>
      <x:c r="G74" s="36"/>
      <x:c r="H74" s="59"/>
      <x:c r="I74" s="59"/>
      <x:c r="J74" s="61" t="str">
        <x:f>IF(OR($H74="",$I74=""),"",MAX($I74-$H74+1,1))</x:f>
      </x:c>
      <x:c r="K74" s="36"/>
      <x:c r="L74" s="36"/>
      <x:c r="M74" s="63" t="str">
        <x:f>IF($A74="","",SUMIFS('Custos Planejados - Pedro'!$G$6:$G$205,'Custos Planejados - Pedro'!$A$6:$A$205,$A74)+SUMIFS('Custos Planejados - Camilly'!$G$6:$G$205,'Custos Planejados - Camilly'!$A$6:$A$205,$A74))</x:f>
      </x:c>
      <x:c r="N74" s="63" t="str">
        <x:f>IF($A74="","",SUMIFS('Histórico de Gastos'!$J$6:$J$205,'Histórico de Gastos'!$B$6:$B$205,$A74))</x:f>
      </x:c>
      <x:c r="O74" s="63" t="str">
        <x:f>IF($A74="","",$M74-$N74)</x:f>
      </x:c>
      <x:c r="P74" s="65" t="str">
        <x:f>IF($A74="","",IFERROR($N74/$M74,0))</x:f>
      </x:c>
      <x:c r="Q74" s="63" t="str">
        <x:f>IF($A74="","",SUMIFS('Histórico de Gastos'!$W$6:$W$205,'Histórico de Gastos'!$B$6:$B$205,$A74))</x:f>
      </x:c>
      <x:c r="R74" s="63" t="str">
        <x:f>IF($A74="","",SUMIFS('Histórico de Gastos'!$X$6:$X$205,'Histórico de Gastos'!$B$6:$B$205,$A74))</x:f>
      </x:c>
      <x:c r="S74" s="63" t="str">
        <x:f>IF($A74="","",ABS($Q74-SUMIFS('Histórico de Gastos'!$U$6:$U$205,'Histórico de Gastos'!$B$6:$B$205,$A74)))</x:f>
      </x:c>
      <x:c r="T74" s="67" t="str">
        <x:f>IF($A74="","",IF(ABS($Q74-SUMIFS('Histórico de Gastos'!$U$6:$U$205,'Histórico de Gastos'!$B$6:$B$205,$A74))&lt;0.01,"Tudo certo",IF($Q74&gt;SUMIFS('Histórico de Gastos'!$U$6:$U$205,'Histórico de Gastos'!$B$6:$B$205,$A74),"Camilly deve para Pedro","Pedro deve para Camilly")))</x:f>
      </x:c>
      <x:c r="U74" s="36"/>
      <x:c r="V74" s="67" t="str">
        <x:f>IF($A74="","",IF(COUNTIFS('Checklist de Viagem'!$A$6:$A$205,$A74)=0,"Não",IF(COUNTIFS('Checklist de Viagem'!$A$6:$A$205,$A74,'Checklist de Viagem'!$H$6:$H$205,"Não")=0,"Sim","Não")))</x:f>
      </x:c>
      <x:c r="W74" s="36"/>
      <x:c r="X74" s="36"/>
      <x:c r="Y74" s="36"/>
      <x:c r="Z74" s="59"/>
      <x:c r="AA74" s="59"/>
      <x:c r="AB74" s="67" t="str">
        <x:f>IF($A74="","",IF($P74&gt;1,"Viagem acima do orçamento",IF(AND($K74&lt;&gt;"Concluída",$V74&lt;&gt;"Sim",$H74-TODAY()&lt;=15),"Viagem próxima sem checklist completo",IF($W74="","Passagem ainda não comprada",IF($X74="","Falta reservar hospedagem",IF($S74&gt;0,"Existe valor pendente de compensação","Tudo certo"))))))</x:f>
      </x:c>
      <x:c r="AC74" s="36"/>
    </x:row>
    <x:row r="75">
      <x:c r="A75" s="36"/>
      <x:c r="B75" s="36"/>
      <x:c r="C75" s="36"/>
      <x:c r="D75" s="36"/>
      <x:c r="E75" s="36"/>
      <x:c r="F75" s="36"/>
      <x:c r="G75" s="36"/>
      <x:c r="H75" s="59"/>
      <x:c r="I75" s="59"/>
      <x:c r="J75" s="61" t="str">
        <x:f>IF(OR($H75="",$I75=""),"",MAX($I75-$H75+1,1))</x:f>
      </x:c>
      <x:c r="K75" s="36"/>
      <x:c r="L75" s="36"/>
      <x:c r="M75" s="63" t="str">
        <x:f>IF($A75="","",SUMIFS('Custos Planejados - Pedro'!$G$6:$G$205,'Custos Planejados - Pedro'!$A$6:$A$205,$A75)+SUMIFS('Custos Planejados - Camilly'!$G$6:$G$205,'Custos Planejados - Camilly'!$A$6:$A$205,$A75))</x:f>
      </x:c>
      <x:c r="N75" s="63" t="str">
        <x:f>IF($A75="","",SUMIFS('Histórico de Gastos'!$J$6:$J$205,'Histórico de Gastos'!$B$6:$B$205,$A75))</x:f>
      </x:c>
      <x:c r="O75" s="63" t="str">
        <x:f>IF($A75="","",$M75-$N75)</x:f>
      </x:c>
      <x:c r="P75" s="65" t="str">
        <x:f>IF($A75="","",IFERROR($N75/$M75,0))</x:f>
      </x:c>
      <x:c r="Q75" s="63" t="str">
        <x:f>IF($A75="","",SUMIFS('Histórico de Gastos'!$W$6:$W$205,'Histórico de Gastos'!$B$6:$B$205,$A75))</x:f>
      </x:c>
      <x:c r="R75" s="63" t="str">
        <x:f>IF($A75="","",SUMIFS('Histórico de Gastos'!$X$6:$X$205,'Histórico de Gastos'!$B$6:$B$205,$A75))</x:f>
      </x:c>
      <x:c r="S75" s="63" t="str">
        <x:f>IF($A75="","",ABS($Q75-SUMIFS('Histórico de Gastos'!$U$6:$U$205,'Histórico de Gastos'!$B$6:$B$205,$A75)))</x:f>
      </x:c>
      <x:c r="T75" s="67" t="str">
        <x:f>IF($A75="","",IF(ABS($Q75-SUMIFS('Histórico de Gastos'!$U$6:$U$205,'Histórico de Gastos'!$B$6:$B$205,$A75))&lt;0.01,"Tudo certo",IF($Q75&gt;SUMIFS('Histórico de Gastos'!$U$6:$U$205,'Histórico de Gastos'!$B$6:$B$205,$A75),"Camilly deve para Pedro","Pedro deve para Camilly")))</x:f>
      </x:c>
      <x:c r="U75" s="36"/>
      <x:c r="V75" s="67" t="str">
        <x:f>IF($A75="","",IF(COUNTIFS('Checklist de Viagem'!$A$6:$A$205,$A75)=0,"Não",IF(COUNTIFS('Checklist de Viagem'!$A$6:$A$205,$A75,'Checklist de Viagem'!$H$6:$H$205,"Não")=0,"Sim","Não")))</x:f>
      </x:c>
      <x:c r="W75" s="36"/>
      <x:c r="X75" s="36"/>
      <x:c r="Y75" s="36"/>
      <x:c r="Z75" s="59"/>
      <x:c r="AA75" s="59"/>
      <x:c r="AB75" s="67" t="str">
        <x:f>IF($A75="","",IF($P75&gt;1,"Viagem acima do orçamento",IF(AND($K75&lt;&gt;"Concluída",$V75&lt;&gt;"Sim",$H75-TODAY()&lt;=15),"Viagem próxima sem checklist completo",IF($W75="","Passagem ainda não comprada",IF($X75="","Falta reservar hospedagem",IF($S75&gt;0,"Existe valor pendente de compensação","Tudo certo"))))))</x:f>
      </x:c>
      <x:c r="AC75" s="36"/>
    </x:row>
    <x:row r="76">
      <x:c r="A76" s="36"/>
      <x:c r="B76" s="36"/>
      <x:c r="C76" s="36"/>
      <x:c r="D76" s="36"/>
      <x:c r="E76" s="36"/>
      <x:c r="F76" s="36"/>
      <x:c r="G76" s="36"/>
      <x:c r="H76" s="59"/>
      <x:c r="I76" s="59"/>
      <x:c r="J76" s="61" t="str">
        <x:f>IF(OR($H76="",$I76=""),"",MAX($I76-$H76+1,1))</x:f>
      </x:c>
      <x:c r="K76" s="36"/>
      <x:c r="L76" s="36"/>
      <x:c r="M76" s="63" t="str">
        <x:f>IF($A76="","",SUMIFS('Custos Planejados - Pedro'!$G$6:$G$205,'Custos Planejados - Pedro'!$A$6:$A$205,$A76)+SUMIFS('Custos Planejados - Camilly'!$G$6:$G$205,'Custos Planejados - Camilly'!$A$6:$A$205,$A76))</x:f>
      </x:c>
      <x:c r="N76" s="63" t="str">
        <x:f>IF($A76="","",SUMIFS('Histórico de Gastos'!$J$6:$J$205,'Histórico de Gastos'!$B$6:$B$205,$A76))</x:f>
      </x:c>
      <x:c r="O76" s="63" t="str">
        <x:f>IF($A76="","",$M76-$N76)</x:f>
      </x:c>
      <x:c r="P76" s="65" t="str">
        <x:f>IF($A76="","",IFERROR($N76/$M76,0))</x:f>
      </x:c>
      <x:c r="Q76" s="63" t="str">
        <x:f>IF($A76="","",SUMIFS('Histórico de Gastos'!$W$6:$W$205,'Histórico de Gastos'!$B$6:$B$205,$A76))</x:f>
      </x:c>
      <x:c r="R76" s="63" t="str">
        <x:f>IF($A76="","",SUMIFS('Histórico de Gastos'!$X$6:$X$205,'Histórico de Gastos'!$B$6:$B$205,$A76))</x:f>
      </x:c>
      <x:c r="S76" s="63" t="str">
        <x:f>IF($A76="","",ABS($Q76-SUMIFS('Histórico de Gastos'!$U$6:$U$205,'Histórico de Gastos'!$B$6:$B$205,$A76)))</x:f>
      </x:c>
      <x:c r="T76" s="67" t="str">
        <x:f>IF($A76="","",IF(ABS($Q76-SUMIFS('Histórico de Gastos'!$U$6:$U$205,'Histórico de Gastos'!$B$6:$B$205,$A76))&lt;0.01,"Tudo certo",IF($Q76&gt;SUMIFS('Histórico de Gastos'!$U$6:$U$205,'Histórico de Gastos'!$B$6:$B$205,$A76),"Camilly deve para Pedro","Pedro deve para Camilly")))</x:f>
      </x:c>
      <x:c r="U76" s="36"/>
      <x:c r="V76" s="67" t="str">
        <x:f>IF($A76="","",IF(COUNTIFS('Checklist de Viagem'!$A$6:$A$205,$A76)=0,"Não",IF(COUNTIFS('Checklist de Viagem'!$A$6:$A$205,$A76,'Checklist de Viagem'!$H$6:$H$205,"Não")=0,"Sim","Não")))</x:f>
      </x:c>
      <x:c r="W76" s="36"/>
      <x:c r="X76" s="36"/>
      <x:c r="Y76" s="36"/>
      <x:c r="Z76" s="59"/>
      <x:c r="AA76" s="59"/>
      <x:c r="AB76" s="67" t="str">
        <x:f>IF($A76="","",IF($P76&gt;1,"Viagem acima do orçamento",IF(AND($K76&lt;&gt;"Concluída",$V76&lt;&gt;"Sim",$H76-TODAY()&lt;=15),"Viagem próxima sem checklist completo",IF($W76="","Passagem ainda não comprada",IF($X76="","Falta reservar hospedagem",IF($S76&gt;0,"Existe valor pendente de compensação","Tudo certo"))))))</x:f>
      </x:c>
      <x:c r="AC76" s="36"/>
    </x:row>
    <x:row r="77">
      <x:c r="A77" s="36"/>
      <x:c r="B77" s="36"/>
      <x:c r="C77" s="36"/>
      <x:c r="D77" s="36"/>
      <x:c r="E77" s="36"/>
      <x:c r="F77" s="36"/>
      <x:c r="G77" s="36"/>
      <x:c r="H77" s="59"/>
      <x:c r="I77" s="59"/>
      <x:c r="J77" s="61" t="str">
        <x:f>IF(OR($H77="",$I77=""),"",MAX($I77-$H77+1,1))</x:f>
      </x:c>
      <x:c r="K77" s="36"/>
      <x:c r="L77" s="36"/>
      <x:c r="M77" s="63" t="str">
        <x:f>IF($A77="","",SUMIFS('Custos Planejados - Pedro'!$G$6:$G$205,'Custos Planejados - Pedro'!$A$6:$A$205,$A77)+SUMIFS('Custos Planejados - Camilly'!$G$6:$G$205,'Custos Planejados - Camilly'!$A$6:$A$205,$A77))</x:f>
      </x:c>
      <x:c r="N77" s="63" t="str">
        <x:f>IF($A77="","",SUMIFS('Histórico de Gastos'!$J$6:$J$205,'Histórico de Gastos'!$B$6:$B$205,$A77))</x:f>
      </x:c>
      <x:c r="O77" s="63" t="str">
        <x:f>IF($A77="","",$M77-$N77)</x:f>
      </x:c>
      <x:c r="P77" s="65" t="str">
        <x:f>IF($A77="","",IFERROR($N77/$M77,0))</x:f>
      </x:c>
      <x:c r="Q77" s="63" t="str">
        <x:f>IF($A77="","",SUMIFS('Histórico de Gastos'!$W$6:$W$205,'Histórico de Gastos'!$B$6:$B$205,$A77))</x:f>
      </x:c>
      <x:c r="R77" s="63" t="str">
        <x:f>IF($A77="","",SUMIFS('Histórico de Gastos'!$X$6:$X$205,'Histórico de Gastos'!$B$6:$B$205,$A77))</x:f>
      </x:c>
      <x:c r="S77" s="63" t="str">
        <x:f>IF($A77="","",ABS($Q77-SUMIFS('Histórico de Gastos'!$U$6:$U$205,'Histórico de Gastos'!$B$6:$B$205,$A77)))</x:f>
      </x:c>
      <x:c r="T77" s="67" t="str">
        <x:f>IF($A77="","",IF(ABS($Q77-SUMIFS('Histórico de Gastos'!$U$6:$U$205,'Histórico de Gastos'!$B$6:$B$205,$A77))&lt;0.01,"Tudo certo",IF($Q77&gt;SUMIFS('Histórico de Gastos'!$U$6:$U$205,'Histórico de Gastos'!$B$6:$B$205,$A77),"Camilly deve para Pedro","Pedro deve para Camilly")))</x:f>
      </x:c>
      <x:c r="U77" s="36"/>
      <x:c r="V77" s="67" t="str">
        <x:f>IF($A77="","",IF(COUNTIFS('Checklist de Viagem'!$A$6:$A$205,$A77)=0,"Não",IF(COUNTIFS('Checklist de Viagem'!$A$6:$A$205,$A77,'Checklist de Viagem'!$H$6:$H$205,"Não")=0,"Sim","Não")))</x:f>
      </x:c>
      <x:c r="W77" s="36"/>
      <x:c r="X77" s="36"/>
      <x:c r="Y77" s="36"/>
      <x:c r="Z77" s="59"/>
      <x:c r="AA77" s="59"/>
      <x:c r="AB77" s="67" t="str">
        <x:f>IF($A77="","",IF($P77&gt;1,"Viagem acima do orçamento",IF(AND($K77&lt;&gt;"Concluída",$V77&lt;&gt;"Sim",$H77-TODAY()&lt;=15),"Viagem próxima sem checklist completo",IF($W77="","Passagem ainda não comprada",IF($X77="","Falta reservar hospedagem",IF($S77&gt;0,"Existe valor pendente de compensação","Tudo certo"))))))</x:f>
      </x:c>
      <x:c r="AC77" s="36"/>
    </x:row>
    <x:row r="78">
      <x:c r="A78" s="36"/>
      <x:c r="B78" s="36"/>
      <x:c r="C78" s="36"/>
      <x:c r="D78" s="36"/>
      <x:c r="E78" s="36"/>
      <x:c r="F78" s="36"/>
      <x:c r="G78" s="36"/>
      <x:c r="H78" s="59"/>
      <x:c r="I78" s="59"/>
      <x:c r="J78" s="61" t="str">
        <x:f>IF(OR($H78="",$I78=""),"",MAX($I78-$H78+1,1))</x:f>
      </x:c>
      <x:c r="K78" s="36"/>
      <x:c r="L78" s="36"/>
      <x:c r="M78" s="63" t="str">
        <x:f>IF($A78="","",SUMIFS('Custos Planejados - Pedro'!$G$6:$G$205,'Custos Planejados - Pedro'!$A$6:$A$205,$A78)+SUMIFS('Custos Planejados - Camilly'!$G$6:$G$205,'Custos Planejados - Camilly'!$A$6:$A$205,$A78))</x:f>
      </x:c>
      <x:c r="N78" s="63" t="str">
        <x:f>IF($A78="","",SUMIFS('Histórico de Gastos'!$J$6:$J$205,'Histórico de Gastos'!$B$6:$B$205,$A78))</x:f>
      </x:c>
      <x:c r="O78" s="63" t="str">
        <x:f>IF($A78="","",$M78-$N78)</x:f>
      </x:c>
      <x:c r="P78" s="65" t="str">
        <x:f>IF($A78="","",IFERROR($N78/$M78,0))</x:f>
      </x:c>
      <x:c r="Q78" s="63" t="str">
        <x:f>IF($A78="","",SUMIFS('Histórico de Gastos'!$W$6:$W$205,'Histórico de Gastos'!$B$6:$B$205,$A78))</x:f>
      </x:c>
      <x:c r="R78" s="63" t="str">
        <x:f>IF($A78="","",SUMIFS('Histórico de Gastos'!$X$6:$X$205,'Histórico de Gastos'!$B$6:$B$205,$A78))</x:f>
      </x:c>
      <x:c r="S78" s="63" t="str">
        <x:f>IF($A78="","",ABS($Q78-SUMIFS('Histórico de Gastos'!$U$6:$U$205,'Histórico de Gastos'!$B$6:$B$205,$A78)))</x:f>
      </x:c>
      <x:c r="T78" s="67" t="str">
        <x:f>IF($A78="","",IF(ABS($Q78-SUMIFS('Histórico de Gastos'!$U$6:$U$205,'Histórico de Gastos'!$B$6:$B$205,$A78))&lt;0.01,"Tudo certo",IF($Q78&gt;SUMIFS('Histórico de Gastos'!$U$6:$U$205,'Histórico de Gastos'!$B$6:$B$205,$A78),"Camilly deve para Pedro","Pedro deve para Camilly")))</x:f>
      </x:c>
      <x:c r="U78" s="36"/>
      <x:c r="V78" s="67" t="str">
        <x:f>IF($A78="","",IF(COUNTIFS('Checklist de Viagem'!$A$6:$A$205,$A78)=0,"Não",IF(COUNTIFS('Checklist de Viagem'!$A$6:$A$205,$A78,'Checklist de Viagem'!$H$6:$H$205,"Não")=0,"Sim","Não")))</x:f>
      </x:c>
      <x:c r="W78" s="36"/>
      <x:c r="X78" s="36"/>
      <x:c r="Y78" s="36"/>
      <x:c r="Z78" s="59"/>
      <x:c r="AA78" s="59"/>
      <x:c r="AB78" s="67" t="str">
        <x:f>IF($A78="","",IF($P78&gt;1,"Viagem acima do orçamento",IF(AND($K78&lt;&gt;"Concluída",$V78&lt;&gt;"Sim",$H78-TODAY()&lt;=15),"Viagem próxima sem checklist completo",IF($W78="","Passagem ainda não comprada",IF($X78="","Falta reservar hospedagem",IF($S78&gt;0,"Existe valor pendente de compensação","Tudo certo"))))))</x:f>
      </x:c>
      <x:c r="AC78" s="36"/>
    </x:row>
    <x:row r="79">
      <x:c r="A79" s="36"/>
      <x:c r="B79" s="36"/>
      <x:c r="C79" s="36"/>
      <x:c r="D79" s="36"/>
      <x:c r="E79" s="36"/>
      <x:c r="F79" s="36"/>
      <x:c r="G79" s="36"/>
      <x:c r="H79" s="59"/>
      <x:c r="I79" s="59"/>
      <x:c r="J79" s="61" t="str">
        <x:f>IF(OR($H79="",$I79=""),"",MAX($I79-$H79+1,1))</x:f>
      </x:c>
      <x:c r="K79" s="36"/>
      <x:c r="L79" s="36"/>
      <x:c r="M79" s="63" t="str">
        <x:f>IF($A79="","",SUMIFS('Custos Planejados - Pedro'!$G$6:$G$205,'Custos Planejados - Pedro'!$A$6:$A$205,$A79)+SUMIFS('Custos Planejados - Camilly'!$G$6:$G$205,'Custos Planejados - Camilly'!$A$6:$A$205,$A79))</x:f>
      </x:c>
      <x:c r="N79" s="63" t="str">
        <x:f>IF($A79="","",SUMIFS('Histórico de Gastos'!$J$6:$J$205,'Histórico de Gastos'!$B$6:$B$205,$A79))</x:f>
      </x:c>
      <x:c r="O79" s="63" t="str">
        <x:f>IF($A79="","",$M79-$N79)</x:f>
      </x:c>
      <x:c r="P79" s="65" t="str">
        <x:f>IF($A79="","",IFERROR($N79/$M79,0))</x:f>
      </x:c>
      <x:c r="Q79" s="63" t="str">
        <x:f>IF($A79="","",SUMIFS('Histórico de Gastos'!$W$6:$W$205,'Histórico de Gastos'!$B$6:$B$205,$A79))</x:f>
      </x:c>
      <x:c r="R79" s="63" t="str">
        <x:f>IF($A79="","",SUMIFS('Histórico de Gastos'!$X$6:$X$205,'Histórico de Gastos'!$B$6:$B$205,$A79))</x:f>
      </x:c>
      <x:c r="S79" s="63" t="str">
        <x:f>IF($A79="","",ABS($Q79-SUMIFS('Histórico de Gastos'!$U$6:$U$205,'Histórico de Gastos'!$B$6:$B$205,$A79)))</x:f>
      </x:c>
      <x:c r="T79" s="67" t="str">
        <x:f>IF($A79="","",IF(ABS($Q79-SUMIFS('Histórico de Gastos'!$U$6:$U$205,'Histórico de Gastos'!$B$6:$B$205,$A79))&lt;0.01,"Tudo certo",IF($Q79&gt;SUMIFS('Histórico de Gastos'!$U$6:$U$205,'Histórico de Gastos'!$B$6:$B$205,$A79),"Camilly deve para Pedro","Pedro deve para Camilly")))</x:f>
      </x:c>
      <x:c r="U79" s="36"/>
      <x:c r="V79" s="67" t="str">
        <x:f>IF($A79="","",IF(COUNTIFS('Checklist de Viagem'!$A$6:$A$205,$A79)=0,"Não",IF(COUNTIFS('Checklist de Viagem'!$A$6:$A$205,$A79,'Checklist de Viagem'!$H$6:$H$205,"Não")=0,"Sim","Não")))</x:f>
      </x:c>
      <x:c r="W79" s="36"/>
      <x:c r="X79" s="36"/>
      <x:c r="Y79" s="36"/>
      <x:c r="Z79" s="59"/>
      <x:c r="AA79" s="59"/>
      <x:c r="AB79" s="67" t="str">
        <x:f>IF($A79="","",IF($P79&gt;1,"Viagem acima do orçamento",IF(AND($K79&lt;&gt;"Concluída",$V79&lt;&gt;"Sim",$H79-TODAY()&lt;=15),"Viagem próxima sem checklist completo",IF($W79="","Passagem ainda não comprada",IF($X79="","Falta reservar hospedagem",IF($S79&gt;0,"Existe valor pendente de compensação","Tudo certo"))))))</x:f>
      </x:c>
      <x:c r="AC79" s="36"/>
    </x:row>
    <x:row r="80">
      <x:c r="A80" s="36"/>
      <x:c r="B80" s="36"/>
      <x:c r="C80" s="36"/>
      <x:c r="D80" s="36"/>
      <x:c r="E80" s="36"/>
      <x:c r="F80" s="36"/>
      <x:c r="G80" s="36"/>
      <x:c r="H80" s="59"/>
      <x:c r="I80" s="59"/>
      <x:c r="J80" s="61" t="str">
        <x:f>IF(OR($H80="",$I80=""),"",MAX($I80-$H80+1,1))</x:f>
      </x:c>
      <x:c r="K80" s="36"/>
      <x:c r="L80" s="36"/>
      <x:c r="M80" s="63" t="str">
        <x:f>IF($A80="","",SUMIFS('Custos Planejados - Pedro'!$G$6:$G$205,'Custos Planejados - Pedro'!$A$6:$A$205,$A80)+SUMIFS('Custos Planejados - Camilly'!$G$6:$G$205,'Custos Planejados - Camilly'!$A$6:$A$205,$A80))</x:f>
      </x:c>
      <x:c r="N80" s="63" t="str">
        <x:f>IF($A80="","",SUMIFS('Histórico de Gastos'!$J$6:$J$205,'Histórico de Gastos'!$B$6:$B$205,$A80))</x:f>
      </x:c>
      <x:c r="O80" s="63" t="str">
        <x:f>IF($A80="","",$M80-$N80)</x:f>
      </x:c>
      <x:c r="P80" s="65" t="str">
        <x:f>IF($A80="","",IFERROR($N80/$M80,0))</x:f>
      </x:c>
      <x:c r="Q80" s="63" t="str">
        <x:f>IF($A80="","",SUMIFS('Histórico de Gastos'!$W$6:$W$205,'Histórico de Gastos'!$B$6:$B$205,$A80))</x:f>
      </x:c>
      <x:c r="R80" s="63" t="str">
        <x:f>IF($A80="","",SUMIFS('Histórico de Gastos'!$X$6:$X$205,'Histórico de Gastos'!$B$6:$B$205,$A80))</x:f>
      </x:c>
      <x:c r="S80" s="63" t="str">
        <x:f>IF($A80="","",ABS($Q80-SUMIFS('Histórico de Gastos'!$U$6:$U$205,'Histórico de Gastos'!$B$6:$B$205,$A80)))</x:f>
      </x:c>
      <x:c r="T80" s="67" t="str">
        <x:f>IF($A80="","",IF(ABS($Q80-SUMIFS('Histórico de Gastos'!$U$6:$U$205,'Histórico de Gastos'!$B$6:$B$205,$A80))&lt;0.01,"Tudo certo",IF($Q80&gt;SUMIFS('Histórico de Gastos'!$U$6:$U$205,'Histórico de Gastos'!$B$6:$B$205,$A80),"Camilly deve para Pedro","Pedro deve para Camilly")))</x:f>
      </x:c>
      <x:c r="U80" s="36"/>
      <x:c r="V80" s="67" t="str">
        <x:f>IF($A80="","",IF(COUNTIFS('Checklist de Viagem'!$A$6:$A$205,$A80)=0,"Não",IF(COUNTIFS('Checklist de Viagem'!$A$6:$A$205,$A80,'Checklist de Viagem'!$H$6:$H$205,"Não")=0,"Sim","Não")))</x:f>
      </x:c>
      <x:c r="W80" s="36"/>
      <x:c r="X80" s="36"/>
      <x:c r="Y80" s="36"/>
      <x:c r="Z80" s="59"/>
      <x:c r="AA80" s="59"/>
      <x:c r="AB80" s="67" t="str">
        <x:f>IF($A80="","",IF($P80&gt;1,"Viagem acima do orçamento",IF(AND($K80&lt;&gt;"Concluída",$V80&lt;&gt;"Sim",$H80-TODAY()&lt;=15),"Viagem próxima sem checklist completo",IF($W80="","Passagem ainda não comprada",IF($X80="","Falta reservar hospedagem",IF($S80&gt;0,"Existe valor pendente de compensação","Tudo certo"))))))</x:f>
      </x:c>
      <x:c r="AC80" s="36"/>
    </x:row>
    <x:row r="81">
      <x:c r="A81" s="36"/>
      <x:c r="B81" s="36"/>
      <x:c r="C81" s="36"/>
      <x:c r="D81" s="36"/>
      <x:c r="E81" s="36"/>
      <x:c r="F81" s="36"/>
      <x:c r="G81" s="36"/>
      <x:c r="H81" s="59"/>
      <x:c r="I81" s="59"/>
      <x:c r="J81" s="61" t="str">
        <x:f>IF(OR($H81="",$I81=""),"",MAX($I81-$H81+1,1))</x:f>
      </x:c>
      <x:c r="K81" s="36"/>
      <x:c r="L81" s="36"/>
      <x:c r="M81" s="63" t="str">
        <x:f>IF($A81="","",SUMIFS('Custos Planejados - Pedro'!$G$6:$G$205,'Custos Planejados - Pedro'!$A$6:$A$205,$A81)+SUMIFS('Custos Planejados - Camilly'!$G$6:$G$205,'Custos Planejados - Camilly'!$A$6:$A$205,$A81))</x:f>
      </x:c>
      <x:c r="N81" s="63" t="str">
        <x:f>IF($A81="","",SUMIFS('Histórico de Gastos'!$J$6:$J$205,'Histórico de Gastos'!$B$6:$B$205,$A81))</x:f>
      </x:c>
      <x:c r="O81" s="63" t="str">
        <x:f>IF($A81="","",$M81-$N81)</x:f>
      </x:c>
      <x:c r="P81" s="65" t="str">
        <x:f>IF($A81="","",IFERROR($N81/$M81,0))</x:f>
      </x:c>
      <x:c r="Q81" s="63" t="str">
        <x:f>IF($A81="","",SUMIFS('Histórico de Gastos'!$W$6:$W$205,'Histórico de Gastos'!$B$6:$B$205,$A81))</x:f>
      </x:c>
      <x:c r="R81" s="63" t="str">
        <x:f>IF($A81="","",SUMIFS('Histórico de Gastos'!$X$6:$X$205,'Histórico de Gastos'!$B$6:$B$205,$A81))</x:f>
      </x:c>
      <x:c r="S81" s="63" t="str">
        <x:f>IF($A81="","",ABS($Q81-SUMIFS('Histórico de Gastos'!$U$6:$U$205,'Histórico de Gastos'!$B$6:$B$205,$A81)))</x:f>
      </x:c>
      <x:c r="T81" s="67" t="str">
        <x:f>IF($A81="","",IF(ABS($Q81-SUMIFS('Histórico de Gastos'!$U$6:$U$205,'Histórico de Gastos'!$B$6:$B$205,$A81))&lt;0.01,"Tudo certo",IF($Q81&gt;SUMIFS('Histórico de Gastos'!$U$6:$U$205,'Histórico de Gastos'!$B$6:$B$205,$A81),"Camilly deve para Pedro","Pedro deve para Camilly")))</x:f>
      </x:c>
      <x:c r="U81" s="36"/>
      <x:c r="V81" s="67" t="str">
        <x:f>IF($A81="","",IF(COUNTIFS('Checklist de Viagem'!$A$6:$A$205,$A81)=0,"Não",IF(COUNTIFS('Checklist de Viagem'!$A$6:$A$205,$A81,'Checklist de Viagem'!$H$6:$H$205,"Não")=0,"Sim","Não")))</x:f>
      </x:c>
      <x:c r="W81" s="36"/>
      <x:c r="X81" s="36"/>
      <x:c r="Y81" s="36"/>
      <x:c r="Z81" s="59"/>
      <x:c r="AA81" s="59"/>
      <x:c r="AB81" s="67" t="str">
        <x:f>IF($A81="","",IF($P81&gt;1,"Viagem acima do orçamento",IF(AND($K81&lt;&gt;"Concluída",$V81&lt;&gt;"Sim",$H81-TODAY()&lt;=15),"Viagem próxima sem checklist completo",IF($W81="","Passagem ainda não comprada",IF($X81="","Falta reservar hospedagem",IF($S81&gt;0,"Existe valor pendente de compensação","Tudo certo"))))))</x:f>
      </x:c>
      <x:c r="AC81" s="36"/>
    </x:row>
    <x:row r="82">
      <x:c r="A82" s="36"/>
      <x:c r="B82" s="36"/>
      <x:c r="C82" s="36"/>
      <x:c r="D82" s="36"/>
      <x:c r="E82" s="36"/>
      <x:c r="F82" s="36"/>
      <x:c r="G82" s="36"/>
      <x:c r="H82" s="59"/>
      <x:c r="I82" s="59"/>
      <x:c r="J82" s="61" t="str">
        <x:f>IF(OR($H82="",$I82=""),"",MAX($I82-$H82+1,1))</x:f>
      </x:c>
      <x:c r="K82" s="36"/>
      <x:c r="L82" s="36"/>
      <x:c r="M82" s="63" t="str">
        <x:f>IF($A82="","",SUMIFS('Custos Planejados - Pedro'!$G$6:$G$205,'Custos Planejados - Pedro'!$A$6:$A$205,$A82)+SUMIFS('Custos Planejados - Camilly'!$G$6:$G$205,'Custos Planejados - Camilly'!$A$6:$A$205,$A82))</x:f>
      </x:c>
      <x:c r="N82" s="63" t="str">
        <x:f>IF($A82="","",SUMIFS('Histórico de Gastos'!$J$6:$J$205,'Histórico de Gastos'!$B$6:$B$205,$A82))</x:f>
      </x:c>
      <x:c r="O82" s="63" t="str">
        <x:f>IF($A82="","",$M82-$N82)</x:f>
      </x:c>
      <x:c r="P82" s="65" t="str">
        <x:f>IF($A82="","",IFERROR($N82/$M82,0))</x:f>
      </x:c>
      <x:c r="Q82" s="63" t="str">
        <x:f>IF($A82="","",SUMIFS('Histórico de Gastos'!$W$6:$W$205,'Histórico de Gastos'!$B$6:$B$205,$A82))</x:f>
      </x:c>
      <x:c r="R82" s="63" t="str">
        <x:f>IF($A82="","",SUMIFS('Histórico de Gastos'!$X$6:$X$205,'Histórico de Gastos'!$B$6:$B$205,$A82))</x:f>
      </x:c>
      <x:c r="S82" s="63" t="str">
        <x:f>IF($A82="","",ABS($Q82-SUMIFS('Histórico de Gastos'!$U$6:$U$205,'Histórico de Gastos'!$B$6:$B$205,$A82)))</x:f>
      </x:c>
      <x:c r="T82" s="67" t="str">
        <x:f>IF($A82="","",IF(ABS($Q82-SUMIFS('Histórico de Gastos'!$U$6:$U$205,'Histórico de Gastos'!$B$6:$B$205,$A82))&lt;0.01,"Tudo certo",IF($Q82&gt;SUMIFS('Histórico de Gastos'!$U$6:$U$205,'Histórico de Gastos'!$B$6:$B$205,$A82),"Camilly deve para Pedro","Pedro deve para Camilly")))</x:f>
      </x:c>
      <x:c r="U82" s="36"/>
      <x:c r="V82" s="67" t="str">
        <x:f>IF($A82="","",IF(COUNTIFS('Checklist de Viagem'!$A$6:$A$205,$A82)=0,"Não",IF(COUNTIFS('Checklist de Viagem'!$A$6:$A$205,$A82,'Checklist de Viagem'!$H$6:$H$205,"Não")=0,"Sim","Não")))</x:f>
      </x:c>
      <x:c r="W82" s="36"/>
      <x:c r="X82" s="36"/>
      <x:c r="Y82" s="36"/>
      <x:c r="Z82" s="59"/>
      <x:c r="AA82" s="59"/>
      <x:c r="AB82" s="67" t="str">
        <x:f>IF($A82="","",IF($P82&gt;1,"Viagem acima do orçamento",IF(AND($K82&lt;&gt;"Concluída",$V82&lt;&gt;"Sim",$H82-TODAY()&lt;=15),"Viagem próxima sem checklist completo",IF($W82="","Passagem ainda não comprada",IF($X82="","Falta reservar hospedagem",IF($S82&gt;0,"Existe valor pendente de compensação","Tudo certo"))))))</x:f>
      </x:c>
      <x:c r="AC82" s="36"/>
    </x:row>
    <x:row r="83">
      <x:c r="A83" s="36"/>
      <x:c r="B83" s="36"/>
      <x:c r="C83" s="36"/>
      <x:c r="D83" s="36"/>
      <x:c r="E83" s="36"/>
      <x:c r="F83" s="36"/>
      <x:c r="G83" s="36"/>
      <x:c r="H83" s="59"/>
      <x:c r="I83" s="59"/>
      <x:c r="J83" s="61" t="str">
        <x:f>IF(OR($H83="",$I83=""),"",MAX($I83-$H83+1,1))</x:f>
      </x:c>
      <x:c r="K83" s="36"/>
      <x:c r="L83" s="36"/>
      <x:c r="M83" s="63" t="str">
        <x:f>IF($A83="","",SUMIFS('Custos Planejados - Pedro'!$G$6:$G$205,'Custos Planejados - Pedro'!$A$6:$A$205,$A83)+SUMIFS('Custos Planejados - Camilly'!$G$6:$G$205,'Custos Planejados - Camilly'!$A$6:$A$205,$A83))</x:f>
      </x:c>
      <x:c r="N83" s="63" t="str">
        <x:f>IF($A83="","",SUMIFS('Histórico de Gastos'!$J$6:$J$205,'Histórico de Gastos'!$B$6:$B$205,$A83))</x:f>
      </x:c>
      <x:c r="O83" s="63" t="str">
        <x:f>IF($A83="","",$M83-$N83)</x:f>
      </x:c>
      <x:c r="P83" s="65" t="str">
        <x:f>IF($A83="","",IFERROR($N83/$M83,0))</x:f>
      </x:c>
      <x:c r="Q83" s="63" t="str">
        <x:f>IF($A83="","",SUMIFS('Histórico de Gastos'!$W$6:$W$205,'Histórico de Gastos'!$B$6:$B$205,$A83))</x:f>
      </x:c>
      <x:c r="R83" s="63" t="str">
        <x:f>IF($A83="","",SUMIFS('Histórico de Gastos'!$X$6:$X$205,'Histórico de Gastos'!$B$6:$B$205,$A83))</x:f>
      </x:c>
      <x:c r="S83" s="63" t="str">
        <x:f>IF($A83="","",ABS($Q83-SUMIFS('Histórico de Gastos'!$U$6:$U$205,'Histórico de Gastos'!$B$6:$B$205,$A83)))</x:f>
      </x:c>
      <x:c r="T83" s="67" t="str">
        <x:f>IF($A83="","",IF(ABS($Q83-SUMIFS('Histórico de Gastos'!$U$6:$U$205,'Histórico de Gastos'!$B$6:$B$205,$A83))&lt;0.01,"Tudo certo",IF($Q83&gt;SUMIFS('Histórico de Gastos'!$U$6:$U$205,'Histórico de Gastos'!$B$6:$B$205,$A83),"Camilly deve para Pedro","Pedro deve para Camilly")))</x:f>
      </x:c>
      <x:c r="U83" s="36"/>
      <x:c r="V83" s="67" t="str">
        <x:f>IF($A83="","",IF(COUNTIFS('Checklist de Viagem'!$A$6:$A$205,$A83)=0,"Não",IF(COUNTIFS('Checklist de Viagem'!$A$6:$A$205,$A83,'Checklist de Viagem'!$H$6:$H$205,"Não")=0,"Sim","Não")))</x:f>
      </x:c>
      <x:c r="W83" s="36"/>
      <x:c r="X83" s="36"/>
      <x:c r="Y83" s="36"/>
      <x:c r="Z83" s="59"/>
      <x:c r="AA83" s="59"/>
      <x:c r="AB83" s="67" t="str">
        <x:f>IF($A83="","",IF($P83&gt;1,"Viagem acima do orçamento",IF(AND($K83&lt;&gt;"Concluída",$V83&lt;&gt;"Sim",$H83-TODAY()&lt;=15),"Viagem próxima sem checklist completo",IF($W83="","Passagem ainda não comprada",IF($X83="","Falta reservar hospedagem",IF($S83&gt;0,"Existe valor pendente de compensação","Tudo certo"))))))</x:f>
      </x:c>
      <x:c r="AC83" s="36"/>
    </x:row>
    <x:row r="84">
      <x:c r="A84" s="36"/>
      <x:c r="B84" s="36"/>
      <x:c r="C84" s="36"/>
      <x:c r="D84" s="36"/>
      <x:c r="E84" s="36"/>
      <x:c r="F84" s="36"/>
      <x:c r="G84" s="36"/>
      <x:c r="H84" s="59"/>
      <x:c r="I84" s="59"/>
      <x:c r="J84" s="61" t="str">
        <x:f>IF(OR($H84="",$I84=""),"",MAX($I84-$H84+1,1))</x:f>
      </x:c>
      <x:c r="K84" s="36"/>
      <x:c r="L84" s="36"/>
      <x:c r="M84" s="63" t="str">
        <x:f>IF($A84="","",SUMIFS('Custos Planejados - Pedro'!$G$6:$G$205,'Custos Planejados - Pedro'!$A$6:$A$205,$A84)+SUMIFS('Custos Planejados - Camilly'!$G$6:$G$205,'Custos Planejados - Camilly'!$A$6:$A$205,$A84))</x:f>
      </x:c>
      <x:c r="N84" s="63" t="str">
        <x:f>IF($A84="","",SUMIFS('Histórico de Gastos'!$J$6:$J$205,'Histórico de Gastos'!$B$6:$B$205,$A84))</x:f>
      </x:c>
      <x:c r="O84" s="63" t="str">
        <x:f>IF($A84="","",$M84-$N84)</x:f>
      </x:c>
      <x:c r="P84" s="65" t="str">
        <x:f>IF($A84="","",IFERROR($N84/$M84,0))</x:f>
      </x:c>
      <x:c r="Q84" s="63" t="str">
        <x:f>IF($A84="","",SUMIFS('Histórico de Gastos'!$W$6:$W$205,'Histórico de Gastos'!$B$6:$B$205,$A84))</x:f>
      </x:c>
      <x:c r="R84" s="63" t="str">
        <x:f>IF($A84="","",SUMIFS('Histórico de Gastos'!$X$6:$X$205,'Histórico de Gastos'!$B$6:$B$205,$A84))</x:f>
      </x:c>
      <x:c r="S84" s="63" t="str">
        <x:f>IF($A84="","",ABS($Q84-SUMIFS('Histórico de Gastos'!$U$6:$U$205,'Histórico de Gastos'!$B$6:$B$205,$A84)))</x:f>
      </x:c>
      <x:c r="T84" s="67" t="str">
        <x:f>IF($A84="","",IF(ABS($Q84-SUMIFS('Histórico de Gastos'!$U$6:$U$205,'Histórico de Gastos'!$B$6:$B$205,$A84))&lt;0.01,"Tudo certo",IF($Q84&gt;SUMIFS('Histórico de Gastos'!$U$6:$U$205,'Histórico de Gastos'!$B$6:$B$205,$A84),"Camilly deve para Pedro","Pedro deve para Camilly")))</x:f>
      </x:c>
      <x:c r="U84" s="36"/>
      <x:c r="V84" s="67" t="str">
        <x:f>IF($A84="","",IF(COUNTIFS('Checklist de Viagem'!$A$6:$A$205,$A84)=0,"Não",IF(COUNTIFS('Checklist de Viagem'!$A$6:$A$205,$A84,'Checklist de Viagem'!$H$6:$H$205,"Não")=0,"Sim","Não")))</x:f>
      </x:c>
      <x:c r="W84" s="36"/>
      <x:c r="X84" s="36"/>
      <x:c r="Y84" s="36"/>
      <x:c r="Z84" s="59"/>
      <x:c r="AA84" s="59"/>
      <x:c r="AB84" s="67" t="str">
        <x:f>IF($A84="","",IF($P84&gt;1,"Viagem acima do orçamento",IF(AND($K84&lt;&gt;"Concluída",$V84&lt;&gt;"Sim",$H84-TODAY()&lt;=15),"Viagem próxima sem checklist completo",IF($W84="","Passagem ainda não comprada",IF($X84="","Falta reservar hospedagem",IF($S84&gt;0,"Existe valor pendente de compensação","Tudo certo"))))))</x:f>
      </x:c>
      <x:c r="AC84" s="36"/>
    </x:row>
    <x:row r="85">
      <x:c r="A85" s="36"/>
      <x:c r="B85" s="36"/>
      <x:c r="C85" s="36"/>
      <x:c r="D85" s="36"/>
      <x:c r="E85" s="36"/>
      <x:c r="F85" s="36"/>
      <x:c r="G85" s="36"/>
      <x:c r="H85" s="59"/>
      <x:c r="I85" s="59"/>
      <x:c r="J85" s="61" t="str">
        <x:f>IF(OR($H85="",$I85=""),"",MAX($I85-$H85+1,1))</x:f>
      </x:c>
      <x:c r="K85" s="36"/>
      <x:c r="L85" s="36"/>
      <x:c r="M85" s="63" t="str">
        <x:f>IF($A85="","",SUMIFS('Custos Planejados - Pedro'!$G$6:$G$205,'Custos Planejados - Pedro'!$A$6:$A$205,$A85)+SUMIFS('Custos Planejados - Camilly'!$G$6:$G$205,'Custos Planejados - Camilly'!$A$6:$A$205,$A85))</x:f>
      </x:c>
      <x:c r="N85" s="63" t="str">
        <x:f>IF($A85="","",SUMIFS('Histórico de Gastos'!$J$6:$J$205,'Histórico de Gastos'!$B$6:$B$205,$A85))</x:f>
      </x:c>
      <x:c r="O85" s="63" t="str">
        <x:f>IF($A85="","",$M85-$N85)</x:f>
      </x:c>
      <x:c r="P85" s="65" t="str">
        <x:f>IF($A85="","",IFERROR($N85/$M85,0))</x:f>
      </x:c>
      <x:c r="Q85" s="63" t="str">
        <x:f>IF($A85="","",SUMIFS('Histórico de Gastos'!$W$6:$W$205,'Histórico de Gastos'!$B$6:$B$205,$A85))</x:f>
      </x:c>
      <x:c r="R85" s="63" t="str">
        <x:f>IF($A85="","",SUMIFS('Histórico de Gastos'!$X$6:$X$205,'Histórico de Gastos'!$B$6:$B$205,$A85))</x:f>
      </x:c>
      <x:c r="S85" s="63" t="str">
        <x:f>IF($A85="","",ABS($Q85-SUMIFS('Histórico de Gastos'!$U$6:$U$205,'Histórico de Gastos'!$B$6:$B$205,$A85)))</x:f>
      </x:c>
      <x:c r="T85" s="67" t="str">
        <x:f>IF($A85="","",IF(ABS($Q85-SUMIFS('Histórico de Gastos'!$U$6:$U$205,'Histórico de Gastos'!$B$6:$B$205,$A85))&lt;0.01,"Tudo certo",IF($Q85&gt;SUMIFS('Histórico de Gastos'!$U$6:$U$205,'Histórico de Gastos'!$B$6:$B$205,$A85),"Camilly deve para Pedro","Pedro deve para Camilly")))</x:f>
      </x:c>
      <x:c r="U85" s="36"/>
      <x:c r="V85" s="67" t="str">
        <x:f>IF($A85="","",IF(COUNTIFS('Checklist de Viagem'!$A$6:$A$205,$A85)=0,"Não",IF(COUNTIFS('Checklist de Viagem'!$A$6:$A$205,$A85,'Checklist de Viagem'!$H$6:$H$205,"Não")=0,"Sim","Não")))</x:f>
      </x:c>
      <x:c r="W85" s="36"/>
      <x:c r="X85" s="36"/>
      <x:c r="Y85" s="36"/>
      <x:c r="Z85" s="59"/>
      <x:c r="AA85" s="59"/>
      <x:c r="AB85" s="67" t="str">
        <x:f>IF($A85="","",IF($P85&gt;1,"Viagem acima do orçamento",IF(AND($K85&lt;&gt;"Concluída",$V85&lt;&gt;"Sim",$H85-TODAY()&lt;=15),"Viagem próxima sem checklist completo",IF($W85="","Passagem ainda não comprada",IF($X85="","Falta reservar hospedagem",IF($S85&gt;0,"Existe valor pendente de compensação","Tudo certo"))))))</x:f>
      </x:c>
      <x:c r="AC85" s="36"/>
    </x:row>
    <x:row r="86">
      <x:c r="A86" s="36"/>
      <x:c r="B86" s="36"/>
      <x:c r="C86" s="36"/>
      <x:c r="D86" s="36"/>
      <x:c r="E86" s="36"/>
      <x:c r="F86" s="36"/>
      <x:c r="G86" s="36"/>
      <x:c r="H86" s="59"/>
      <x:c r="I86" s="59"/>
      <x:c r="J86" s="61" t="str">
        <x:f>IF(OR($H86="",$I86=""),"",MAX($I86-$H86+1,1))</x:f>
      </x:c>
      <x:c r="K86" s="36"/>
      <x:c r="L86" s="36"/>
      <x:c r="M86" s="63" t="str">
        <x:f>IF($A86="","",SUMIFS('Custos Planejados - Pedro'!$G$6:$G$205,'Custos Planejados - Pedro'!$A$6:$A$205,$A86)+SUMIFS('Custos Planejados - Camilly'!$G$6:$G$205,'Custos Planejados - Camilly'!$A$6:$A$205,$A86))</x:f>
      </x:c>
      <x:c r="N86" s="63" t="str">
        <x:f>IF($A86="","",SUMIFS('Histórico de Gastos'!$J$6:$J$205,'Histórico de Gastos'!$B$6:$B$205,$A86))</x:f>
      </x:c>
      <x:c r="O86" s="63" t="str">
        <x:f>IF($A86="","",$M86-$N86)</x:f>
      </x:c>
      <x:c r="P86" s="65" t="str">
        <x:f>IF($A86="","",IFERROR($N86/$M86,0))</x:f>
      </x:c>
      <x:c r="Q86" s="63" t="str">
        <x:f>IF($A86="","",SUMIFS('Histórico de Gastos'!$W$6:$W$205,'Histórico de Gastos'!$B$6:$B$205,$A86))</x:f>
      </x:c>
      <x:c r="R86" s="63" t="str">
        <x:f>IF($A86="","",SUMIFS('Histórico de Gastos'!$X$6:$X$205,'Histórico de Gastos'!$B$6:$B$205,$A86))</x:f>
      </x:c>
      <x:c r="S86" s="63" t="str">
        <x:f>IF($A86="","",ABS($Q86-SUMIFS('Histórico de Gastos'!$U$6:$U$205,'Histórico de Gastos'!$B$6:$B$205,$A86)))</x:f>
      </x:c>
      <x:c r="T86" s="67" t="str">
        <x:f>IF($A86="","",IF(ABS($Q86-SUMIFS('Histórico de Gastos'!$U$6:$U$205,'Histórico de Gastos'!$B$6:$B$205,$A86))&lt;0.01,"Tudo certo",IF($Q86&gt;SUMIFS('Histórico de Gastos'!$U$6:$U$205,'Histórico de Gastos'!$B$6:$B$205,$A86),"Camilly deve para Pedro","Pedro deve para Camilly")))</x:f>
      </x:c>
      <x:c r="U86" s="36"/>
      <x:c r="V86" s="67" t="str">
        <x:f>IF($A86="","",IF(COUNTIFS('Checklist de Viagem'!$A$6:$A$205,$A86)=0,"Não",IF(COUNTIFS('Checklist de Viagem'!$A$6:$A$205,$A86,'Checklist de Viagem'!$H$6:$H$205,"Não")=0,"Sim","Não")))</x:f>
      </x:c>
      <x:c r="W86" s="36"/>
      <x:c r="X86" s="36"/>
      <x:c r="Y86" s="36"/>
      <x:c r="Z86" s="59"/>
      <x:c r="AA86" s="59"/>
      <x:c r="AB86" s="67" t="str">
        <x:f>IF($A86="","",IF($P86&gt;1,"Viagem acima do orçamento",IF(AND($K86&lt;&gt;"Concluída",$V86&lt;&gt;"Sim",$H86-TODAY()&lt;=15),"Viagem próxima sem checklist completo",IF($W86="","Passagem ainda não comprada",IF($X86="","Falta reservar hospedagem",IF($S86&gt;0,"Existe valor pendente de compensação","Tudo certo"))))))</x:f>
      </x:c>
      <x:c r="AC86" s="36"/>
    </x:row>
    <x:row r="87">
      <x:c r="A87" s="36"/>
      <x:c r="B87" s="36"/>
      <x:c r="C87" s="36"/>
      <x:c r="D87" s="36"/>
      <x:c r="E87" s="36"/>
      <x:c r="F87" s="36"/>
      <x:c r="G87" s="36"/>
      <x:c r="H87" s="59"/>
      <x:c r="I87" s="59"/>
      <x:c r="J87" s="61" t="str">
        <x:f>IF(OR($H87="",$I87=""),"",MAX($I87-$H87+1,1))</x:f>
      </x:c>
      <x:c r="K87" s="36"/>
      <x:c r="L87" s="36"/>
      <x:c r="M87" s="63" t="str">
        <x:f>IF($A87="","",SUMIFS('Custos Planejados - Pedro'!$G$6:$G$205,'Custos Planejados - Pedro'!$A$6:$A$205,$A87)+SUMIFS('Custos Planejados - Camilly'!$G$6:$G$205,'Custos Planejados - Camilly'!$A$6:$A$205,$A87))</x:f>
      </x:c>
      <x:c r="N87" s="63" t="str">
        <x:f>IF($A87="","",SUMIFS('Histórico de Gastos'!$J$6:$J$205,'Histórico de Gastos'!$B$6:$B$205,$A87))</x:f>
      </x:c>
      <x:c r="O87" s="63" t="str">
        <x:f>IF($A87="","",$M87-$N87)</x:f>
      </x:c>
      <x:c r="P87" s="65" t="str">
        <x:f>IF($A87="","",IFERROR($N87/$M87,0))</x:f>
      </x:c>
      <x:c r="Q87" s="63" t="str">
        <x:f>IF($A87="","",SUMIFS('Histórico de Gastos'!$W$6:$W$205,'Histórico de Gastos'!$B$6:$B$205,$A87))</x:f>
      </x:c>
      <x:c r="R87" s="63" t="str">
        <x:f>IF($A87="","",SUMIFS('Histórico de Gastos'!$X$6:$X$205,'Histórico de Gastos'!$B$6:$B$205,$A87))</x:f>
      </x:c>
      <x:c r="S87" s="63" t="str">
        <x:f>IF($A87="","",ABS($Q87-SUMIFS('Histórico de Gastos'!$U$6:$U$205,'Histórico de Gastos'!$B$6:$B$205,$A87)))</x:f>
      </x:c>
      <x:c r="T87" s="67" t="str">
        <x:f>IF($A87="","",IF(ABS($Q87-SUMIFS('Histórico de Gastos'!$U$6:$U$205,'Histórico de Gastos'!$B$6:$B$205,$A87))&lt;0.01,"Tudo certo",IF($Q87&gt;SUMIFS('Histórico de Gastos'!$U$6:$U$205,'Histórico de Gastos'!$B$6:$B$205,$A87),"Camilly deve para Pedro","Pedro deve para Camilly")))</x:f>
      </x:c>
      <x:c r="U87" s="36"/>
      <x:c r="V87" s="67" t="str">
        <x:f>IF($A87="","",IF(COUNTIFS('Checklist de Viagem'!$A$6:$A$205,$A87)=0,"Não",IF(COUNTIFS('Checklist de Viagem'!$A$6:$A$205,$A87,'Checklist de Viagem'!$H$6:$H$205,"Não")=0,"Sim","Não")))</x:f>
      </x:c>
      <x:c r="W87" s="36"/>
      <x:c r="X87" s="36"/>
      <x:c r="Y87" s="36"/>
      <x:c r="Z87" s="59"/>
      <x:c r="AA87" s="59"/>
      <x:c r="AB87" s="67" t="str">
        <x:f>IF($A87="","",IF($P87&gt;1,"Viagem acima do orçamento",IF(AND($K87&lt;&gt;"Concluída",$V87&lt;&gt;"Sim",$H87-TODAY()&lt;=15),"Viagem próxima sem checklist completo",IF($W87="","Passagem ainda não comprada",IF($X87="","Falta reservar hospedagem",IF($S87&gt;0,"Existe valor pendente de compensação","Tudo certo"))))))</x:f>
      </x:c>
      <x:c r="AC87" s="36"/>
    </x:row>
    <x:row r="88">
      <x:c r="A88" s="36"/>
      <x:c r="B88" s="36"/>
      <x:c r="C88" s="36"/>
      <x:c r="D88" s="36"/>
      <x:c r="E88" s="36"/>
      <x:c r="F88" s="36"/>
      <x:c r="G88" s="36"/>
      <x:c r="H88" s="59"/>
      <x:c r="I88" s="59"/>
      <x:c r="J88" s="61" t="str">
        <x:f>IF(OR($H88="",$I88=""),"",MAX($I88-$H88+1,1))</x:f>
      </x:c>
      <x:c r="K88" s="36"/>
      <x:c r="L88" s="36"/>
      <x:c r="M88" s="63" t="str">
        <x:f>IF($A88="","",SUMIFS('Custos Planejados - Pedro'!$G$6:$G$205,'Custos Planejados - Pedro'!$A$6:$A$205,$A88)+SUMIFS('Custos Planejados - Camilly'!$G$6:$G$205,'Custos Planejados - Camilly'!$A$6:$A$205,$A88))</x:f>
      </x:c>
      <x:c r="N88" s="63" t="str">
        <x:f>IF($A88="","",SUMIFS('Histórico de Gastos'!$J$6:$J$205,'Histórico de Gastos'!$B$6:$B$205,$A88))</x:f>
      </x:c>
      <x:c r="O88" s="63" t="str">
        <x:f>IF($A88="","",$M88-$N88)</x:f>
      </x:c>
      <x:c r="P88" s="65" t="str">
        <x:f>IF($A88="","",IFERROR($N88/$M88,0))</x:f>
      </x:c>
      <x:c r="Q88" s="63" t="str">
        <x:f>IF($A88="","",SUMIFS('Histórico de Gastos'!$W$6:$W$205,'Histórico de Gastos'!$B$6:$B$205,$A88))</x:f>
      </x:c>
      <x:c r="R88" s="63" t="str">
        <x:f>IF($A88="","",SUMIFS('Histórico de Gastos'!$X$6:$X$205,'Histórico de Gastos'!$B$6:$B$205,$A88))</x:f>
      </x:c>
      <x:c r="S88" s="63" t="str">
        <x:f>IF($A88="","",ABS($Q88-SUMIFS('Histórico de Gastos'!$U$6:$U$205,'Histórico de Gastos'!$B$6:$B$205,$A88)))</x:f>
      </x:c>
      <x:c r="T88" s="67" t="str">
        <x:f>IF($A88="","",IF(ABS($Q88-SUMIFS('Histórico de Gastos'!$U$6:$U$205,'Histórico de Gastos'!$B$6:$B$205,$A88))&lt;0.01,"Tudo certo",IF($Q88&gt;SUMIFS('Histórico de Gastos'!$U$6:$U$205,'Histórico de Gastos'!$B$6:$B$205,$A88),"Camilly deve para Pedro","Pedro deve para Camilly")))</x:f>
      </x:c>
      <x:c r="U88" s="36"/>
      <x:c r="V88" s="67" t="str">
        <x:f>IF($A88="","",IF(COUNTIFS('Checklist de Viagem'!$A$6:$A$205,$A88)=0,"Não",IF(COUNTIFS('Checklist de Viagem'!$A$6:$A$205,$A88,'Checklist de Viagem'!$H$6:$H$205,"Não")=0,"Sim","Não")))</x:f>
      </x:c>
      <x:c r="W88" s="36"/>
      <x:c r="X88" s="36"/>
      <x:c r="Y88" s="36"/>
      <x:c r="Z88" s="59"/>
      <x:c r="AA88" s="59"/>
      <x:c r="AB88" s="67" t="str">
        <x:f>IF($A88="","",IF($P88&gt;1,"Viagem acima do orçamento",IF(AND($K88&lt;&gt;"Concluída",$V88&lt;&gt;"Sim",$H88-TODAY()&lt;=15),"Viagem próxima sem checklist completo",IF($W88="","Passagem ainda não comprada",IF($X88="","Falta reservar hospedagem",IF($S88&gt;0,"Existe valor pendente de compensação","Tudo certo"))))))</x:f>
      </x:c>
      <x:c r="AC88" s="36"/>
    </x:row>
    <x:row r="89">
      <x:c r="A89" s="36"/>
      <x:c r="B89" s="36"/>
      <x:c r="C89" s="36"/>
      <x:c r="D89" s="36"/>
      <x:c r="E89" s="36"/>
      <x:c r="F89" s="36"/>
      <x:c r="G89" s="36"/>
      <x:c r="H89" s="59"/>
      <x:c r="I89" s="59"/>
      <x:c r="J89" s="61" t="str">
        <x:f>IF(OR($H89="",$I89=""),"",MAX($I89-$H89+1,1))</x:f>
      </x:c>
      <x:c r="K89" s="36"/>
      <x:c r="L89" s="36"/>
      <x:c r="M89" s="63" t="str">
        <x:f>IF($A89="","",SUMIFS('Custos Planejados - Pedro'!$G$6:$G$205,'Custos Planejados - Pedro'!$A$6:$A$205,$A89)+SUMIFS('Custos Planejados - Camilly'!$G$6:$G$205,'Custos Planejados - Camilly'!$A$6:$A$205,$A89))</x:f>
      </x:c>
      <x:c r="N89" s="63" t="str">
        <x:f>IF($A89="","",SUMIFS('Histórico de Gastos'!$J$6:$J$205,'Histórico de Gastos'!$B$6:$B$205,$A89))</x:f>
      </x:c>
      <x:c r="O89" s="63" t="str">
        <x:f>IF($A89="","",$M89-$N89)</x:f>
      </x:c>
      <x:c r="P89" s="65" t="str">
        <x:f>IF($A89="","",IFERROR($N89/$M89,0))</x:f>
      </x:c>
      <x:c r="Q89" s="63" t="str">
        <x:f>IF($A89="","",SUMIFS('Histórico de Gastos'!$W$6:$W$205,'Histórico de Gastos'!$B$6:$B$205,$A89))</x:f>
      </x:c>
      <x:c r="R89" s="63" t="str">
        <x:f>IF($A89="","",SUMIFS('Histórico de Gastos'!$X$6:$X$205,'Histórico de Gastos'!$B$6:$B$205,$A89))</x:f>
      </x:c>
      <x:c r="S89" s="63" t="str">
        <x:f>IF($A89="","",ABS($Q89-SUMIFS('Histórico de Gastos'!$U$6:$U$205,'Histórico de Gastos'!$B$6:$B$205,$A89)))</x:f>
      </x:c>
      <x:c r="T89" s="67" t="str">
        <x:f>IF($A89="","",IF(ABS($Q89-SUMIFS('Histórico de Gastos'!$U$6:$U$205,'Histórico de Gastos'!$B$6:$B$205,$A89))&lt;0.01,"Tudo certo",IF($Q89&gt;SUMIFS('Histórico de Gastos'!$U$6:$U$205,'Histórico de Gastos'!$B$6:$B$205,$A89),"Camilly deve para Pedro","Pedro deve para Camilly")))</x:f>
      </x:c>
      <x:c r="U89" s="36"/>
      <x:c r="V89" s="67" t="str">
        <x:f>IF($A89="","",IF(COUNTIFS('Checklist de Viagem'!$A$6:$A$205,$A89)=0,"Não",IF(COUNTIFS('Checklist de Viagem'!$A$6:$A$205,$A89,'Checklist de Viagem'!$H$6:$H$205,"Não")=0,"Sim","Não")))</x:f>
      </x:c>
      <x:c r="W89" s="36"/>
      <x:c r="X89" s="36"/>
      <x:c r="Y89" s="36"/>
      <x:c r="Z89" s="59"/>
      <x:c r="AA89" s="59"/>
      <x:c r="AB89" s="67" t="str">
        <x:f>IF($A89="","",IF($P89&gt;1,"Viagem acima do orçamento",IF(AND($K89&lt;&gt;"Concluída",$V89&lt;&gt;"Sim",$H89-TODAY()&lt;=15),"Viagem próxima sem checklist completo",IF($W89="","Passagem ainda não comprada",IF($X89="","Falta reservar hospedagem",IF($S89&gt;0,"Existe valor pendente de compensação","Tudo certo"))))))</x:f>
      </x:c>
      <x:c r="AC89" s="36"/>
    </x:row>
    <x:row r="90">
      <x:c r="A90" s="36"/>
      <x:c r="B90" s="36"/>
      <x:c r="C90" s="36"/>
      <x:c r="D90" s="36"/>
      <x:c r="E90" s="36"/>
      <x:c r="F90" s="36"/>
      <x:c r="G90" s="36"/>
      <x:c r="H90" s="59"/>
      <x:c r="I90" s="59"/>
      <x:c r="J90" s="61" t="str">
        <x:f>IF(OR($H90="",$I90=""),"",MAX($I90-$H90+1,1))</x:f>
      </x:c>
      <x:c r="K90" s="36"/>
      <x:c r="L90" s="36"/>
      <x:c r="M90" s="63" t="str">
        <x:f>IF($A90="","",SUMIFS('Custos Planejados - Pedro'!$G$6:$G$205,'Custos Planejados - Pedro'!$A$6:$A$205,$A90)+SUMIFS('Custos Planejados - Camilly'!$G$6:$G$205,'Custos Planejados - Camilly'!$A$6:$A$205,$A90))</x:f>
      </x:c>
      <x:c r="N90" s="63" t="str">
        <x:f>IF($A90="","",SUMIFS('Histórico de Gastos'!$J$6:$J$205,'Histórico de Gastos'!$B$6:$B$205,$A90))</x:f>
      </x:c>
      <x:c r="O90" s="63" t="str">
        <x:f>IF($A90="","",$M90-$N90)</x:f>
      </x:c>
      <x:c r="P90" s="65" t="str">
        <x:f>IF($A90="","",IFERROR($N90/$M90,0))</x:f>
      </x:c>
      <x:c r="Q90" s="63" t="str">
        <x:f>IF($A90="","",SUMIFS('Histórico de Gastos'!$W$6:$W$205,'Histórico de Gastos'!$B$6:$B$205,$A90))</x:f>
      </x:c>
      <x:c r="R90" s="63" t="str">
        <x:f>IF($A90="","",SUMIFS('Histórico de Gastos'!$X$6:$X$205,'Histórico de Gastos'!$B$6:$B$205,$A90))</x:f>
      </x:c>
      <x:c r="S90" s="63" t="str">
        <x:f>IF($A90="","",ABS($Q90-SUMIFS('Histórico de Gastos'!$U$6:$U$205,'Histórico de Gastos'!$B$6:$B$205,$A90)))</x:f>
      </x:c>
      <x:c r="T90" s="67" t="str">
        <x:f>IF($A90="","",IF(ABS($Q90-SUMIFS('Histórico de Gastos'!$U$6:$U$205,'Histórico de Gastos'!$B$6:$B$205,$A90))&lt;0.01,"Tudo certo",IF($Q90&gt;SUMIFS('Histórico de Gastos'!$U$6:$U$205,'Histórico de Gastos'!$B$6:$B$205,$A90),"Camilly deve para Pedro","Pedro deve para Camilly")))</x:f>
      </x:c>
      <x:c r="U90" s="36"/>
      <x:c r="V90" s="67" t="str">
        <x:f>IF($A90="","",IF(COUNTIFS('Checklist de Viagem'!$A$6:$A$205,$A90)=0,"Não",IF(COUNTIFS('Checklist de Viagem'!$A$6:$A$205,$A90,'Checklist de Viagem'!$H$6:$H$205,"Não")=0,"Sim","Não")))</x:f>
      </x:c>
      <x:c r="W90" s="36"/>
      <x:c r="X90" s="36"/>
      <x:c r="Y90" s="36"/>
      <x:c r="Z90" s="59"/>
      <x:c r="AA90" s="59"/>
      <x:c r="AB90" s="67" t="str">
        <x:f>IF($A90="","",IF($P90&gt;1,"Viagem acima do orçamento",IF(AND($K90&lt;&gt;"Concluída",$V90&lt;&gt;"Sim",$H90-TODAY()&lt;=15),"Viagem próxima sem checklist completo",IF($W90="","Passagem ainda não comprada",IF($X90="","Falta reservar hospedagem",IF($S90&gt;0,"Existe valor pendente de compensação","Tudo certo"))))))</x:f>
      </x:c>
      <x:c r="AC90" s="36"/>
    </x:row>
    <x:row r="91">
      <x:c r="A91" s="36"/>
      <x:c r="B91" s="36"/>
      <x:c r="C91" s="36"/>
      <x:c r="D91" s="36"/>
      <x:c r="E91" s="36"/>
      <x:c r="F91" s="36"/>
      <x:c r="G91" s="36"/>
      <x:c r="H91" s="59"/>
      <x:c r="I91" s="59"/>
      <x:c r="J91" s="61" t="str">
        <x:f>IF(OR($H91="",$I91=""),"",MAX($I91-$H91+1,1))</x:f>
      </x:c>
      <x:c r="K91" s="36"/>
      <x:c r="L91" s="36"/>
      <x:c r="M91" s="63" t="str">
        <x:f>IF($A91="","",SUMIFS('Custos Planejados - Pedro'!$G$6:$G$205,'Custos Planejados - Pedro'!$A$6:$A$205,$A91)+SUMIFS('Custos Planejados - Camilly'!$G$6:$G$205,'Custos Planejados - Camilly'!$A$6:$A$205,$A91))</x:f>
      </x:c>
      <x:c r="N91" s="63" t="str">
        <x:f>IF($A91="","",SUMIFS('Histórico de Gastos'!$J$6:$J$205,'Histórico de Gastos'!$B$6:$B$205,$A91))</x:f>
      </x:c>
      <x:c r="O91" s="63" t="str">
        <x:f>IF($A91="","",$M91-$N91)</x:f>
      </x:c>
      <x:c r="P91" s="65" t="str">
        <x:f>IF($A91="","",IFERROR($N91/$M91,0))</x:f>
      </x:c>
      <x:c r="Q91" s="63" t="str">
        <x:f>IF($A91="","",SUMIFS('Histórico de Gastos'!$W$6:$W$205,'Histórico de Gastos'!$B$6:$B$205,$A91))</x:f>
      </x:c>
      <x:c r="R91" s="63" t="str">
        <x:f>IF($A91="","",SUMIFS('Histórico de Gastos'!$X$6:$X$205,'Histórico de Gastos'!$B$6:$B$205,$A91))</x:f>
      </x:c>
      <x:c r="S91" s="63" t="str">
        <x:f>IF($A91="","",ABS($Q91-SUMIFS('Histórico de Gastos'!$U$6:$U$205,'Histórico de Gastos'!$B$6:$B$205,$A91)))</x:f>
      </x:c>
      <x:c r="T91" s="67" t="str">
        <x:f>IF($A91="","",IF(ABS($Q91-SUMIFS('Histórico de Gastos'!$U$6:$U$205,'Histórico de Gastos'!$B$6:$B$205,$A91))&lt;0.01,"Tudo certo",IF($Q91&gt;SUMIFS('Histórico de Gastos'!$U$6:$U$205,'Histórico de Gastos'!$B$6:$B$205,$A91),"Camilly deve para Pedro","Pedro deve para Camilly")))</x:f>
      </x:c>
      <x:c r="U91" s="36"/>
      <x:c r="V91" s="67" t="str">
        <x:f>IF($A91="","",IF(COUNTIFS('Checklist de Viagem'!$A$6:$A$205,$A91)=0,"Não",IF(COUNTIFS('Checklist de Viagem'!$A$6:$A$205,$A91,'Checklist de Viagem'!$H$6:$H$205,"Não")=0,"Sim","Não")))</x:f>
      </x:c>
      <x:c r="W91" s="36"/>
      <x:c r="X91" s="36"/>
      <x:c r="Y91" s="36"/>
      <x:c r="Z91" s="59"/>
      <x:c r="AA91" s="59"/>
      <x:c r="AB91" s="67" t="str">
        <x:f>IF($A91="","",IF($P91&gt;1,"Viagem acima do orçamento",IF(AND($K91&lt;&gt;"Concluída",$V91&lt;&gt;"Sim",$H91-TODAY()&lt;=15),"Viagem próxima sem checklist completo",IF($W91="","Passagem ainda não comprada",IF($X91="","Falta reservar hospedagem",IF($S91&gt;0,"Existe valor pendente de compensação","Tudo certo"))))))</x:f>
      </x:c>
      <x:c r="AC91" s="36"/>
    </x:row>
    <x:row r="92">
      <x:c r="A92" s="36"/>
      <x:c r="B92" s="36"/>
      <x:c r="C92" s="36"/>
      <x:c r="D92" s="36"/>
      <x:c r="E92" s="36"/>
      <x:c r="F92" s="36"/>
      <x:c r="G92" s="36"/>
      <x:c r="H92" s="59"/>
      <x:c r="I92" s="59"/>
      <x:c r="J92" s="61" t="str">
        <x:f>IF(OR($H92="",$I92=""),"",MAX($I92-$H92+1,1))</x:f>
      </x:c>
      <x:c r="K92" s="36"/>
      <x:c r="L92" s="36"/>
      <x:c r="M92" s="63" t="str">
        <x:f>IF($A92="","",SUMIFS('Custos Planejados - Pedro'!$G$6:$G$205,'Custos Planejados - Pedro'!$A$6:$A$205,$A92)+SUMIFS('Custos Planejados - Camilly'!$G$6:$G$205,'Custos Planejados - Camilly'!$A$6:$A$205,$A92))</x:f>
      </x:c>
      <x:c r="N92" s="63" t="str">
        <x:f>IF($A92="","",SUMIFS('Histórico de Gastos'!$J$6:$J$205,'Histórico de Gastos'!$B$6:$B$205,$A92))</x:f>
      </x:c>
      <x:c r="O92" s="63" t="str">
        <x:f>IF($A92="","",$M92-$N92)</x:f>
      </x:c>
      <x:c r="P92" s="65" t="str">
        <x:f>IF($A92="","",IFERROR($N92/$M92,0))</x:f>
      </x:c>
      <x:c r="Q92" s="63" t="str">
        <x:f>IF($A92="","",SUMIFS('Histórico de Gastos'!$W$6:$W$205,'Histórico de Gastos'!$B$6:$B$205,$A92))</x:f>
      </x:c>
      <x:c r="R92" s="63" t="str">
        <x:f>IF($A92="","",SUMIFS('Histórico de Gastos'!$X$6:$X$205,'Histórico de Gastos'!$B$6:$B$205,$A92))</x:f>
      </x:c>
      <x:c r="S92" s="63" t="str">
        <x:f>IF($A92="","",ABS($Q92-SUMIFS('Histórico de Gastos'!$U$6:$U$205,'Histórico de Gastos'!$B$6:$B$205,$A92)))</x:f>
      </x:c>
      <x:c r="T92" s="67" t="str">
        <x:f>IF($A92="","",IF(ABS($Q92-SUMIFS('Histórico de Gastos'!$U$6:$U$205,'Histórico de Gastos'!$B$6:$B$205,$A92))&lt;0.01,"Tudo certo",IF($Q92&gt;SUMIFS('Histórico de Gastos'!$U$6:$U$205,'Histórico de Gastos'!$B$6:$B$205,$A92),"Camilly deve para Pedro","Pedro deve para Camilly")))</x:f>
      </x:c>
      <x:c r="U92" s="36"/>
      <x:c r="V92" s="67" t="str">
        <x:f>IF($A92="","",IF(COUNTIFS('Checklist de Viagem'!$A$6:$A$205,$A92)=0,"Não",IF(COUNTIFS('Checklist de Viagem'!$A$6:$A$205,$A92,'Checklist de Viagem'!$H$6:$H$205,"Não")=0,"Sim","Não")))</x:f>
      </x:c>
      <x:c r="W92" s="36"/>
      <x:c r="X92" s="36"/>
      <x:c r="Y92" s="36"/>
      <x:c r="Z92" s="59"/>
      <x:c r="AA92" s="59"/>
      <x:c r="AB92" s="67" t="str">
        <x:f>IF($A92="","",IF($P92&gt;1,"Viagem acima do orçamento",IF(AND($K92&lt;&gt;"Concluída",$V92&lt;&gt;"Sim",$H92-TODAY()&lt;=15),"Viagem próxima sem checklist completo",IF($W92="","Passagem ainda não comprada",IF($X92="","Falta reservar hospedagem",IF($S92&gt;0,"Existe valor pendente de compensação","Tudo certo"))))))</x:f>
      </x:c>
      <x:c r="AC92" s="36"/>
    </x:row>
    <x:row r="93">
      <x:c r="A93" s="36"/>
      <x:c r="B93" s="36"/>
      <x:c r="C93" s="36"/>
      <x:c r="D93" s="36"/>
      <x:c r="E93" s="36"/>
      <x:c r="F93" s="36"/>
      <x:c r="G93" s="36"/>
      <x:c r="H93" s="59"/>
      <x:c r="I93" s="59"/>
      <x:c r="J93" s="61" t="str">
        <x:f>IF(OR($H93="",$I93=""),"",MAX($I93-$H93+1,1))</x:f>
      </x:c>
      <x:c r="K93" s="36"/>
      <x:c r="L93" s="36"/>
      <x:c r="M93" s="63" t="str">
        <x:f>IF($A93="","",SUMIFS('Custos Planejados - Pedro'!$G$6:$G$205,'Custos Planejados - Pedro'!$A$6:$A$205,$A93)+SUMIFS('Custos Planejados - Camilly'!$G$6:$G$205,'Custos Planejados - Camilly'!$A$6:$A$205,$A93))</x:f>
      </x:c>
      <x:c r="N93" s="63" t="str">
        <x:f>IF($A93="","",SUMIFS('Histórico de Gastos'!$J$6:$J$205,'Histórico de Gastos'!$B$6:$B$205,$A93))</x:f>
      </x:c>
      <x:c r="O93" s="63" t="str">
        <x:f>IF($A93="","",$M93-$N93)</x:f>
      </x:c>
      <x:c r="P93" s="65" t="str">
        <x:f>IF($A93="","",IFERROR($N93/$M93,0))</x:f>
      </x:c>
      <x:c r="Q93" s="63" t="str">
        <x:f>IF($A93="","",SUMIFS('Histórico de Gastos'!$W$6:$W$205,'Histórico de Gastos'!$B$6:$B$205,$A93))</x:f>
      </x:c>
      <x:c r="R93" s="63" t="str">
        <x:f>IF($A93="","",SUMIFS('Histórico de Gastos'!$X$6:$X$205,'Histórico de Gastos'!$B$6:$B$205,$A93))</x:f>
      </x:c>
      <x:c r="S93" s="63" t="str">
        <x:f>IF($A93="","",ABS($Q93-SUMIFS('Histórico de Gastos'!$U$6:$U$205,'Histórico de Gastos'!$B$6:$B$205,$A93)))</x:f>
      </x:c>
      <x:c r="T93" s="67" t="str">
        <x:f>IF($A93="","",IF(ABS($Q93-SUMIFS('Histórico de Gastos'!$U$6:$U$205,'Histórico de Gastos'!$B$6:$B$205,$A93))&lt;0.01,"Tudo certo",IF($Q93&gt;SUMIFS('Histórico de Gastos'!$U$6:$U$205,'Histórico de Gastos'!$B$6:$B$205,$A93),"Camilly deve para Pedro","Pedro deve para Camilly")))</x:f>
      </x:c>
      <x:c r="U93" s="36"/>
      <x:c r="V93" s="67" t="str">
        <x:f>IF($A93="","",IF(COUNTIFS('Checklist de Viagem'!$A$6:$A$205,$A93)=0,"Não",IF(COUNTIFS('Checklist de Viagem'!$A$6:$A$205,$A93,'Checklist de Viagem'!$H$6:$H$205,"Não")=0,"Sim","Não")))</x:f>
      </x:c>
      <x:c r="W93" s="36"/>
      <x:c r="X93" s="36"/>
      <x:c r="Y93" s="36"/>
      <x:c r="Z93" s="59"/>
      <x:c r="AA93" s="59"/>
      <x:c r="AB93" s="67" t="str">
        <x:f>IF($A93="","",IF($P93&gt;1,"Viagem acima do orçamento",IF(AND($K93&lt;&gt;"Concluída",$V93&lt;&gt;"Sim",$H93-TODAY()&lt;=15),"Viagem próxima sem checklist completo",IF($W93="","Passagem ainda não comprada",IF($X93="","Falta reservar hospedagem",IF($S93&gt;0,"Existe valor pendente de compensação","Tudo certo"))))))</x:f>
      </x:c>
      <x:c r="AC93" s="36"/>
    </x:row>
    <x:row r="94">
      <x:c r="A94" s="36"/>
      <x:c r="B94" s="36"/>
      <x:c r="C94" s="36"/>
      <x:c r="D94" s="36"/>
      <x:c r="E94" s="36"/>
      <x:c r="F94" s="36"/>
      <x:c r="G94" s="36"/>
      <x:c r="H94" s="59"/>
      <x:c r="I94" s="59"/>
      <x:c r="J94" s="61" t="str">
        <x:f>IF(OR($H94="",$I94=""),"",MAX($I94-$H94+1,1))</x:f>
      </x:c>
      <x:c r="K94" s="36"/>
      <x:c r="L94" s="36"/>
      <x:c r="M94" s="63" t="str">
        <x:f>IF($A94="","",SUMIFS('Custos Planejados - Pedro'!$G$6:$G$205,'Custos Planejados - Pedro'!$A$6:$A$205,$A94)+SUMIFS('Custos Planejados - Camilly'!$G$6:$G$205,'Custos Planejados - Camilly'!$A$6:$A$205,$A94))</x:f>
      </x:c>
      <x:c r="N94" s="63" t="str">
        <x:f>IF($A94="","",SUMIFS('Histórico de Gastos'!$J$6:$J$205,'Histórico de Gastos'!$B$6:$B$205,$A94))</x:f>
      </x:c>
      <x:c r="O94" s="63" t="str">
        <x:f>IF($A94="","",$M94-$N94)</x:f>
      </x:c>
      <x:c r="P94" s="65" t="str">
        <x:f>IF($A94="","",IFERROR($N94/$M94,0))</x:f>
      </x:c>
      <x:c r="Q94" s="63" t="str">
        <x:f>IF($A94="","",SUMIFS('Histórico de Gastos'!$W$6:$W$205,'Histórico de Gastos'!$B$6:$B$205,$A94))</x:f>
      </x:c>
      <x:c r="R94" s="63" t="str">
        <x:f>IF($A94="","",SUMIFS('Histórico de Gastos'!$X$6:$X$205,'Histórico de Gastos'!$B$6:$B$205,$A94))</x:f>
      </x:c>
      <x:c r="S94" s="63" t="str">
        <x:f>IF($A94="","",ABS($Q94-SUMIFS('Histórico de Gastos'!$U$6:$U$205,'Histórico de Gastos'!$B$6:$B$205,$A94)))</x:f>
      </x:c>
      <x:c r="T94" s="67" t="str">
        <x:f>IF($A94="","",IF(ABS($Q94-SUMIFS('Histórico de Gastos'!$U$6:$U$205,'Histórico de Gastos'!$B$6:$B$205,$A94))&lt;0.01,"Tudo certo",IF($Q94&gt;SUMIFS('Histórico de Gastos'!$U$6:$U$205,'Histórico de Gastos'!$B$6:$B$205,$A94),"Camilly deve para Pedro","Pedro deve para Camilly")))</x:f>
      </x:c>
      <x:c r="U94" s="36"/>
      <x:c r="V94" s="67" t="str">
        <x:f>IF($A94="","",IF(COUNTIFS('Checklist de Viagem'!$A$6:$A$205,$A94)=0,"Não",IF(COUNTIFS('Checklist de Viagem'!$A$6:$A$205,$A94,'Checklist de Viagem'!$H$6:$H$205,"Não")=0,"Sim","Não")))</x:f>
      </x:c>
      <x:c r="W94" s="36"/>
      <x:c r="X94" s="36"/>
      <x:c r="Y94" s="36"/>
      <x:c r="Z94" s="59"/>
      <x:c r="AA94" s="59"/>
      <x:c r="AB94" s="67" t="str">
        <x:f>IF($A94="","",IF($P94&gt;1,"Viagem acima do orçamento",IF(AND($K94&lt;&gt;"Concluída",$V94&lt;&gt;"Sim",$H94-TODAY()&lt;=15),"Viagem próxima sem checklist completo",IF($W94="","Passagem ainda não comprada",IF($X94="","Falta reservar hospedagem",IF($S94&gt;0,"Existe valor pendente de compensação","Tudo certo"))))))</x:f>
      </x:c>
      <x:c r="AC94" s="36"/>
    </x:row>
    <x:row r="95">
      <x:c r="A95" s="36"/>
      <x:c r="B95" s="36"/>
      <x:c r="C95" s="36"/>
      <x:c r="D95" s="36"/>
      <x:c r="E95" s="36"/>
      <x:c r="F95" s="36"/>
      <x:c r="G95" s="36"/>
      <x:c r="H95" s="59"/>
      <x:c r="I95" s="59"/>
      <x:c r="J95" s="61" t="str">
        <x:f>IF(OR($H95="",$I95=""),"",MAX($I95-$H95+1,1))</x:f>
      </x:c>
      <x:c r="K95" s="36"/>
      <x:c r="L95" s="36"/>
      <x:c r="M95" s="63" t="str">
        <x:f>IF($A95="","",SUMIFS('Custos Planejados - Pedro'!$G$6:$G$205,'Custos Planejados - Pedro'!$A$6:$A$205,$A95)+SUMIFS('Custos Planejados - Camilly'!$G$6:$G$205,'Custos Planejados - Camilly'!$A$6:$A$205,$A95))</x:f>
      </x:c>
      <x:c r="N95" s="63" t="str">
        <x:f>IF($A95="","",SUMIFS('Histórico de Gastos'!$J$6:$J$205,'Histórico de Gastos'!$B$6:$B$205,$A95))</x:f>
      </x:c>
      <x:c r="O95" s="63" t="str">
        <x:f>IF($A95="","",$M95-$N95)</x:f>
      </x:c>
      <x:c r="P95" s="65" t="str">
        <x:f>IF($A95="","",IFERROR($N95/$M95,0))</x:f>
      </x:c>
      <x:c r="Q95" s="63" t="str">
        <x:f>IF($A95="","",SUMIFS('Histórico de Gastos'!$W$6:$W$205,'Histórico de Gastos'!$B$6:$B$205,$A95))</x:f>
      </x:c>
      <x:c r="R95" s="63" t="str">
        <x:f>IF($A95="","",SUMIFS('Histórico de Gastos'!$X$6:$X$205,'Histórico de Gastos'!$B$6:$B$205,$A95))</x:f>
      </x:c>
      <x:c r="S95" s="63" t="str">
        <x:f>IF($A95="","",ABS($Q95-SUMIFS('Histórico de Gastos'!$U$6:$U$205,'Histórico de Gastos'!$B$6:$B$205,$A95)))</x:f>
      </x:c>
      <x:c r="T95" s="67" t="str">
        <x:f>IF($A95="","",IF(ABS($Q95-SUMIFS('Histórico de Gastos'!$U$6:$U$205,'Histórico de Gastos'!$B$6:$B$205,$A95))&lt;0.01,"Tudo certo",IF($Q95&gt;SUMIFS('Histórico de Gastos'!$U$6:$U$205,'Histórico de Gastos'!$B$6:$B$205,$A95),"Camilly deve para Pedro","Pedro deve para Camilly")))</x:f>
      </x:c>
      <x:c r="U95" s="36"/>
      <x:c r="V95" s="67" t="str">
        <x:f>IF($A95="","",IF(COUNTIFS('Checklist de Viagem'!$A$6:$A$205,$A95)=0,"Não",IF(COUNTIFS('Checklist de Viagem'!$A$6:$A$205,$A95,'Checklist de Viagem'!$H$6:$H$205,"Não")=0,"Sim","Não")))</x:f>
      </x:c>
      <x:c r="W95" s="36"/>
      <x:c r="X95" s="36"/>
      <x:c r="Y95" s="36"/>
      <x:c r="Z95" s="59"/>
      <x:c r="AA95" s="59"/>
      <x:c r="AB95" s="67" t="str">
        <x:f>IF($A95="","",IF($P95&gt;1,"Viagem acima do orçamento",IF(AND($K95&lt;&gt;"Concluída",$V95&lt;&gt;"Sim",$H95-TODAY()&lt;=15),"Viagem próxima sem checklist completo",IF($W95="","Passagem ainda não comprada",IF($X95="","Falta reservar hospedagem",IF($S95&gt;0,"Existe valor pendente de compensação","Tudo certo"))))))</x:f>
      </x:c>
      <x:c r="AC95" s="36"/>
    </x:row>
    <x:row r="96">
      <x:c r="A96" s="36"/>
      <x:c r="B96" s="36"/>
      <x:c r="C96" s="36"/>
      <x:c r="D96" s="36"/>
      <x:c r="E96" s="36"/>
      <x:c r="F96" s="36"/>
      <x:c r="G96" s="36"/>
      <x:c r="H96" s="59"/>
      <x:c r="I96" s="59"/>
      <x:c r="J96" s="61" t="str">
        <x:f>IF(OR($H96="",$I96=""),"",MAX($I96-$H96+1,1))</x:f>
      </x:c>
      <x:c r="K96" s="36"/>
      <x:c r="L96" s="36"/>
      <x:c r="M96" s="63" t="str">
        <x:f>IF($A96="","",SUMIFS('Custos Planejados - Pedro'!$G$6:$G$205,'Custos Planejados - Pedro'!$A$6:$A$205,$A96)+SUMIFS('Custos Planejados - Camilly'!$G$6:$G$205,'Custos Planejados - Camilly'!$A$6:$A$205,$A96))</x:f>
      </x:c>
      <x:c r="N96" s="63" t="str">
        <x:f>IF($A96="","",SUMIFS('Histórico de Gastos'!$J$6:$J$205,'Histórico de Gastos'!$B$6:$B$205,$A96))</x:f>
      </x:c>
      <x:c r="O96" s="63" t="str">
        <x:f>IF($A96="","",$M96-$N96)</x:f>
      </x:c>
      <x:c r="P96" s="65" t="str">
        <x:f>IF($A96="","",IFERROR($N96/$M96,0))</x:f>
      </x:c>
      <x:c r="Q96" s="63" t="str">
        <x:f>IF($A96="","",SUMIFS('Histórico de Gastos'!$W$6:$W$205,'Histórico de Gastos'!$B$6:$B$205,$A96))</x:f>
      </x:c>
      <x:c r="R96" s="63" t="str">
        <x:f>IF($A96="","",SUMIFS('Histórico de Gastos'!$X$6:$X$205,'Histórico de Gastos'!$B$6:$B$205,$A96))</x:f>
      </x:c>
      <x:c r="S96" s="63" t="str">
        <x:f>IF($A96="","",ABS($Q96-SUMIFS('Histórico de Gastos'!$U$6:$U$205,'Histórico de Gastos'!$B$6:$B$205,$A96)))</x:f>
      </x:c>
      <x:c r="T96" s="67" t="str">
        <x:f>IF($A96="","",IF(ABS($Q96-SUMIFS('Histórico de Gastos'!$U$6:$U$205,'Histórico de Gastos'!$B$6:$B$205,$A96))&lt;0.01,"Tudo certo",IF($Q96&gt;SUMIFS('Histórico de Gastos'!$U$6:$U$205,'Histórico de Gastos'!$B$6:$B$205,$A96),"Camilly deve para Pedro","Pedro deve para Camilly")))</x:f>
      </x:c>
      <x:c r="U96" s="36"/>
      <x:c r="V96" s="67" t="str">
        <x:f>IF($A96="","",IF(COUNTIFS('Checklist de Viagem'!$A$6:$A$205,$A96)=0,"Não",IF(COUNTIFS('Checklist de Viagem'!$A$6:$A$205,$A96,'Checklist de Viagem'!$H$6:$H$205,"Não")=0,"Sim","Não")))</x:f>
      </x:c>
      <x:c r="W96" s="36"/>
      <x:c r="X96" s="36"/>
      <x:c r="Y96" s="36"/>
      <x:c r="Z96" s="59"/>
      <x:c r="AA96" s="59"/>
      <x:c r="AB96" s="67" t="str">
        <x:f>IF($A96="","",IF($P96&gt;1,"Viagem acima do orçamento",IF(AND($K96&lt;&gt;"Concluída",$V96&lt;&gt;"Sim",$H96-TODAY()&lt;=15),"Viagem próxima sem checklist completo",IF($W96="","Passagem ainda não comprada",IF($X96="","Falta reservar hospedagem",IF($S96&gt;0,"Existe valor pendente de compensação","Tudo certo"))))))</x:f>
      </x:c>
      <x:c r="AC96" s="36"/>
    </x:row>
    <x:row r="97">
      <x:c r="A97" s="36"/>
      <x:c r="B97" s="36"/>
      <x:c r="C97" s="36"/>
      <x:c r="D97" s="36"/>
      <x:c r="E97" s="36"/>
      <x:c r="F97" s="36"/>
      <x:c r="G97" s="36"/>
      <x:c r="H97" s="59"/>
      <x:c r="I97" s="59"/>
      <x:c r="J97" s="61" t="str">
        <x:f>IF(OR($H97="",$I97=""),"",MAX($I97-$H97+1,1))</x:f>
      </x:c>
      <x:c r="K97" s="36"/>
      <x:c r="L97" s="36"/>
      <x:c r="M97" s="63" t="str">
        <x:f>IF($A97="","",SUMIFS('Custos Planejados - Pedro'!$G$6:$G$205,'Custos Planejados - Pedro'!$A$6:$A$205,$A97)+SUMIFS('Custos Planejados - Camilly'!$G$6:$G$205,'Custos Planejados - Camilly'!$A$6:$A$205,$A97))</x:f>
      </x:c>
      <x:c r="N97" s="63" t="str">
        <x:f>IF($A97="","",SUMIFS('Histórico de Gastos'!$J$6:$J$205,'Histórico de Gastos'!$B$6:$B$205,$A97))</x:f>
      </x:c>
      <x:c r="O97" s="63" t="str">
        <x:f>IF($A97="","",$M97-$N97)</x:f>
      </x:c>
      <x:c r="P97" s="65" t="str">
        <x:f>IF($A97="","",IFERROR($N97/$M97,0))</x:f>
      </x:c>
      <x:c r="Q97" s="63" t="str">
        <x:f>IF($A97="","",SUMIFS('Histórico de Gastos'!$W$6:$W$205,'Histórico de Gastos'!$B$6:$B$205,$A97))</x:f>
      </x:c>
      <x:c r="R97" s="63" t="str">
        <x:f>IF($A97="","",SUMIFS('Histórico de Gastos'!$X$6:$X$205,'Histórico de Gastos'!$B$6:$B$205,$A97))</x:f>
      </x:c>
      <x:c r="S97" s="63" t="str">
        <x:f>IF($A97="","",ABS($Q97-SUMIFS('Histórico de Gastos'!$U$6:$U$205,'Histórico de Gastos'!$B$6:$B$205,$A97)))</x:f>
      </x:c>
      <x:c r="T97" s="67" t="str">
        <x:f>IF($A97="","",IF(ABS($Q97-SUMIFS('Histórico de Gastos'!$U$6:$U$205,'Histórico de Gastos'!$B$6:$B$205,$A97))&lt;0.01,"Tudo certo",IF($Q97&gt;SUMIFS('Histórico de Gastos'!$U$6:$U$205,'Histórico de Gastos'!$B$6:$B$205,$A97),"Camilly deve para Pedro","Pedro deve para Camilly")))</x:f>
      </x:c>
      <x:c r="U97" s="36"/>
      <x:c r="V97" s="67" t="str">
        <x:f>IF($A97="","",IF(COUNTIFS('Checklist de Viagem'!$A$6:$A$205,$A97)=0,"Não",IF(COUNTIFS('Checklist de Viagem'!$A$6:$A$205,$A97,'Checklist de Viagem'!$H$6:$H$205,"Não")=0,"Sim","Não")))</x:f>
      </x:c>
      <x:c r="W97" s="36"/>
      <x:c r="X97" s="36"/>
      <x:c r="Y97" s="36"/>
      <x:c r="Z97" s="59"/>
      <x:c r="AA97" s="59"/>
      <x:c r="AB97" s="67" t="str">
        <x:f>IF($A97="","",IF($P97&gt;1,"Viagem acima do orçamento",IF(AND($K97&lt;&gt;"Concluída",$V97&lt;&gt;"Sim",$H97-TODAY()&lt;=15),"Viagem próxima sem checklist completo",IF($W97="","Passagem ainda não comprada",IF($X97="","Falta reservar hospedagem",IF($S97&gt;0,"Existe valor pendente de compensação","Tudo certo"))))))</x:f>
      </x:c>
      <x:c r="AC97" s="36"/>
    </x:row>
    <x:row r="98">
      <x:c r="A98" s="36"/>
      <x:c r="B98" s="36"/>
      <x:c r="C98" s="36"/>
      <x:c r="D98" s="36"/>
      <x:c r="E98" s="36"/>
      <x:c r="F98" s="36"/>
      <x:c r="G98" s="36"/>
      <x:c r="H98" s="59"/>
      <x:c r="I98" s="59"/>
      <x:c r="J98" s="61" t="str">
        <x:f>IF(OR($H98="",$I98=""),"",MAX($I98-$H98+1,1))</x:f>
      </x:c>
      <x:c r="K98" s="36"/>
      <x:c r="L98" s="36"/>
      <x:c r="M98" s="63" t="str">
        <x:f>IF($A98="","",SUMIFS('Custos Planejados - Pedro'!$G$6:$G$205,'Custos Planejados - Pedro'!$A$6:$A$205,$A98)+SUMIFS('Custos Planejados - Camilly'!$G$6:$G$205,'Custos Planejados - Camilly'!$A$6:$A$205,$A98))</x:f>
      </x:c>
      <x:c r="N98" s="63" t="str">
        <x:f>IF($A98="","",SUMIFS('Histórico de Gastos'!$J$6:$J$205,'Histórico de Gastos'!$B$6:$B$205,$A98))</x:f>
      </x:c>
      <x:c r="O98" s="63" t="str">
        <x:f>IF($A98="","",$M98-$N98)</x:f>
      </x:c>
      <x:c r="P98" s="65" t="str">
        <x:f>IF($A98="","",IFERROR($N98/$M98,0))</x:f>
      </x:c>
      <x:c r="Q98" s="63" t="str">
        <x:f>IF($A98="","",SUMIFS('Histórico de Gastos'!$W$6:$W$205,'Histórico de Gastos'!$B$6:$B$205,$A98))</x:f>
      </x:c>
      <x:c r="R98" s="63" t="str">
        <x:f>IF($A98="","",SUMIFS('Histórico de Gastos'!$X$6:$X$205,'Histórico de Gastos'!$B$6:$B$205,$A98))</x:f>
      </x:c>
      <x:c r="S98" s="63" t="str">
        <x:f>IF($A98="","",ABS($Q98-SUMIFS('Histórico de Gastos'!$U$6:$U$205,'Histórico de Gastos'!$B$6:$B$205,$A98)))</x:f>
      </x:c>
      <x:c r="T98" s="67" t="str">
        <x:f>IF($A98="","",IF(ABS($Q98-SUMIFS('Histórico de Gastos'!$U$6:$U$205,'Histórico de Gastos'!$B$6:$B$205,$A98))&lt;0.01,"Tudo certo",IF($Q98&gt;SUMIFS('Histórico de Gastos'!$U$6:$U$205,'Histórico de Gastos'!$B$6:$B$205,$A98),"Camilly deve para Pedro","Pedro deve para Camilly")))</x:f>
      </x:c>
      <x:c r="U98" s="36"/>
      <x:c r="V98" s="67" t="str">
        <x:f>IF($A98="","",IF(COUNTIFS('Checklist de Viagem'!$A$6:$A$205,$A98)=0,"Não",IF(COUNTIFS('Checklist de Viagem'!$A$6:$A$205,$A98,'Checklist de Viagem'!$H$6:$H$205,"Não")=0,"Sim","Não")))</x:f>
      </x:c>
      <x:c r="W98" s="36"/>
      <x:c r="X98" s="36"/>
      <x:c r="Y98" s="36"/>
      <x:c r="Z98" s="59"/>
      <x:c r="AA98" s="59"/>
      <x:c r="AB98" s="67" t="str">
        <x:f>IF($A98="","",IF($P98&gt;1,"Viagem acima do orçamento",IF(AND($K98&lt;&gt;"Concluída",$V98&lt;&gt;"Sim",$H98-TODAY()&lt;=15),"Viagem próxima sem checklist completo",IF($W98="","Passagem ainda não comprada",IF($X98="","Falta reservar hospedagem",IF($S98&gt;0,"Existe valor pendente de compensação","Tudo certo"))))))</x:f>
      </x:c>
      <x:c r="AC98" s="36"/>
    </x:row>
    <x:row r="99">
      <x:c r="A99" s="36"/>
      <x:c r="B99" s="36"/>
      <x:c r="C99" s="36"/>
      <x:c r="D99" s="36"/>
      <x:c r="E99" s="36"/>
      <x:c r="F99" s="36"/>
      <x:c r="G99" s="36"/>
      <x:c r="H99" s="59"/>
      <x:c r="I99" s="59"/>
      <x:c r="J99" s="61" t="str">
        <x:f>IF(OR($H99="",$I99=""),"",MAX($I99-$H99+1,1))</x:f>
      </x:c>
      <x:c r="K99" s="36"/>
      <x:c r="L99" s="36"/>
      <x:c r="M99" s="63" t="str">
        <x:f>IF($A99="","",SUMIFS('Custos Planejados - Pedro'!$G$6:$G$205,'Custos Planejados - Pedro'!$A$6:$A$205,$A99)+SUMIFS('Custos Planejados - Camilly'!$G$6:$G$205,'Custos Planejados - Camilly'!$A$6:$A$205,$A99))</x:f>
      </x:c>
      <x:c r="N99" s="63" t="str">
        <x:f>IF($A99="","",SUMIFS('Histórico de Gastos'!$J$6:$J$205,'Histórico de Gastos'!$B$6:$B$205,$A99))</x:f>
      </x:c>
      <x:c r="O99" s="63" t="str">
        <x:f>IF($A99="","",$M99-$N99)</x:f>
      </x:c>
      <x:c r="P99" s="65" t="str">
        <x:f>IF($A99="","",IFERROR($N99/$M99,0))</x:f>
      </x:c>
      <x:c r="Q99" s="63" t="str">
        <x:f>IF($A99="","",SUMIFS('Histórico de Gastos'!$W$6:$W$205,'Histórico de Gastos'!$B$6:$B$205,$A99))</x:f>
      </x:c>
      <x:c r="R99" s="63" t="str">
        <x:f>IF($A99="","",SUMIFS('Histórico de Gastos'!$X$6:$X$205,'Histórico de Gastos'!$B$6:$B$205,$A99))</x:f>
      </x:c>
      <x:c r="S99" s="63" t="str">
        <x:f>IF($A99="","",ABS($Q99-SUMIFS('Histórico de Gastos'!$U$6:$U$205,'Histórico de Gastos'!$B$6:$B$205,$A99)))</x:f>
      </x:c>
      <x:c r="T99" s="67" t="str">
        <x:f>IF($A99="","",IF(ABS($Q99-SUMIFS('Histórico de Gastos'!$U$6:$U$205,'Histórico de Gastos'!$B$6:$B$205,$A99))&lt;0.01,"Tudo certo",IF($Q99&gt;SUMIFS('Histórico de Gastos'!$U$6:$U$205,'Histórico de Gastos'!$B$6:$B$205,$A99),"Camilly deve para Pedro","Pedro deve para Camilly")))</x:f>
      </x:c>
      <x:c r="U99" s="36"/>
      <x:c r="V99" s="67" t="str">
        <x:f>IF($A99="","",IF(COUNTIFS('Checklist de Viagem'!$A$6:$A$205,$A99)=0,"Não",IF(COUNTIFS('Checklist de Viagem'!$A$6:$A$205,$A99,'Checklist de Viagem'!$H$6:$H$205,"Não")=0,"Sim","Não")))</x:f>
      </x:c>
      <x:c r="W99" s="36"/>
      <x:c r="X99" s="36"/>
      <x:c r="Y99" s="36"/>
      <x:c r="Z99" s="59"/>
      <x:c r="AA99" s="59"/>
      <x:c r="AB99" s="67" t="str">
        <x:f>IF($A99="","",IF($P99&gt;1,"Viagem acima do orçamento",IF(AND($K99&lt;&gt;"Concluída",$V99&lt;&gt;"Sim",$H99-TODAY()&lt;=15),"Viagem próxima sem checklist completo",IF($W99="","Passagem ainda não comprada",IF($X99="","Falta reservar hospedagem",IF($S99&gt;0,"Existe valor pendente de compensação","Tudo certo"))))))</x:f>
      </x:c>
      <x:c r="AC99" s="36"/>
    </x:row>
    <x:row r="100">
      <x:c r="A100" s="36"/>
      <x:c r="B100" s="36"/>
      <x:c r="C100" s="36"/>
      <x:c r="D100" s="36"/>
      <x:c r="E100" s="36"/>
      <x:c r="F100" s="36"/>
      <x:c r="G100" s="36"/>
      <x:c r="H100" s="59"/>
      <x:c r="I100" s="59"/>
      <x:c r="J100" s="61" t="str">
        <x:f>IF(OR($H100="",$I100=""),"",MAX($I100-$H100+1,1))</x:f>
      </x:c>
      <x:c r="K100" s="36"/>
      <x:c r="L100" s="36"/>
      <x:c r="M100" s="63" t="str">
        <x:f>IF($A100="","",SUMIFS('Custos Planejados - Pedro'!$G$6:$G$205,'Custos Planejados - Pedro'!$A$6:$A$205,$A100)+SUMIFS('Custos Planejados - Camilly'!$G$6:$G$205,'Custos Planejados - Camilly'!$A$6:$A$205,$A100))</x:f>
      </x:c>
      <x:c r="N100" s="63" t="str">
        <x:f>IF($A100="","",SUMIFS('Histórico de Gastos'!$J$6:$J$205,'Histórico de Gastos'!$B$6:$B$205,$A100))</x:f>
      </x:c>
      <x:c r="O100" s="63" t="str">
        <x:f>IF($A100="","",$M100-$N100)</x:f>
      </x:c>
      <x:c r="P100" s="65" t="str">
        <x:f>IF($A100="","",IFERROR($N100/$M100,0))</x:f>
      </x:c>
      <x:c r="Q100" s="63" t="str">
        <x:f>IF($A100="","",SUMIFS('Histórico de Gastos'!$W$6:$W$205,'Histórico de Gastos'!$B$6:$B$205,$A100))</x:f>
      </x:c>
      <x:c r="R100" s="63" t="str">
        <x:f>IF($A100="","",SUMIFS('Histórico de Gastos'!$X$6:$X$205,'Histórico de Gastos'!$B$6:$B$205,$A100))</x:f>
      </x:c>
      <x:c r="S100" s="63" t="str">
        <x:f>IF($A100="","",ABS($Q100-SUMIFS('Histórico de Gastos'!$U$6:$U$205,'Histórico de Gastos'!$B$6:$B$205,$A100)))</x:f>
      </x:c>
      <x:c r="T100" s="67" t="str">
        <x:f>IF($A100="","",IF(ABS($Q100-SUMIFS('Histórico de Gastos'!$U$6:$U$205,'Histórico de Gastos'!$B$6:$B$205,$A100))&lt;0.01,"Tudo certo",IF($Q100&gt;SUMIFS('Histórico de Gastos'!$U$6:$U$205,'Histórico de Gastos'!$B$6:$B$205,$A100),"Camilly deve para Pedro","Pedro deve para Camilly")))</x:f>
      </x:c>
      <x:c r="U100" s="36"/>
      <x:c r="V100" s="67" t="str">
        <x:f>IF($A100="","",IF(COUNTIFS('Checklist de Viagem'!$A$6:$A$205,$A100)=0,"Não",IF(COUNTIFS('Checklist de Viagem'!$A$6:$A$205,$A100,'Checklist de Viagem'!$H$6:$H$205,"Não")=0,"Sim","Não")))</x:f>
      </x:c>
      <x:c r="W100" s="36"/>
      <x:c r="X100" s="36"/>
      <x:c r="Y100" s="36"/>
      <x:c r="Z100" s="59"/>
      <x:c r="AA100" s="59"/>
      <x:c r="AB100" s="67" t="str">
        <x:f>IF($A100="","",IF($P100&gt;1,"Viagem acima do orçamento",IF(AND($K100&lt;&gt;"Concluída",$V100&lt;&gt;"Sim",$H100-TODAY()&lt;=15),"Viagem próxima sem checklist completo",IF($W100="","Passagem ainda não comprada",IF($X100="","Falta reservar hospedagem",IF($S100&gt;0,"Existe valor pendente de compensação","Tudo certo"))))))</x:f>
      </x:c>
      <x:c r="AC100" s="36"/>
    </x:row>
    <x:row r="101">
      <x:c r="A101" s="36"/>
      <x:c r="B101" s="36"/>
      <x:c r="C101" s="36"/>
      <x:c r="D101" s="36"/>
      <x:c r="E101" s="36"/>
      <x:c r="F101" s="36"/>
      <x:c r="G101" s="36"/>
      <x:c r="H101" s="59"/>
      <x:c r="I101" s="59"/>
      <x:c r="J101" s="61" t="str">
        <x:f>IF(OR($H101="",$I101=""),"",MAX($I101-$H101+1,1))</x:f>
      </x:c>
      <x:c r="K101" s="36"/>
      <x:c r="L101" s="36"/>
      <x:c r="M101" s="63" t="str">
        <x:f>IF($A101="","",SUMIFS('Custos Planejados - Pedro'!$G$6:$G$205,'Custos Planejados - Pedro'!$A$6:$A$205,$A101)+SUMIFS('Custos Planejados - Camilly'!$G$6:$G$205,'Custos Planejados - Camilly'!$A$6:$A$205,$A101))</x:f>
      </x:c>
      <x:c r="N101" s="63" t="str">
        <x:f>IF($A101="","",SUMIFS('Histórico de Gastos'!$J$6:$J$205,'Histórico de Gastos'!$B$6:$B$205,$A101))</x:f>
      </x:c>
      <x:c r="O101" s="63" t="str">
        <x:f>IF($A101="","",$M101-$N101)</x:f>
      </x:c>
      <x:c r="P101" s="65" t="str">
        <x:f>IF($A101="","",IFERROR($N101/$M101,0))</x:f>
      </x:c>
      <x:c r="Q101" s="63" t="str">
        <x:f>IF($A101="","",SUMIFS('Histórico de Gastos'!$W$6:$W$205,'Histórico de Gastos'!$B$6:$B$205,$A101))</x:f>
      </x:c>
      <x:c r="R101" s="63" t="str">
        <x:f>IF($A101="","",SUMIFS('Histórico de Gastos'!$X$6:$X$205,'Histórico de Gastos'!$B$6:$B$205,$A101))</x:f>
      </x:c>
      <x:c r="S101" s="63" t="str">
        <x:f>IF($A101="","",ABS($Q101-SUMIFS('Histórico de Gastos'!$U$6:$U$205,'Histórico de Gastos'!$B$6:$B$205,$A101)))</x:f>
      </x:c>
      <x:c r="T101" s="67" t="str">
        <x:f>IF($A101="","",IF(ABS($Q101-SUMIFS('Histórico de Gastos'!$U$6:$U$205,'Histórico de Gastos'!$B$6:$B$205,$A101))&lt;0.01,"Tudo certo",IF($Q101&gt;SUMIFS('Histórico de Gastos'!$U$6:$U$205,'Histórico de Gastos'!$B$6:$B$205,$A101),"Camilly deve para Pedro","Pedro deve para Camilly")))</x:f>
      </x:c>
      <x:c r="U101" s="36"/>
      <x:c r="V101" s="67" t="str">
        <x:f>IF($A101="","",IF(COUNTIFS('Checklist de Viagem'!$A$6:$A$205,$A101)=0,"Não",IF(COUNTIFS('Checklist de Viagem'!$A$6:$A$205,$A101,'Checklist de Viagem'!$H$6:$H$205,"Não")=0,"Sim","Não")))</x:f>
      </x:c>
      <x:c r="W101" s="36"/>
      <x:c r="X101" s="36"/>
      <x:c r="Y101" s="36"/>
      <x:c r="Z101" s="59"/>
      <x:c r="AA101" s="59"/>
      <x:c r="AB101" s="67" t="str">
        <x:f>IF($A101="","",IF($P101&gt;1,"Viagem acima do orçamento",IF(AND($K101&lt;&gt;"Concluída",$V101&lt;&gt;"Sim",$H101-TODAY()&lt;=15),"Viagem próxima sem checklist completo",IF($W101="","Passagem ainda não comprada",IF($X101="","Falta reservar hospedagem",IF($S101&gt;0,"Existe valor pendente de compensação","Tudo certo"))))))</x:f>
      </x:c>
      <x:c r="AC101" s="36"/>
    </x:row>
    <x:row r="102">
      <x:c r="A102" s="36"/>
      <x:c r="B102" s="36"/>
      <x:c r="C102" s="36"/>
      <x:c r="D102" s="36"/>
      <x:c r="E102" s="36"/>
      <x:c r="F102" s="36"/>
      <x:c r="G102" s="36"/>
      <x:c r="H102" s="59"/>
      <x:c r="I102" s="59"/>
      <x:c r="J102" s="61" t="str">
        <x:f>IF(OR($H102="",$I102=""),"",MAX($I102-$H102+1,1))</x:f>
      </x:c>
      <x:c r="K102" s="36"/>
      <x:c r="L102" s="36"/>
      <x:c r="M102" s="63" t="str">
        <x:f>IF($A102="","",SUMIFS('Custos Planejados - Pedro'!$G$6:$G$205,'Custos Planejados - Pedro'!$A$6:$A$205,$A102)+SUMIFS('Custos Planejados - Camilly'!$G$6:$G$205,'Custos Planejados - Camilly'!$A$6:$A$205,$A102))</x:f>
      </x:c>
      <x:c r="N102" s="63" t="str">
        <x:f>IF($A102="","",SUMIFS('Histórico de Gastos'!$J$6:$J$205,'Histórico de Gastos'!$B$6:$B$205,$A102))</x:f>
      </x:c>
      <x:c r="O102" s="63" t="str">
        <x:f>IF($A102="","",$M102-$N102)</x:f>
      </x:c>
      <x:c r="P102" s="65" t="str">
        <x:f>IF($A102="","",IFERROR($N102/$M102,0))</x:f>
      </x:c>
      <x:c r="Q102" s="63" t="str">
        <x:f>IF($A102="","",SUMIFS('Histórico de Gastos'!$W$6:$W$205,'Histórico de Gastos'!$B$6:$B$205,$A102))</x:f>
      </x:c>
      <x:c r="R102" s="63" t="str">
        <x:f>IF($A102="","",SUMIFS('Histórico de Gastos'!$X$6:$X$205,'Histórico de Gastos'!$B$6:$B$205,$A102))</x:f>
      </x:c>
      <x:c r="S102" s="63" t="str">
        <x:f>IF($A102="","",ABS($Q102-SUMIFS('Histórico de Gastos'!$U$6:$U$205,'Histórico de Gastos'!$B$6:$B$205,$A102)))</x:f>
      </x:c>
      <x:c r="T102" s="67" t="str">
        <x:f>IF($A102="","",IF(ABS($Q102-SUMIFS('Histórico de Gastos'!$U$6:$U$205,'Histórico de Gastos'!$B$6:$B$205,$A102))&lt;0.01,"Tudo certo",IF($Q102&gt;SUMIFS('Histórico de Gastos'!$U$6:$U$205,'Histórico de Gastos'!$B$6:$B$205,$A102),"Camilly deve para Pedro","Pedro deve para Camilly")))</x:f>
      </x:c>
      <x:c r="U102" s="36"/>
      <x:c r="V102" s="67" t="str">
        <x:f>IF($A102="","",IF(COUNTIFS('Checklist de Viagem'!$A$6:$A$205,$A102)=0,"Não",IF(COUNTIFS('Checklist de Viagem'!$A$6:$A$205,$A102,'Checklist de Viagem'!$H$6:$H$205,"Não")=0,"Sim","Não")))</x:f>
      </x:c>
      <x:c r="W102" s="36"/>
      <x:c r="X102" s="36"/>
      <x:c r="Y102" s="36"/>
      <x:c r="Z102" s="59"/>
      <x:c r="AA102" s="59"/>
      <x:c r="AB102" s="67" t="str">
        <x:f>IF($A102="","",IF($P102&gt;1,"Viagem acima do orçamento",IF(AND($K102&lt;&gt;"Concluída",$V102&lt;&gt;"Sim",$H102-TODAY()&lt;=15),"Viagem próxima sem checklist completo",IF($W102="","Passagem ainda não comprada",IF($X102="","Falta reservar hospedagem",IF($S102&gt;0,"Existe valor pendente de compensação","Tudo certo"))))))</x:f>
      </x:c>
      <x:c r="AC102" s="36"/>
    </x:row>
    <x:row r="103">
      <x:c r="A103" s="36"/>
      <x:c r="B103" s="36"/>
      <x:c r="C103" s="36"/>
      <x:c r="D103" s="36"/>
      <x:c r="E103" s="36"/>
      <x:c r="F103" s="36"/>
      <x:c r="G103" s="36"/>
      <x:c r="H103" s="59"/>
      <x:c r="I103" s="59"/>
      <x:c r="J103" s="61" t="str">
        <x:f>IF(OR($H103="",$I103=""),"",MAX($I103-$H103+1,1))</x:f>
      </x:c>
      <x:c r="K103" s="36"/>
      <x:c r="L103" s="36"/>
      <x:c r="M103" s="63" t="str">
        <x:f>IF($A103="","",SUMIFS('Custos Planejados - Pedro'!$G$6:$G$205,'Custos Planejados - Pedro'!$A$6:$A$205,$A103)+SUMIFS('Custos Planejados - Camilly'!$G$6:$G$205,'Custos Planejados - Camilly'!$A$6:$A$205,$A103))</x:f>
      </x:c>
      <x:c r="N103" s="63" t="str">
        <x:f>IF($A103="","",SUMIFS('Histórico de Gastos'!$J$6:$J$205,'Histórico de Gastos'!$B$6:$B$205,$A103))</x:f>
      </x:c>
      <x:c r="O103" s="63" t="str">
        <x:f>IF($A103="","",$M103-$N103)</x:f>
      </x:c>
      <x:c r="P103" s="65" t="str">
        <x:f>IF($A103="","",IFERROR($N103/$M103,0))</x:f>
      </x:c>
      <x:c r="Q103" s="63" t="str">
        <x:f>IF($A103="","",SUMIFS('Histórico de Gastos'!$W$6:$W$205,'Histórico de Gastos'!$B$6:$B$205,$A103))</x:f>
      </x:c>
      <x:c r="R103" s="63" t="str">
        <x:f>IF($A103="","",SUMIFS('Histórico de Gastos'!$X$6:$X$205,'Histórico de Gastos'!$B$6:$B$205,$A103))</x:f>
      </x:c>
      <x:c r="S103" s="63" t="str">
        <x:f>IF($A103="","",ABS($Q103-SUMIFS('Histórico de Gastos'!$U$6:$U$205,'Histórico de Gastos'!$B$6:$B$205,$A103)))</x:f>
      </x:c>
      <x:c r="T103" s="67" t="str">
        <x:f>IF($A103="","",IF(ABS($Q103-SUMIFS('Histórico de Gastos'!$U$6:$U$205,'Histórico de Gastos'!$B$6:$B$205,$A103))&lt;0.01,"Tudo certo",IF($Q103&gt;SUMIFS('Histórico de Gastos'!$U$6:$U$205,'Histórico de Gastos'!$B$6:$B$205,$A103),"Camilly deve para Pedro","Pedro deve para Camilly")))</x:f>
      </x:c>
      <x:c r="U103" s="36"/>
      <x:c r="V103" s="67" t="str">
        <x:f>IF($A103="","",IF(COUNTIFS('Checklist de Viagem'!$A$6:$A$205,$A103)=0,"Não",IF(COUNTIFS('Checklist de Viagem'!$A$6:$A$205,$A103,'Checklist de Viagem'!$H$6:$H$205,"Não")=0,"Sim","Não")))</x:f>
      </x:c>
      <x:c r="W103" s="36"/>
      <x:c r="X103" s="36"/>
      <x:c r="Y103" s="36"/>
      <x:c r="Z103" s="59"/>
      <x:c r="AA103" s="59"/>
      <x:c r="AB103" s="67" t="str">
        <x:f>IF($A103="","",IF($P103&gt;1,"Viagem acima do orçamento",IF(AND($K103&lt;&gt;"Concluída",$V103&lt;&gt;"Sim",$H103-TODAY()&lt;=15),"Viagem próxima sem checklist completo",IF($W103="","Passagem ainda não comprada",IF($X103="","Falta reservar hospedagem",IF($S103&gt;0,"Existe valor pendente de compensação","Tudo certo"))))))</x:f>
      </x:c>
      <x:c r="AC103" s="36"/>
    </x:row>
    <x:row r="104">
      <x:c r="A104" s="36"/>
      <x:c r="B104" s="36"/>
      <x:c r="C104" s="36"/>
      <x:c r="D104" s="36"/>
      <x:c r="E104" s="36"/>
      <x:c r="F104" s="36"/>
      <x:c r="G104" s="36"/>
      <x:c r="H104" s="59"/>
      <x:c r="I104" s="59"/>
      <x:c r="J104" s="61" t="str">
        <x:f>IF(OR($H104="",$I104=""),"",MAX($I104-$H104+1,1))</x:f>
      </x:c>
      <x:c r="K104" s="36"/>
      <x:c r="L104" s="36"/>
      <x:c r="M104" s="63" t="str">
        <x:f>IF($A104="","",SUMIFS('Custos Planejados - Pedro'!$G$6:$G$205,'Custos Planejados - Pedro'!$A$6:$A$205,$A104)+SUMIFS('Custos Planejados - Camilly'!$G$6:$G$205,'Custos Planejados - Camilly'!$A$6:$A$205,$A104))</x:f>
      </x:c>
      <x:c r="N104" s="63" t="str">
        <x:f>IF($A104="","",SUMIFS('Histórico de Gastos'!$J$6:$J$205,'Histórico de Gastos'!$B$6:$B$205,$A104))</x:f>
      </x:c>
      <x:c r="O104" s="63" t="str">
        <x:f>IF($A104="","",$M104-$N104)</x:f>
      </x:c>
      <x:c r="P104" s="65" t="str">
        <x:f>IF($A104="","",IFERROR($N104/$M104,0))</x:f>
      </x:c>
      <x:c r="Q104" s="63" t="str">
        <x:f>IF($A104="","",SUMIFS('Histórico de Gastos'!$W$6:$W$205,'Histórico de Gastos'!$B$6:$B$205,$A104))</x:f>
      </x:c>
      <x:c r="R104" s="63" t="str">
        <x:f>IF($A104="","",SUMIFS('Histórico de Gastos'!$X$6:$X$205,'Histórico de Gastos'!$B$6:$B$205,$A104))</x:f>
      </x:c>
      <x:c r="S104" s="63" t="str">
        <x:f>IF($A104="","",ABS($Q104-SUMIFS('Histórico de Gastos'!$U$6:$U$205,'Histórico de Gastos'!$B$6:$B$205,$A104)))</x:f>
      </x:c>
      <x:c r="T104" s="67" t="str">
        <x:f>IF($A104="","",IF(ABS($Q104-SUMIFS('Histórico de Gastos'!$U$6:$U$205,'Histórico de Gastos'!$B$6:$B$205,$A104))&lt;0.01,"Tudo certo",IF($Q104&gt;SUMIFS('Histórico de Gastos'!$U$6:$U$205,'Histórico de Gastos'!$B$6:$B$205,$A104),"Camilly deve para Pedro","Pedro deve para Camilly")))</x:f>
      </x:c>
      <x:c r="U104" s="36"/>
      <x:c r="V104" s="67" t="str">
        <x:f>IF($A104="","",IF(COUNTIFS('Checklist de Viagem'!$A$6:$A$205,$A104)=0,"Não",IF(COUNTIFS('Checklist de Viagem'!$A$6:$A$205,$A104,'Checklist de Viagem'!$H$6:$H$205,"Não")=0,"Sim","Não")))</x:f>
      </x:c>
      <x:c r="W104" s="36"/>
      <x:c r="X104" s="36"/>
      <x:c r="Y104" s="36"/>
      <x:c r="Z104" s="59"/>
      <x:c r="AA104" s="59"/>
      <x:c r="AB104" s="67" t="str">
        <x:f>IF($A104="","",IF($P104&gt;1,"Viagem acima do orçamento",IF(AND($K104&lt;&gt;"Concluída",$V104&lt;&gt;"Sim",$H104-TODAY()&lt;=15),"Viagem próxima sem checklist completo",IF($W104="","Passagem ainda não comprada",IF($X104="","Falta reservar hospedagem",IF($S104&gt;0,"Existe valor pendente de compensação","Tudo certo"))))))</x:f>
      </x:c>
      <x:c r="AC104" s="36"/>
    </x:row>
    <x:row r="105">
      <x:c r="A105" s="36"/>
      <x:c r="B105" s="36"/>
      <x:c r="C105" s="36"/>
      <x:c r="D105" s="36"/>
      <x:c r="E105" s="36"/>
      <x:c r="F105" s="36"/>
      <x:c r="G105" s="36"/>
      <x:c r="H105" s="59"/>
      <x:c r="I105" s="59"/>
      <x:c r="J105" s="61" t="str">
        <x:f>IF(OR($H105="",$I105=""),"",MAX($I105-$H105+1,1))</x:f>
      </x:c>
      <x:c r="K105" s="36"/>
      <x:c r="L105" s="36"/>
      <x:c r="M105" s="63" t="str">
        <x:f>IF($A105="","",SUMIFS('Custos Planejados - Pedro'!$G$6:$G$205,'Custos Planejados - Pedro'!$A$6:$A$205,$A105)+SUMIFS('Custos Planejados - Camilly'!$G$6:$G$205,'Custos Planejados - Camilly'!$A$6:$A$205,$A105))</x:f>
      </x:c>
      <x:c r="N105" s="63" t="str">
        <x:f>IF($A105="","",SUMIFS('Histórico de Gastos'!$J$6:$J$205,'Histórico de Gastos'!$B$6:$B$205,$A105))</x:f>
      </x:c>
      <x:c r="O105" s="63" t="str">
        <x:f>IF($A105="","",$M105-$N105)</x:f>
      </x:c>
      <x:c r="P105" s="65" t="str">
        <x:f>IF($A105="","",IFERROR($N105/$M105,0))</x:f>
      </x:c>
      <x:c r="Q105" s="63" t="str">
        <x:f>IF($A105="","",SUMIFS('Histórico de Gastos'!$W$6:$W$205,'Histórico de Gastos'!$B$6:$B$205,$A105))</x:f>
      </x:c>
      <x:c r="R105" s="63" t="str">
        <x:f>IF($A105="","",SUMIFS('Histórico de Gastos'!$X$6:$X$205,'Histórico de Gastos'!$B$6:$B$205,$A105))</x:f>
      </x:c>
      <x:c r="S105" s="63" t="str">
        <x:f>IF($A105="","",ABS($Q105-SUMIFS('Histórico de Gastos'!$U$6:$U$205,'Histórico de Gastos'!$B$6:$B$205,$A105)))</x:f>
      </x:c>
      <x:c r="T105" s="67" t="str">
        <x:f>IF($A105="","",IF(ABS($Q105-SUMIFS('Histórico de Gastos'!$U$6:$U$205,'Histórico de Gastos'!$B$6:$B$205,$A105))&lt;0.01,"Tudo certo",IF($Q105&gt;SUMIFS('Histórico de Gastos'!$U$6:$U$205,'Histórico de Gastos'!$B$6:$B$205,$A105),"Camilly deve para Pedro","Pedro deve para Camilly")))</x:f>
      </x:c>
      <x:c r="U105" s="36"/>
      <x:c r="V105" s="67" t="str">
        <x:f>IF($A105="","",IF(COUNTIFS('Checklist de Viagem'!$A$6:$A$205,$A105)=0,"Não",IF(COUNTIFS('Checklist de Viagem'!$A$6:$A$205,$A105,'Checklist de Viagem'!$H$6:$H$205,"Não")=0,"Sim","Não")))</x:f>
      </x:c>
      <x:c r="W105" s="36"/>
      <x:c r="X105" s="36"/>
      <x:c r="Y105" s="36"/>
      <x:c r="Z105" s="59"/>
      <x:c r="AA105" s="59"/>
      <x:c r="AB105" s="67" t="str">
        <x:f>IF($A105="","",IF($P105&gt;1,"Viagem acima do orçamento",IF(AND($K105&lt;&gt;"Concluída",$V105&lt;&gt;"Sim",$H105-TODAY()&lt;=15),"Viagem próxima sem checklist completo",IF($W105="","Passagem ainda não comprada",IF($X105="","Falta reservar hospedagem",IF($S105&gt;0,"Existe valor pendente de compensação","Tudo certo"))))))</x:f>
      </x:c>
      <x:c r="AC105" s="36"/>
    </x:row>
    <x:row r="106">
      <x:c r="A106" s="36"/>
      <x:c r="B106" s="36"/>
      <x:c r="C106" s="36"/>
      <x:c r="D106" s="36"/>
      <x:c r="E106" s="36"/>
      <x:c r="F106" s="36"/>
      <x:c r="G106" s="36"/>
      <x:c r="H106" s="59"/>
      <x:c r="I106" s="59"/>
      <x:c r="J106" s="61" t="str">
        <x:f>IF(OR($H106="",$I106=""),"",MAX($I106-$H106+1,1))</x:f>
      </x:c>
      <x:c r="K106" s="36"/>
      <x:c r="L106" s="36"/>
      <x:c r="M106" s="63" t="str">
        <x:f>IF($A106="","",SUMIFS('Custos Planejados - Pedro'!$G$6:$G$205,'Custos Planejados - Pedro'!$A$6:$A$205,$A106)+SUMIFS('Custos Planejados - Camilly'!$G$6:$G$205,'Custos Planejados - Camilly'!$A$6:$A$205,$A106))</x:f>
      </x:c>
      <x:c r="N106" s="63" t="str">
        <x:f>IF($A106="","",SUMIFS('Histórico de Gastos'!$J$6:$J$205,'Histórico de Gastos'!$B$6:$B$205,$A106))</x:f>
      </x:c>
      <x:c r="O106" s="63" t="str">
        <x:f>IF($A106="","",$M106-$N106)</x:f>
      </x:c>
      <x:c r="P106" s="65" t="str">
        <x:f>IF($A106="","",IFERROR($N106/$M106,0))</x:f>
      </x:c>
      <x:c r="Q106" s="63" t="str">
        <x:f>IF($A106="","",SUMIFS('Histórico de Gastos'!$W$6:$W$205,'Histórico de Gastos'!$B$6:$B$205,$A106))</x:f>
      </x:c>
      <x:c r="R106" s="63" t="str">
        <x:f>IF($A106="","",SUMIFS('Histórico de Gastos'!$X$6:$X$205,'Histórico de Gastos'!$B$6:$B$205,$A106))</x:f>
      </x:c>
      <x:c r="S106" s="63" t="str">
        <x:f>IF($A106="","",ABS($Q106-SUMIFS('Histórico de Gastos'!$U$6:$U$205,'Histórico de Gastos'!$B$6:$B$205,$A106)))</x:f>
      </x:c>
      <x:c r="T106" s="67" t="str">
        <x:f>IF($A106="","",IF(ABS($Q106-SUMIFS('Histórico de Gastos'!$U$6:$U$205,'Histórico de Gastos'!$B$6:$B$205,$A106))&lt;0.01,"Tudo certo",IF($Q106&gt;SUMIFS('Histórico de Gastos'!$U$6:$U$205,'Histórico de Gastos'!$B$6:$B$205,$A106),"Camilly deve para Pedro","Pedro deve para Camilly")))</x:f>
      </x:c>
      <x:c r="U106" s="36"/>
      <x:c r="V106" s="67" t="str">
        <x:f>IF($A106="","",IF(COUNTIFS('Checklist de Viagem'!$A$6:$A$205,$A106)=0,"Não",IF(COUNTIFS('Checklist de Viagem'!$A$6:$A$205,$A106,'Checklist de Viagem'!$H$6:$H$205,"Não")=0,"Sim","Não")))</x:f>
      </x:c>
      <x:c r="W106" s="36"/>
      <x:c r="X106" s="36"/>
      <x:c r="Y106" s="36"/>
      <x:c r="Z106" s="59"/>
      <x:c r="AA106" s="59"/>
      <x:c r="AB106" s="67" t="str">
        <x:f>IF($A106="","",IF($P106&gt;1,"Viagem acima do orçamento",IF(AND($K106&lt;&gt;"Concluída",$V106&lt;&gt;"Sim",$H106-TODAY()&lt;=15),"Viagem próxima sem checklist completo",IF($W106="","Passagem ainda não comprada",IF($X106="","Falta reservar hospedagem",IF($S106&gt;0,"Existe valor pendente de compensação","Tudo certo"))))))</x:f>
      </x:c>
      <x:c r="AC106" s="36"/>
    </x:row>
    <x:row r="107">
      <x:c r="A107" s="36"/>
      <x:c r="B107" s="36"/>
      <x:c r="C107" s="36"/>
      <x:c r="D107" s="36"/>
      <x:c r="E107" s="36"/>
      <x:c r="F107" s="36"/>
      <x:c r="G107" s="36"/>
      <x:c r="H107" s="59"/>
      <x:c r="I107" s="59"/>
      <x:c r="J107" s="61" t="str">
        <x:f>IF(OR($H107="",$I107=""),"",MAX($I107-$H107+1,1))</x:f>
      </x:c>
      <x:c r="K107" s="36"/>
      <x:c r="L107" s="36"/>
      <x:c r="M107" s="63" t="str">
        <x:f>IF($A107="","",SUMIFS('Custos Planejados - Pedro'!$G$6:$G$205,'Custos Planejados - Pedro'!$A$6:$A$205,$A107)+SUMIFS('Custos Planejados - Camilly'!$G$6:$G$205,'Custos Planejados - Camilly'!$A$6:$A$205,$A107))</x:f>
      </x:c>
      <x:c r="N107" s="63" t="str">
        <x:f>IF($A107="","",SUMIFS('Histórico de Gastos'!$J$6:$J$205,'Histórico de Gastos'!$B$6:$B$205,$A107))</x:f>
      </x:c>
      <x:c r="O107" s="63" t="str">
        <x:f>IF($A107="","",$M107-$N107)</x:f>
      </x:c>
      <x:c r="P107" s="65" t="str">
        <x:f>IF($A107="","",IFERROR($N107/$M107,0))</x:f>
      </x:c>
      <x:c r="Q107" s="63" t="str">
        <x:f>IF($A107="","",SUMIFS('Histórico de Gastos'!$W$6:$W$205,'Histórico de Gastos'!$B$6:$B$205,$A107))</x:f>
      </x:c>
      <x:c r="R107" s="63" t="str">
        <x:f>IF($A107="","",SUMIFS('Histórico de Gastos'!$X$6:$X$205,'Histórico de Gastos'!$B$6:$B$205,$A107))</x:f>
      </x:c>
      <x:c r="S107" s="63" t="str">
        <x:f>IF($A107="","",ABS($Q107-SUMIFS('Histórico de Gastos'!$U$6:$U$205,'Histórico de Gastos'!$B$6:$B$205,$A107)))</x:f>
      </x:c>
      <x:c r="T107" s="67" t="str">
        <x:f>IF($A107="","",IF(ABS($Q107-SUMIFS('Histórico de Gastos'!$U$6:$U$205,'Histórico de Gastos'!$B$6:$B$205,$A107))&lt;0.01,"Tudo certo",IF($Q107&gt;SUMIFS('Histórico de Gastos'!$U$6:$U$205,'Histórico de Gastos'!$B$6:$B$205,$A107),"Camilly deve para Pedro","Pedro deve para Camilly")))</x:f>
      </x:c>
      <x:c r="U107" s="36"/>
      <x:c r="V107" s="67" t="str">
        <x:f>IF($A107="","",IF(COUNTIFS('Checklist de Viagem'!$A$6:$A$205,$A107)=0,"Não",IF(COUNTIFS('Checklist de Viagem'!$A$6:$A$205,$A107,'Checklist de Viagem'!$H$6:$H$205,"Não")=0,"Sim","Não")))</x:f>
      </x:c>
      <x:c r="W107" s="36"/>
      <x:c r="X107" s="36"/>
      <x:c r="Y107" s="36"/>
      <x:c r="Z107" s="59"/>
      <x:c r="AA107" s="59"/>
      <x:c r="AB107" s="67" t="str">
        <x:f>IF($A107="","",IF($P107&gt;1,"Viagem acima do orçamento",IF(AND($K107&lt;&gt;"Concluída",$V107&lt;&gt;"Sim",$H107-TODAY()&lt;=15),"Viagem próxima sem checklist completo",IF($W107="","Passagem ainda não comprada",IF($X107="","Falta reservar hospedagem",IF($S107&gt;0,"Existe valor pendente de compensação","Tudo certo"))))))</x:f>
      </x:c>
      <x:c r="AC107" s="36"/>
    </x:row>
    <x:row r="108">
      <x:c r="A108" s="36"/>
      <x:c r="B108" s="36"/>
      <x:c r="C108" s="36"/>
      <x:c r="D108" s="36"/>
      <x:c r="E108" s="36"/>
      <x:c r="F108" s="36"/>
      <x:c r="G108" s="36"/>
      <x:c r="H108" s="59"/>
      <x:c r="I108" s="59"/>
      <x:c r="J108" s="61" t="str">
        <x:f>IF(OR($H108="",$I108=""),"",MAX($I108-$H108+1,1))</x:f>
      </x:c>
      <x:c r="K108" s="36"/>
      <x:c r="L108" s="36"/>
      <x:c r="M108" s="63" t="str">
        <x:f>IF($A108="","",SUMIFS('Custos Planejados - Pedro'!$G$6:$G$205,'Custos Planejados - Pedro'!$A$6:$A$205,$A108)+SUMIFS('Custos Planejados - Camilly'!$G$6:$G$205,'Custos Planejados - Camilly'!$A$6:$A$205,$A108))</x:f>
      </x:c>
      <x:c r="N108" s="63" t="str">
        <x:f>IF($A108="","",SUMIFS('Histórico de Gastos'!$J$6:$J$205,'Histórico de Gastos'!$B$6:$B$205,$A108))</x:f>
      </x:c>
      <x:c r="O108" s="63" t="str">
        <x:f>IF($A108="","",$M108-$N108)</x:f>
      </x:c>
      <x:c r="P108" s="65" t="str">
        <x:f>IF($A108="","",IFERROR($N108/$M108,0))</x:f>
      </x:c>
      <x:c r="Q108" s="63" t="str">
        <x:f>IF($A108="","",SUMIFS('Histórico de Gastos'!$W$6:$W$205,'Histórico de Gastos'!$B$6:$B$205,$A108))</x:f>
      </x:c>
      <x:c r="R108" s="63" t="str">
        <x:f>IF($A108="","",SUMIFS('Histórico de Gastos'!$X$6:$X$205,'Histórico de Gastos'!$B$6:$B$205,$A108))</x:f>
      </x:c>
      <x:c r="S108" s="63" t="str">
        <x:f>IF($A108="","",ABS($Q108-SUMIFS('Histórico de Gastos'!$U$6:$U$205,'Histórico de Gastos'!$B$6:$B$205,$A108)))</x:f>
      </x:c>
      <x:c r="T108" s="67" t="str">
        <x:f>IF($A108="","",IF(ABS($Q108-SUMIFS('Histórico de Gastos'!$U$6:$U$205,'Histórico de Gastos'!$B$6:$B$205,$A108))&lt;0.01,"Tudo certo",IF($Q108&gt;SUMIFS('Histórico de Gastos'!$U$6:$U$205,'Histórico de Gastos'!$B$6:$B$205,$A108),"Camilly deve para Pedro","Pedro deve para Camilly")))</x:f>
      </x:c>
      <x:c r="U108" s="36"/>
      <x:c r="V108" s="67" t="str">
        <x:f>IF($A108="","",IF(COUNTIFS('Checklist de Viagem'!$A$6:$A$205,$A108)=0,"Não",IF(COUNTIFS('Checklist de Viagem'!$A$6:$A$205,$A108,'Checklist de Viagem'!$H$6:$H$205,"Não")=0,"Sim","Não")))</x:f>
      </x:c>
      <x:c r="W108" s="36"/>
      <x:c r="X108" s="36"/>
      <x:c r="Y108" s="36"/>
      <x:c r="Z108" s="59"/>
      <x:c r="AA108" s="59"/>
      <x:c r="AB108" s="67" t="str">
        <x:f>IF($A108="","",IF($P108&gt;1,"Viagem acima do orçamento",IF(AND($K108&lt;&gt;"Concluída",$V108&lt;&gt;"Sim",$H108-TODAY()&lt;=15),"Viagem próxima sem checklist completo",IF($W108="","Passagem ainda não comprada",IF($X108="","Falta reservar hospedagem",IF($S108&gt;0,"Existe valor pendente de compensação","Tudo certo"))))))</x:f>
      </x:c>
      <x:c r="AC108" s="36"/>
    </x:row>
    <x:row r="109">
      <x:c r="A109" s="36"/>
      <x:c r="B109" s="36"/>
      <x:c r="C109" s="36"/>
      <x:c r="D109" s="36"/>
      <x:c r="E109" s="36"/>
      <x:c r="F109" s="36"/>
      <x:c r="G109" s="36"/>
      <x:c r="H109" s="59"/>
      <x:c r="I109" s="59"/>
      <x:c r="J109" s="61" t="str">
        <x:f>IF(OR($H109="",$I109=""),"",MAX($I109-$H109+1,1))</x:f>
      </x:c>
      <x:c r="K109" s="36"/>
      <x:c r="L109" s="36"/>
      <x:c r="M109" s="63" t="str">
        <x:f>IF($A109="","",SUMIFS('Custos Planejados - Pedro'!$G$6:$G$205,'Custos Planejados - Pedro'!$A$6:$A$205,$A109)+SUMIFS('Custos Planejados - Camilly'!$G$6:$G$205,'Custos Planejados - Camilly'!$A$6:$A$205,$A109))</x:f>
      </x:c>
      <x:c r="N109" s="63" t="str">
        <x:f>IF($A109="","",SUMIFS('Histórico de Gastos'!$J$6:$J$205,'Histórico de Gastos'!$B$6:$B$205,$A109))</x:f>
      </x:c>
      <x:c r="O109" s="63" t="str">
        <x:f>IF($A109="","",$M109-$N109)</x:f>
      </x:c>
      <x:c r="P109" s="65" t="str">
        <x:f>IF($A109="","",IFERROR($N109/$M109,0))</x:f>
      </x:c>
      <x:c r="Q109" s="63" t="str">
        <x:f>IF($A109="","",SUMIFS('Histórico de Gastos'!$W$6:$W$205,'Histórico de Gastos'!$B$6:$B$205,$A109))</x:f>
      </x:c>
      <x:c r="R109" s="63" t="str">
        <x:f>IF($A109="","",SUMIFS('Histórico de Gastos'!$X$6:$X$205,'Histórico de Gastos'!$B$6:$B$205,$A109))</x:f>
      </x:c>
      <x:c r="S109" s="63" t="str">
        <x:f>IF($A109="","",ABS($Q109-SUMIFS('Histórico de Gastos'!$U$6:$U$205,'Histórico de Gastos'!$B$6:$B$205,$A109)))</x:f>
      </x:c>
      <x:c r="T109" s="67" t="str">
        <x:f>IF($A109="","",IF(ABS($Q109-SUMIFS('Histórico de Gastos'!$U$6:$U$205,'Histórico de Gastos'!$B$6:$B$205,$A109))&lt;0.01,"Tudo certo",IF($Q109&gt;SUMIFS('Histórico de Gastos'!$U$6:$U$205,'Histórico de Gastos'!$B$6:$B$205,$A109),"Camilly deve para Pedro","Pedro deve para Camilly")))</x:f>
      </x:c>
      <x:c r="U109" s="36"/>
      <x:c r="V109" s="67" t="str">
        <x:f>IF($A109="","",IF(COUNTIFS('Checklist de Viagem'!$A$6:$A$205,$A109)=0,"Não",IF(COUNTIFS('Checklist de Viagem'!$A$6:$A$205,$A109,'Checklist de Viagem'!$H$6:$H$205,"Não")=0,"Sim","Não")))</x:f>
      </x:c>
      <x:c r="W109" s="36"/>
      <x:c r="X109" s="36"/>
      <x:c r="Y109" s="36"/>
      <x:c r="Z109" s="59"/>
      <x:c r="AA109" s="59"/>
      <x:c r="AB109" s="67" t="str">
        <x:f>IF($A109="","",IF($P109&gt;1,"Viagem acima do orçamento",IF(AND($K109&lt;&gt;"Concluída",$V109&lt;&gt;"Sim",$H109-TODAY()&lt;=15),"Viagem próxima sem checklist completo",IF($W109="","Passagem ainda não comprada",IF($X109="","Falta reservar hospedagem",IF($S109&gt;0,"Existe valor pendente de compensação","Tudo certo"))))))</x:f>
      </x:c>
      <x:c r="AC109" s="36"/>
    </x:row>
    <x:row r="110">
      <x:c r="A110" s="36"/>
      <x:c r="B110" s="36"/>
      <x:c r="C110" s="36"/>
      <x:c r="D110" s="36"/>
      <x:c r="E110" s="36"/>
      <x:c r="F110" s="36"/>
      <x:c r="G110" s="36"/>
      <x:c r="H110" s="59"/>
      <x:c r="I110" s="59"/>
      <x:c r="J110" s="61" t="str">
        <x:f>IF(OR($H110="",$I110=""),"",MAX($I110-$H110+1,1))</x:f>
      </x:c>
      <x:c r="K110" s="36"/>
      <x:c r="L110" s="36"/>
      <x:c r="M110" s="63" t="str">
        <x:f>IF($A110="","",SUMIFS('Custos Planejados - Pedro'!$G$6:$G$205,'Custos Planejados - Pedro'!$A$6:$A$205,$A110)+SUMIFS('Custos Planejados - Camilly'!$G$6:$G$205,'Custos Planejados - Camilly'!$A$6:$A$205,$A110))</x:f>
      </x:c>
      <x:c r="N110" s="63" t="str">
        <x:f>IF($A110="","",SUMIFS('Histórico de Gastos'!$J$6:$J$205,'Histórico de Gastos'!$B$6:$B$205,$A110))</x:f>
      </x:c>
      <x:c r="O110" s="63" t="str">
        <x:f>IF($A110="","",$M110-$N110)</x:f>
      </x:c>
      <x:c r="P110" s="65" t="str">
        <x:f>IF($A110="","",IFERROR($N110/$M110,0))</x:f>
      </x:c>
      <x:c r="Q110" s="63" t="str">
        <x:f>IF($A110="","",SUMIFS('Histórico de Gastos'!$W$6:$W$205,'Histórico de Gastos'!$B$6:$B$205,$A110))</x:f>
      </x:c>
      <x:c r="R110" s="63" t="str">
        <x:f>IF($A110="","",SUMIFS('Histórico de Gastos'!$X$6:$X$205,'Histórico de Gastos'!$B$6:$B$205,$A110))</x:f>
      </x:c>
      <x:c r="S110" s="63" t="str">
        <x:f>IF($A110="","",ABS($Q110-SUMIFS('Histórico de Gastos'!$U$6:$U$205,'Histórico de Gastos'!$B$6:$B$205,$A110)))</x:f>
      </x:c>
      <x:c r="T110" s="67" t="str">
        <x:f>IF($A110="","",IF(ABS($Q110-SUMIFS('Histórico de Gastos'!$U$6:$U$205,'Histórico de Gastos'!$B$6:$B$205,$A110))&lt;0.01,"Tudo certo",IF($Q110&gt;SUMIFS('Histórico de Gastos'!$U$6:$U$205,'Histórico de Gastos'!$B$6:$B$205,$A110),"Camilly deve para Pedro","Pedro deve para Camilly")))</x:f>
      </x:c>
      <x:c r="U110" s="36"/>
      <x:c r="V110" s="67" t="str">
        <x:f>IF($A110="","",IF(COUNTIFS('Checklist de Viagem'!$A$6:$A$205,$A110)=0,"Não",IF(COUNTIFS('Checklist de Viagem'!$A$6:$A$205,$A110,'Checklist de Viagem'!$H$6:$H$205,"Não")=0,"Sim","Não")))</x:f>
      </x:c>
      <x:c r="W110" s="36"/>
      <x:c r="X110" s="36"/>
      <x:c r="Y110" s="36"/>
      <x:c r="Z110" s="59"/>
      <x:c r="AA110" s="59"/>
      <x:c r="AB110" s="67" t="str">
        <x:f>IF($A110="","",IF($P110&gt;1,"Viagem acima do orçamento",IF(AND($K110&lt;&gt;"Concluída",$V110&lt;&gt;"Sim",$H110-TODAY()&lt;=15),"Viagem próxima sem checklist completo",IF($W110="","Passagem ainda não comprada",IF($X110="","Falta reservar hospedagem",IF($S110&gt;0,"Existe valor pendente de compensação","Tudo certo"))))))</x:f>
      </x:c>
      <x:c r="AC110" s="36"/>
    </x:row>
    <x:row r="111">
      <x:c r="A111" s="36"/>
      <x:c r="B111" s="36"/>
      <x:c r="C111" s="36"/>
      <x:c r="D111" s="36"/>
      <x:c r="E111" s="36"/>
      <x:c r="F111" s="36"/>
      <x:c r="G111" s="36"/>
      <x:c r="H111" s="59"/>
      <x:c r="I111" s="59"/>
      <x:c r="J111" s="61" t="str">
        <x:f>IF(OR($H111="",$I111=""),"",MAX($I111-$H111+1,1))</x:f>
      </x:c>
      <x:c r="K111" s="36"/>
      <x:c r="L111" s="36"/>
      <x:c r="M111" s="63" t="str">
        <x:f>IF($A111="","",SUMIFS('Custos Planejados - Pedro'!$G$6:$G$205,'Custos Planejados - Pedro'!$A$6:$A$205,$A111)+SUMIFS('Custos Planejados - Camilly'!$G$6:$G$205,'Custos Planejados - Camilly'!$A$6:$A$205,$A111))</x:f>
      </x:c>
      <x:c r="N111" s="63" t="str">
        <x:f>IF($A111="","",SUMIFS('Histórico de Gastos'!$J$6:$J$205,'Histórico de Gastos'!$B$6:$B$205,$A111))</x:f>
      </x:c>
      <x:c r="O111" s="63" t="str">
        <x:f>IF($A111="","",$M111-$N111)</x:f>
      </x:c>
      <x:c r="P111" s="65" t="str">
        <x:f>IF($A111="","",IFERROR($N111/$M111,0))</x:f>
      </x:c>
      <x:c r="Q111" s="63" t="str">
        <x:f>IF($A111="","",SUMIFS('Histórico de Gastos'!$W$6:$W$205,'Histórico de Gastos'!$B$6:$B$205,$A111))</x:f>
      </x:c>
      <x:c r="R111" s="63" t="str">
        <x:f>IF($A111="","",SUMIFS('Histórico de Gastos'!$X$6:$X$205,'Histórico de Gastos'!$B$6:$B$205,$A111))</x:f>
      </x:c>
      <x:c r="S111" s="63" t="str">
        <x:f>IF($A111="","",ABS($Q111-SUMIFS('Histórico de Gastos'!$U$6:$U$205,'Histórico de Gastos'!$B$6:$B$205,$A111)))</x:f>
      </x:c>
      <x:c r="T111" s="67" t="str">
        <x:f>IF($A111="","",IF(ABS($Q111-SUMIFS('Histórico de Gastos'!$U$6:$U$205,'Histórico de Gastos'!$B$6:$B$205,$A111))&lt;0.01,"Tudo certo",IF($Q111&gt;SUMIFS('Histórico de Gastos'!$U$6:$U$205,'Histórico de Gastos'!$B$6:$B$205,$A111),"Camilly deve para Pedro","Pedro deve para Camilly")))</x:f>
      </x:c>
      <x:c r="U111" s="36"/>
      <x:c r="V111" s="67" t="str">
        <x:f>IF($A111="","",IF(COUNTIFS('Checklist de Viagem'!$A$6:$A$205,$A111)=0,"Não",IF(COUNTIFS('Checklist de Viagem'!$A$6:$A$205,$A111,'Checklist de Viagem'!$H$6:$H$205,"Não")=0,"Sim","Não")))</x:f>
      </x:c>
      <x:c r="W111" s="36"/>
      <x:c r="X111" s="36"/>
      <x:c r="Y111" s="36"/>
      <x:c r="Z111" s="59"/>
      <x:c r="AA111" s="59"/>
      <x:c r="AB111" s="67" t="str">
        <x:f>IF($A111="","",IF($P111&gt;1,"Viagem acima do orçamento",IF(AND($K111&lt;&gt;"Concluída",$V111&lt;&gt;"Sim",$H111-TODAY()&lt;=15),"Viagem próxima sem checklist completo",IF($W111="","Passagem ainda não comprada",IF($X111="","Falta reservar hospedagem",IF($S111&gt;0,"Existe valor pendente de compensação","Tudo certo"))))))</x:f>
      </x:c>
      <x:c r="AC111" s="36"/>
    </x:row>
    <x:row r="112">
      <x:c r="A112" s="36"/>
      <x:c r="B112" s="36"/>
      <x:c r="C112" s="36"/>
      <x:c r="D112" s="36"/>
      <x:c r="E112" s="36"/>
      <x:c r="F112" s="36"/>
      <x:c r="G112" s="36"/>
      <x:c r="H112" s="59"/>
      <x:c r="I112" s="59"/>
      <x:c r="J112" s="61" t="str">
        <x:f>IF(OR($H112="",$I112=""),"",MAX($I112-$H112+1,1))</x:f>
      </x:c>
      <x:c r="K112" s="36"/>
      <x:c r="L112" s="36"/>
      <x:c r="M112" s="63" t="str">
        <x:f>IF($A112="","",SUMIFS('Custos Planejados - Pedro'!$G$6:$G$205,'Custos Planejados - Pedro'!$A$6:$A$205,$A112)+SUMIFS('Custos Planejados - Camilly'!$G$6:$G$205,'Custos Planejados - Camilly'!$A$6:$A$205,$A112))</x:f>
      </x:c>
      <x:c r="N112" s="63" t="str">
        <x:f>IF($A112="","",SUMIFS('Histórico de Gastos'!$J$6:$J$205,'Histórico de Gastos'!$B$6:$B$205,$A112))</x:f>
      </x:c>
      <x:c r="O112" s="63" t="str">
        <x:f>IF($A112="","",$M112-$N112)</x:f>
      </x:c>
      <x:c r="P112" s="65" t="str">
        <x:f>IF($A112="","",IFERROR($N112/$M112,0))</x:f>
      </x:c>
      <x:c r="Q112" s="63" t="str">
        <x:f>IF($A112="","",SUMIFS('Histórico de Gastos'!$W$6:$W$205,'Histórico de Gastos'!$B$6:$B$205,$A112))</x:f>
      </x:c>
      <x:c r="R112" s="63" t="str">
        <x:f>IF($A112="","",SUMIFS('Histórico de Gastos'!$X$6:$X$205,'Histórico de Gastos'!$B$6:$B$205,$A112))</x:f>
      </x:c>
      <x:c r="S112" s="63" t="str">
        <x:f>IF($A112="","",ABS($Q112-SUMIFS('Histórico de Gastos'!$U$6:$U$205,'Histórico de Gastos'!$B$6:$B$205,$A112)))</x:f>
      </x:c>
      <x:c r="T112" s="67" t="str">
        <x:f>IF($A112="","",IF(ABS($Q112-SUMIFS('Histórico de Gastos'!$U$6:$U$205,'Histórico de Gastos'!$B$6:$B$205,$A112))&lt;0.01,"Tudo certo",IF($Q112&gt;SUMIFS('Histórico de Gastos'!$U$6:$U$205,'Histórico de Gastos'!$B$6:$B$205,$A112),"Camilly deve para Pedro","Pedro deve para Camilly")))</x:f>
      </x:c>
      <x:c r="U112" s="36"/>
      <x:c r="V112" s="67" t="str">
        <x:f>IF($A112="","",IF(COUNTIFS('Checklist de Viagem'!$A$6:$A$205,$A112)=0,"Não",IF(COUNTIFS('Checklist de Viagem'!$A$6:$A$205,$A112,'Checklist de Viagem'!$H$6:$H$205,"Não")=0,"Sim","Não")))</x:f>
      </x:c>
      <x:c r="W112" s="36"/>
      <x:c r="X112" s="36"/>
      <x:c r="Y112" s="36"/>
      <x:c r="Z112" s="59"/>
      <x:c r="AA112" s="59"/>
      <x:c r="AB112" s="67" t="str">
        <x:f>IF($A112="","",IF($P112&gt;1,"Viagem acima do orçamento",IF(AND($K112&lt;&gt;"Concluída",$V112&lt;&gt;"Sim",$H112-TODAY()&lt;=15),"Viagem próxima sem checklist completo",IF($W112="","Passagem ainda não comprada",IF($X112="","Falta reservar hospedagem",IF($S112&gt;0,"Existe valor pendente de compensação","Tudo certo"))))))</x:f>
      </x:c>
      <x:c r="AC112" s="36"/>
    </x:row>
    <x:row r="113">
      <x:c r="A113" s="36"/>
      <x:c r="B113" s="36"/>
      <x:c r="C113" s="36"/>
      <x:c r="D113" s="36"/>
      <x:c r="E113" s="36"/>
      <x:c r="F113" s="36"/>
      <x:c r="G113" s="36"/>
      <x:c r="H113" s="59"/>
      <x:c r="I113" s="59"/>
      <x:c r="J113" s="61" t="str">
        <x:f>IF(OR($H113="",$I113=""),"",MAX($I113-$H113+1,1))</x:f>
      </x:c>
      <x:c r="K113" s="36"/>
      <x:c r="L113" s="36"/>
      <x:c r="M113" s="63" t="str">
        <x:f>IF($A113="","",SUMIFS('Custos Planejados - Pedro'!$G$6:$G$205,'Custos Planejados - Pedro'!$A$6:$A$205,$A113)+SUMIFS('Custos Planejados - Camilly'!$G$6:$G$205,'Custos Planejados - Camilly'!$A$6:$A$205,$A113))</x:f>
      </x:c>
      <x:c r="N113" s="63" t="str">
        <x:f>IF($A113="","",SUMIFS('Histórico de Gastos'!$J$6:$J$205,'Histórico de Gastos'!$B$6:$B$205,$A113))</x:f>
      </x:c>
      <x:c r="O113" s="63" t="str">
        <x:f>IF($A113="","",$M113-$N113)</x:f>
      </x:c>
      <x:c r="P113" s="65" t="str">
        <x:f>IF($A113="","",IFERROR($N113/$M113,0))</x:f>
      </x:c>
      <x:c r="Q113" s="63" t="str">
        <x:f>IF($A113="","",SUMIFS('Histórico de Gastos'!$W$6:$W$205,'Histórico de Gastos'!$B$6:$B$205,$A113))</x:f>
      </x:c>
      <x:c r="R113" s="63" t="str">
        <x:f>IF($A113="","",SUMIFS('Histórico de Gastos'!$X$6:$X$205,'Histórico de Gastos'!$B$6:$B$205,$A113))</x:f>
      </x:c>
      <x:c r="S113" s="63" t="str">
        <x:f>IF($A113="","",ABS($Q113-SUMIFS('Histórico de Gastos'!$U$6:$U$205,'Histórico de Gastos'!$B$6:$B$205,$A113)))</x:f>
      </x:c>
      <x:c r="T113" s="67" t="str">
        <x:f>IF($A113="","",IF(ABS($Q113-SUMIFS('Histórico de Gastos'!$U$6:$U$205,'Histórico de Gastos'!$B$6:$B$205,$A113))&lt;0.01,"Tudo certo",IF($Q113&gt;SUMIFS('Histórico de Gastos'!$U$6:$U$205,'Histórico de Gastos'!$B$6:$B$205,$A113),"Camilly deve para Pedro","Pedro deve para Camilly")))</x:f>
      </x:c>
      <x:c r="U113" s="36"/>
      <x:c r="V113" s="67" t="str">
        <x:f>IF($A113="","",IF(COUNTIFS('Checklist de Viagem'!$A$6:$A$205,$A113)=0,"Não",IF(COUNTIFS('Checklist de Viagem'!$A$6:$A$205,$A113,'Checklist de Viagem'!$H$6:$H$205,"Não")=0,"Sim","Não")))</x:f>
      </x:c>
      <x:c r="W113" s="36"/>
      <x:c r="X113" s="36"/>
      <x:c r="Y113" s="36"/>
      <x:c r="Z113" s="59"/>
      <x:c r="AA113" s="59"/>
      <x:c r="AB113" s="67" t="str">
        <x:f>IF($A113="","",IF($P113&gt;1,"Viagem acima do orçamento",IF(AND($K113&lt;&gt;"Concluída",$V113&lt;&gt;"Sim",$H113-TODAY()&lt;=15),"Viagem próxima sem checklist completo",IF($W113="","Passagem ainda não comprada",IF($X113="","Falta reservar hospedagem",IF($S113&gt;0,"Existe valor pendente de compensação","Tudo certo"))))))</x:f>
      </x:c>
      <x:c r="AC113" s="36"/>
    </x:row>
    <x:row r="114">
      <x:c r="A114" s="36"/>
      <x:c r="B114" s="36"/>
      <x:c r="C114" s="36"/>
      <x:c r="D114" s="36"/>
      <x:c r="E114" s="36"/>
      <x:c r="F114" s="36"/>
      <x:c r="G114" s="36"/>
      <x:c r="H114" s="59"/>
      <x:c r="I114" s="59"/>
      <x:c r="J114" s="61" t="str">
        <x:f>IF(OR($H114="",$I114=""),"",MAX($I114-$H114+1,1))</x:f>
      </x:c>
      <x:c r="K114" s="36"/>
      <x:c r="L114" s="36"/>
      <x:c r="M114" s="63" t="str">
        <x:f>IF($A114="","",SUMIFS('Custos Planejados - Pedro'!$G$6:$G$205,'Custos Planejados - Pedro'!$A$6:$A$205,$A114)+SUMIFS('Custos Planejados - Camilly'!$G$6:$G$205,'Custos Planejados - Camilly'!$A$6:$A$205,$A114))</x:f>
      </x:c>
      <x:c r="N114" s="63" t="str">
        <x:f>IF($A114="","",SUMIFS('Histórico de Gastos'!$J$6:$J$205,'Histórico de Gastos'!$B$6:$B$205,$A114))</x:f>
      </x:c>
      <x:c r="O114" s="63" t="str">
        <x:f>IF($A114="","",$M114-$N114)</x:f>
      </x:c>
      <x:c r="P114" s="65" t="str">
        <x:f>IF($A114="","",IFERROR($N114/$M114,0))</x:f>
      </x:c>
      <x:c r="Q114" s="63" t="str">
        <x:f>IF($A114="","",SUMIFS('Histórico de Gastos'!$W$6:$W$205,'Histórico de Gastos'!$B$6:$B$205,$A114))</x:f>
      </x:c>
      <x:c r="R114" s="63" t="str">
        <x:f>IF($A114="","",SUMIFS('Histórico de Gastos'!$X$6:$X$205,'Histórico de Gastos'!$B$6:$B$205,$A114))</x:f>
      </x:c>
      <x:c r="S114" s="63" t="str">
        <x:f>IF($A114="","",ABS($Q114-SUMIFS('Histórico de Gastos'!$U$6:$U$205,'Histórico de Gastos'!$B$6:$B$205,$A114)))</x:f>
      </x:c>
      <x:c r="T114" s="67" t="str">
        <x:f>IF($A114="","",IF(ABS($Q114-SUMIFS('Histórico de Gastos'!$U$6:$U$205,'Histórico de Gastos'!$B$6:$B$205,$A114))&lt;0.01,"Tudo certo",IF($Q114&gt;SUMIFS('Histórico de Gastos'!$U$6:$U$205,'Histórico de Gastos'!$B$6:$B$205,$A114),"Camilly deve para Pedro","Pedro deve para Camilly")))</x:f>
      </x:c>
      <x:c r="U114" s="36"/>
      <x:c r="V114" s="67" t="str">
        <x:f>IF($A114="","",IF(COUNTIFS('Checklist de Viagem'!$A$6:$A$205,$A114)=0,"Não",IF(COUNTIFS('Checklist de Viagem'!$A$6:$A$205,$A114,'Checklist de Viagem'!$H$6:$H$205,"Não")=0,"Sim","Não")))</x:f>
      </x:c>
      <x:c r="W114" s="36"/>
      <x:c r="X114" s="36"/>
      <x:c r="Y114" s="36"/>
      <x:c r="Z114" s="59"/>
      <x:c r="AA114" s="59"/>
      <x:c r="AB114" s="67" t="str">
        <x:f>IF($A114="","",IF($P114&gt;1,"Viagem acima do orçamento",IF(AND($K114&lt;&gt;"Concluída",$V114&lt;&gt;"Sim",$H114-TODAY()&lt;=15),"Viagem próxima sem checklist completo",IF($W114="","Passagem ainda não comprada",IF($X114="","Falta reservar hospedagem",IF($S114&gt;0,"Existe valor pendente de compensação","Tudo certo"))))))</x:f>
      </x:c>
      <x:c r="AC114" s="36"/>
    </x:row>
    <x:row r="115">
      <x:c r="A115" s="36"/>
      <x:c r="B115" s="36"/>
      <x:c r="C115" s="36"/>
      <x:c r="D115" s="36"/>
      <x:c r="E115" s="36"/>
      <x:c r="F115" s="36"/>
      <x:c r="G115" s="36"/>
      <x:c r="H115" s="59"/>
      <x:c r="I115" s="59"/>
      <x:c r="J115" s="61" t="str">
        <x:f>IF(OR($H115="",$I115=""),"",MAX($I115-$H115+1,1))</x:f>
      </x:c>
      <x:c r="K115" s="36"/>
      <x:c r="L115" s="36"/>
      <x:c r="M115" s="63" t="str">
        <x:f>IF($A115="","",SUMIFS('Custos Planejados - Pedro'!$G$6:$G$205,'Custos Planejados - Pedro'!$A$6:$A$205,$A115)+SUMIFS('Custos Planejados - Camilly'!$G$6:$G$205,'Custos Planejados - Camilly'!$A$6:$A$205,$A115))</x:f>
      </x:c>
      <x:c r="N115" s="63" t="str">
        <x:f>IF($A115="","",SUMIFS('Histórico de Gastos'!$J$6:$J$205,'Histórico de Gastos'!$B$6:$B$205,$A115))</x:f>
      </x:c>
      <x:c r="O115" s="63" t="str">
        <x:f>IF($A115="","",$M115-$N115)</x:f>
      </x:c>
      <x:c r="P115" s="65" t="str">
        <x:f>IF($A115="","",IFERROR($N115/$M115,0))</x:f>
      </x:c>
      <x:c r="Q115" s="63" t="str">
        <x:f>IF($A115="","",SUMIFS('Histórico de Gastos'!$W$6:$W$205,'Histórico de Gastos'!$B$6:$B$205,$A115))</x:f>
      </x:c>
      <x:c r="R115" s="63" t="str">
        <x:f>IF($A115="","",SUMIFS('Histórico de Gastos'!$X$6:$X$205,'Histórico de Gastos'!$B$6:$B$205,$A115))</x:f>
      </x:c>
      <x:c r="S115" s="63" t="str">
        <x:f>IF($A115="","",ABS($Q115-SUMIFS('Histórico de Gastos'!$U$6:$U$205,'Histórico de Gastos'!$B$6:$B$205,$A115)))</x:f>
      </x:c>
      <x:c r="T115" s="67" t="str">
        <x:f>IF($A115="","",IF(ABS($Q115-SUMIFS('Histórico de Gastos'!$U$6:$U$205,'Histórico de Gastos'!$B$6:$B$205,$A115))&lt;0.01,"Tudo certo",IF($Q115&gt;SUMIFS('Histórico de Gastos'!$U$6:$U$205,'Histórico de Gastos'!$B$6:$B$205,$A115),"Camilly deve para Pedro","Pedro deve para Camilly")))</x:f>
      </x:c>
      <x:c r="U115" s="36"/>
      <x:c r="V115" s="67" t="str">
        <x:f>IF($A115="","",IF(COUNTIFS('Checklist de Viagem'!$A$6:$A$205,$A115)=0,"Não",IF(COUNTIFS('Checklist de Viagem'!$A$6:$A$205,$A115,'Checklist de Viagem'!$H$6:$H$205,"Não")=0,"Sim","Não")))</x:f>
      </x:c>
      <x:c r="W115" s="36"/>
      <x:c r="X115" s="36"/>
      <x:c r="Y115" s="36"/>
      <x:c r="Z115" s="59"/>
      <x:c r="AA115" s="59"/>
      <x:c r="AB115" s="67" t="str">
        <x:f>IF($A115="","",IF($P115&gt;1,"Viagem acima do orçamento",IF(AND($K115&lt;&gt;"Concluída",$V115&lt;&gt;"Sim",$H115-TODAY()&lt;=15),"Viagem próxima sem checklist completo",IF($W115="","Passagem ainda não comprada",IF($X115="","Falta reservar hospedagem",IF($S115&gt;0,"Existe valor pendente de compensação","Tudo certo"))))))</x:f>
      </x:c>
      <x:c r="AC115" s="36"/>
    </x:row>
    <x:row r="116">
      <x:c r="A116" s="36"/>
      <x:c r="B116" s="36"/>
      <x:c r="C116" s="36"/>
      <x:c r="D116" s="36"/>
      <x:c r="E116" s="36"/>
      <x:c r="F116" s="36"/>
      <x:c r="G116" s="36"/>
      <x:c r="H116" s="59"/>
      <x:c r="I116" s="59"/>
      <x:c r="J116" s="61" t="str">
        <x:f>IF(OR($H116="",$I116=""),"",MAX($I116-$H116+1,1))</x:f>
      </x:c>
      <x:c r="K116" s="36"/>
      <x:c r="L116" s="36"/>
      <x:c r="M116" s="63" t="str">
        <x:f>IF($A116="","",SUMIFS('Custos Planejados - Pedro'!$G$6:$G$205,'Custos Planejados - Pedro'!$A$6:$A$205,$A116)+SUMIFS('Custos Planejados - Camilly'!$G$6:$G$205,'Custos Planejados - Camilly'!$A$6:$A$205,$A116))</x:f>
      </x:c>
      <x:c r="N116" s="63" t="str">
        <x:f>IF($A116="","",SUMIFS('Histórico de Gastos'!$J$6:$J$205,'Histórico de Gastos'!$B$6:$B$205,$A116))</x:f>
      </x:c>
      <x:c r="O116" s="63" t="str">
        <x:f>IF($A116="","",$M116-$N116)</x:f>
      </x:c>
      <x:c r="P116" s="65" t="str">
        <x:f>IF($A116="","",IFERROR($N116/$M116,0))</x:f>
      </x:c>
      <x:c r="Q116" s="63" t="str">
        <x:f>IF($A116="","",SUMIFS('Histórico de Gastos'!$W$6:$W$205,'Histórico de Gastos'!$B$6:$B$205,$A116))</x:f>
      </x:c>
      <x:c r="R116" s="63" t="str">
        <x:f>IF($A116="","",SUMIFS('Histórico de Gastos'!$X$6:$X$205,'Histórico de Gastos'!$B$6:$B$205,$A116))</x:f>
      </x:c>
      <x:c r="S116" s="63" t="str">
        <x:f>IF($A116="","",ABS($Q116-SUMIFS('Histórico de Gastos'!$U$6:$U$205,'Histórico de Gastos'!$B$6:$B$205,$A116)))</x:f>
      </x:c>
      <x:c r="T116" s="67" t="str">
        <x:f>IF($A116="","",IF(ABS($Q116-SUMIFS('Histórico de Gastos'!$U$6:$U$205,'Histórico de Gastos'!$B$6:$B$205,$A116))&lt;0.01,"Tudo certo",IF($Q116&gt;SUMIFS('Histórico de Gastos'!$U$6:$U$205,'Histórico de Gastos'!$B$6:$B$205,$A116),"Camilly deve para Pedro","Pedro deve para Camilly")))</x:f>
      </x:c>
      <x:c r="U116" s="36"/>
      <x:c r="V116" s="67" t="str">
        <x:f>IF($A116="","",IF(COUNTIFS('Checklist de Viagem'!$A$6:$A$205,$A116)=0,"Não",IF(COUNTIFS('Checklist de Viagem'!$A$6:$A$205,$A116,'Checklist de Viagem'!$H$6:$H$205,"Não")=0,"Sim","Não")))</x:f>
      </x:c>
      <x:c r="W116" s="36"/>
      <x:c r="X116" s="36"/>
      <x:c r="Y116" s="36"/>
      <x:c r="Z116" s="59"/>
      <x:c r="AA116" s="59"/>
      <x:c r="AB116" s="67" t="str">
        <x:f>IF($A116="","",IF($P116&gt;1,"Viagem acima do orçamento",IF(AND($K116&lt;&gt;"Concluída",$V116&lt;&gt;"Sim",$H116-TODAY()&lt;=15),"Viagem próxima sem checklist completo",IF($W116="","Passagem ainda não comprada",IF($X116="","Falta reservar hospedagem",IF($S116&gt;0,"Existe valor pendente de compensação","Tudo certo"))))))</x:f>
      </x:c>
      <x:c r="AC116" s="36"/>
    </x:row>
    <x:row r="117">
      <x:c r="A117" s="36"/>
      <x:c r="B117" s="36"/>
      <x:c r="C117" s="36"/>
      <x:c r="D117" s="36"/>
      <x:c r="E117" s="36"/>
      <x:c r="F117" s="36"/>
      <x:c r="G117" s="36"/>
      <x:c r="H117" s="59"/>
      <x:c r="I117" s="59"/>
      <x:c r="J117" s="61" t="str">
        <x:f>IF(OR($H117="",$I117=""),"",MAX($I117-$H117+1,1))</x:f>
      </x:c>
      <x:c r="K117" s="36"/>
      <x:c r="L117" s="36"/>
      <x:c r="M117" s="63" t="str">
        <x:f>IF($A117="","",SUMIFS('Custos Planejados - Pedro'!$G$6:$G$205,'Custos Planejados - Pedro'!$A$6:$A$205,$A117)+SUMIFS('Custos Planejados - Camilly'!$G$6:$G$205,'Custos Planejados - Camilly'!$A$6:$A$205,$A117))</x:f>
      </x:c>
      <x:c r="N117" s="63" t="str">
        <x:f>IF($A117="","",SUMIFS('Histórico de Gastos'!$J$6:$J$205,'Histórico de Gastos'!$B$6:$B$205,$A117))</x:f>
      </x:c>
      <x:c r="O117" s="63" t="str">
        <x:f>IF($A117="","",$M117-$N117)</x:f>
      </x:c>
      <x:c r="P117" s="65" t="str">
        <x:f>IF($A117="","",IFERROR($N117/$M117,0))</x:f>
      </x:c>
      <x:c r="Q117" s="63" t="str">
        <x:f>IF($A117="","",SUMIFS('Histórico de Gastos'!$W$6:$W$205,'Histórico de Gastos'!$B$6:$B$205,$A117))</x:f>
      </x:c>
      <x:c r="R117" s="63" t="str">
        <x:f>IF($A117="","",SUMIFS('Histórico de Gastos'!$X$6:$X$205,'Histórico de Gastos'!$B$6:$B$205,$A117))</x:f>
      </x:c>
      <x:c r="S117" s="63" t="str">
        <x:f>IF($A117="","",ABS($Q117-SUMIFS('Histórico de Gastos'!$U$6:$U$205,'Histórico de Gastos'!$B$6:$B$205,$A117)))</x:f>
      </x:c>
      <x:c r="T117" s="67" t="str">
        <x:f>IF($A117="","",IF(ABS($Q117-SUMIFS('Histórico de Gastos'!$U$6:$U$205,'Histórico de Gastos'!$B$6:$B$205,$A117))&lt;0.01,"Tudo certo",IF($Q117&gt;SUMIFS('Histórico de Gastos'!$U$6:$U$205,'Histórico de Gastos'!$B$6:$B$205,$A117),"Camilly deve para Pedro","Pedro deve para Camilly")))</x:f>
      </x:c>
      <x:c r="U117" s="36"/>
      <x:c r="V117" s="67" t="str">
        <x:f>IF($A117="","",IF(COUNTIFS('Checklist de Viagem'!$A$6:$A$205,$A117)=0,"Não",IF(COUNTIFS('Checklist de Viagem'!$A$6:$A$205,$A117,'Checklist de Viagem'!$H$6:$H$205,"Não")=0,"Sim","Não")))</x:f>
      </x:c>
      <x:c r="W117" s="36"/>
      <x:c r="X117" s="36"/>
      <x:c r="Y117" s="36"/>
      <x:c r="Z117" s="59"/>
      <x:c r="AA117" s="59"/>
      <x:c r="AB117" s="67" t="str">
        <x:f>IF($A117="","",IF($P117&gt;1,"Viagem acima do orçamento",IF(AND($K117&lt;&gt;"Concluída",$V117&lt;&gt;"Sim",$H117-TODAY()&lt;=15),"Viagem próxima sem checklist completo",IF($W117="","Passagem ainda não comprada",IF($X117="","Falta reservar hospedagem",IF($S117&gt;0,"Existe valor pendente de compensação","Tudo certo"))))))</x:f>
      </x:c>
      <x:c r="AC117" s="36"/>
    </x:row>
    <x:row r="118">
      <x:c r="A118" s="36"/>
      <x:c r="B118" s="36"/>
      <x:c r="C118" s="36"/>
      <x:c r="D118" s="36"/>
      <x:c r="E118" s="36"/>
      <x:c r="F118" s="36"/>
      <x:c r="G118" s="36"/>
      <x:c r="H118" s="59"/>
      <x:c r="I118" s="59"/>
      <x:c r="J118" s="61" t="str">
        <x:f>IF(OR($H118="",$I118=""),"",MAX($I118-$H118+1,1))</x:f>
      </x:c>
      <x:c r="K118" s="36"/>
      <x:c r="L118" s="36"/>
      <x:c r="M118" s="63" t="str">
        <x:f>IF($A118="","",SUMIFS('Custos Planejados - Pedro'!$G$6:$G$205,'Custos Planejados - Pedro'!$A$6:$A$205,$A118)+SUMIFS('Custos Planejados - Camilly'!$G$6:$G$205,'Custos Planejados - Camilly'!$A$6:$A$205,$A118))</x:f>
      </x:c>
      <x:c r="N118" s="63" t="str">
        <x:f>IF($A118="","",SUMIFS('Histórico de Gastos'!$J$6:$J$205,'Histórico de Gastos'!$B$6:$B$205,$A118))</x:f>
      </x:c>
      <x:c r="O118" s="63" t="str">
        <x:f>IF($A118="","",$M118-$N118)</x:f>
      </x:c>
      <x:c r="P118" s="65" t="str">
        <x:f>IF($A118="","",IFERROR($N118/$M118,0))</x:f>
      </x:c>
      <x:c r="Q118" s="63" t="str">
        <x:f>IF($A118="","",SUMIFS('Histórico de Gastos'!$W$6:$W$205,'Histórico de Gastos'!$B$6:$B$205,$A118))</x:f>
      </x:c>
      <x:c r="R118" s="63" t="str">
        <x:f>IF($A118="","",SUMIFS('Histórico de Gastos'!$X$6:$X$205,'Histórico de Gastos'!$B$6:$B$205,$A118))</x:f>
      </x:c>
      <x:c r="S118" s="63" t="str">
        <x:f>IF($A118="","",ABS($Q118-SUMIFS('Histórico de Gastos'!$U$6:$U$205,'Histórico de Gastos'!$B$6:$B$205,$A118)))</x:f>
      </x:c>
      <x:c r="T118" s="67" t="str">
        <x:f>IF($A118="","",IF(ABS($Q118-SUMIFS('Histórico de Gastos'!$U$6:$U$205,'Histórico de Gastos'!$B$6:$B$205,$A118))&lt;0.01,"Tudo certo",IF($Q118&gt;SUMIFS('Histórico de Gastos'!$U$6:$U$205,'Histórico de Gastos'!$B$6:$B$205,$A118),"Camilly deve para Pedro","Pedro deve para Camilly")))</x:f>
      </x:c>
      <x:c r="U118" s="36"/>
      <x:c r="V118" s="67" t="str">
        <x:f>IF($A118="","",IF(COUNTIFS('Checklist de Viagem'!$A$6:$A$205,$A118)=0,"Não",IF(COUNTIFS('Checklist de Viagem'!$A$6:$A$205,$A118,'Checklist de Viagem'!$H$6:$H$205,"Não")=0,"Sim","Não")))</x:f>
      </x:c>
      <x:c r="W118" s="36"/>
      <x:c r="X118" s="36"/>
      <x:c r="Y118" s="36"/>
      <x:c r="Z118" s="59"/>
      <x:c r="AA118" s="59"/>
      <x:c r="AB118" s="67" t="str">
        <x:f>IF($A118="","",IF($P118&gt;1,"Viagem acima do orçamento",IF(AND($K118&lt;&gt;"Concluída",$V118&lt;&gt;"Sim",$H118-TODAY()&lt;=15),"Viagem próxima sem checklist completo",IF($W118="","Passagem ainda não comprada",IF($X118="","Falta reservar hospedagem",IF($S118&gt;0,"Existe valor pendente de compensação","Tudo certo"))))))</x:f>
      </x:c>
      <x:c r="AC118" s="36"/>
    </x:row>
    <x:row r="119">
      <x:c r="A119" s="36"/>
      <x:c r="B119" s="36"/>
      <x:c r="C119" s="36"/>
      <x:c r="D119" s="36"/>
      <x:c r="E119" s="36"/>
      <x:c r="F119" s="36"/>
      <x:c r="G119" s="36"/>
      <x:c r="H119" s="59"/>
      <x:c r="I119" s="59"/>
      <x:c r="J119" s="61" t="str">
        <x:f>IF(OR($H119="",$I119=""),"",MAX($I119-$H119+1,1))</x:f>
      </x:c>
      <x:c r="K119" s="36"/>
      <x:c r="L119" s="36"/>
      <x:c r="M119" s="63" t="str">
        <x:f>IF($A119="","",SUMIFS('Custos Planejados - Pedro'!$G$6:$G$205,'Custos Planejados - Pedro'!$A$6:$A$205,$A119)+SUMIFS('Custos Planejados - Camilly'!$G$6:$G$205,'Custos Planejados - Camilly'!$A$6:$A$205,$A119))</x:f>
      </x:c>
      <x:c r="N119" s="63" t="str">
        <x:f>IF($A119="","",SUMIFS('Histórico de Gastos'!$J$6:$J$205,'Histórico de Gastos'!$B$6:$B$205,$A119))</x:f>
      </x:c>
      <x:c r="O119" s="63" t="str">
        <x:f>IF($A119="","",$M119-$N119)</x:f>
      </x:c>
      <x:c r="P119" s="65" t="str">
        <x:f>IF($A119="","",IFERROR($N119/$M119,0))</x:f>
      </x:c>
      <x:c r="Q119" s="63" t="str">
        <x:f>IF($A119="","",SUMIFS('Histórico de Gastos'!$W$6:$W$205,'Histórico de Gastos'!$B$6:$B$205,$A119))</x:f>
      </x:c>
      <x:c r="R119" s="63" t="str">
        <x:f>IF($A119="","",SUMIFS('Histórico de Gastos'!$X$6:$X$205,'Histórico de Gastos'!$B$6:$B$205,$A119))</x:f>
      </x:c>
      <x:c r="S119" s="63" t="str">
        <x:f>IF($A119="","",ABS($Q119-SUMIFS('Histórico de Gastos'!$U$6:$U$205,'Histórico de Gastos'!$B$6:$B$205,$A119)))</x:f>
      </x:c>
      <x:c r="T119" s="67" t="str">
        <x:f>IF($A119="","",IF(ABS($Q119-SUMIFS('Histórico de Gastos'!$U$6:$U$205,'Histórico de Gastos'!$B$6:$B$205,$A119))&lt;0.01,"Tudo certo",IF($Q119&gt;SUMIFS('Histórico de Gastos'!$U$6:$U$205,'Histórico de Gastos'!$B$6:$B$205,$A119),"Camilly deve para Pedro","Pedro deve para Camilly")))</x:f>
      </x:c>
      <x:c r="U119" s="36"/>
      <x:c r="V119" s="67" t="str">
        <x:f>IF($A119="","",IF(COUNTIFS('Checklist de Viagem'!$A$6:$A$205,$A119)=0,"Não",IF(COUNTIFS('Checklist de Viagem'!$A$6:$A$205,$A119,'Checklist de Viagem'!$H$6:$H$205,"Não")=0,"Sim","Não")))</x:f>
      </x:c>
      <x:c r="W119" s="36"/>
      <x:c r="X119" s="36"/>
      <x:c r="Y119" s="36"/>
      <x:c r="Z119" s="59"/>
      <x:c r="AA119" s="59"/>
      <x:c r="AB119" s="67" t="str">
        <x:f>IF($A119="","",IF($P119&gt;1,"Viagem acima do orçamento",IF(AND($K119&lt;&gt;"Concluída",$V119&lt;&gt;"Sim",$H119-TODAY()&lt;=15),"Viagem próxima sem checklist completo",IF($W119="","Passagem ainda não comprada",IF($X119="","Falta reservar hospedagem",IF($S119&gt;0,"Existe valor pendente de compensação","Tudo certo"))))))</x:f>
      </x:c>
      <x:c r="AC119" s="36"/>
    </x:row>
    <x:row r="120">
      <x:c r="A120" s="36"/>
      <x:c r="B120" s="36"/>
      <x:c r="C120" s="36"/>
      <x:c r="D120" s="36"/>
      <x:c r="E120" s="36"/>
      <x:c r="F120" s="36"/>
      <x:c r="G120" s="36"/>
      <x:c r="H120" s="59"/>
      <x:c r="I120" s="59"/>
      <x:c r="J120" s="61" t="str">
        <x:f>IF(OR($H120="",$I120=""),"",MAX($I120-$H120+1,1))</x:f>
      </x:c>
      <x:c r="K120" s="36"/>
      <x:c r="L120" s="36"/>
      <x:c r="M120" s="63" t="str">
        <x:f>IF($A120="","",SUMIFS('Custos Planejados - Pedro'!$G$6:$G$205,'Custos Planejados - Pedro'!$A$6:$A$205,$A120)+SUMIFS('Custos Planejados - Camilly'!$G$6:$G$205,'Custos Planejados - Camilly'!$A$6:$A$205,$A120))</x:f>
      </x:c>
      <x:c r="N120" s="63" t="str">
        <x:f>IF($A120="","",SUMIFS('Histórico de Gastos'!$J$6:$J$205,'Histórico de Gastos'!$B$6:$B$205,$A120))</x:f>
      </x:c>
      <x:c r="O120" s="63" t="str">
        <x:f>IF($A120="","",$M120-$N120)</x:f>
      </x:c>
      <x:c r="P120" s="65" t="str">
        <x:f>IF($A120="","",IFERROR($N120/$M120,0))</x:f>
      </x:c>
      <x:c r="Q120" s="63" t="str">
        <x:f>IF($A120="","",SUMIFS('Histórico de Gastos'!$W$6:$W$205,'Histórico de Gastos'!$B$6:$B$205,$A120))</x:f>
      </x:c>
      <x:c r="R120" s="63" t="str">
        <x:f>IF($A120="","",SUMIFS('Histórico de Gastos'!$X$6:$X$205,'Histórico de Gastos'!$B$6:$B$205,$A120))</x:f>
      </x:c>
      <x:c r="S120" s="63" t="str">
        <x:f>IF($A120="","",ABS($Q120-SUMIFS('Histórico de Gastos'!$U$6:$U$205,'Histórico de Gastos'!$B$6:$B$205,$A120)))</x:f>
      </x:c>
      <x:c r="T120" s="67" t="str">
        <x:f>IF($A120="","",IF(ABS($Q120-SUMIFS('Histórico de Gastos'!$U$6:$U$205,'Histórico de Gastos'!$B$6:$B$205,$A120))&lt;0.01,"Tudo certo",IF($Q120&gt;SUMIFS('Histórico de Gastos'!$U$6:$U$205,'Histórico de Gastos'!$B$6:$B$205,$A120),"Camilly deve para Pedro","Pedro deve para Camilly")))</x:f>
      </x:c>
      <x:c r="U120" s="36"/>
      <x:c r="V120" s="67" t="str">
        <x:f>IF($A120="","",IF(COUNTIFS('Checklist de Viagem'!$A$6:$A$205,$A120)=0,"Não",IF(COUNTIFS('Checklist de Viagem'!$A$6:$A$205,$A120,'Checklist de Viagem'!$H$6:$H$205,"Não")=0,"Sim","Não")))</x:f>
      </x:c>
      <x:c r="W120" s="36"/>
      <x:c r="X120" s="36"/>
      <x:c r="Y120" s="36"/>
      <x:c r="Z120" s="59"/>
      <x:c r="AA120" s="59"/>
      <x:c r="AB120" s="67" t="str">
        <x:f>IF($A120="","",IF($P120&gt;1,"Viagem acima do orçamento",IF(AND($K120&lt;&gt;"Concluída",$V120&lt;&gt;"Sim",$H120-TODAY()&lt;=15),"Viagem próxima sem checklist completo",IF($W120="","Passagem ainda não comprada",IF($X120="","Falta reservar hospedagem",IF($S120&gt;0,"Existe valor pendente de compensação","Tudo certo"))))))</x:f>
      </x:c>
      <x:c r="AC120" s="36"/>
    </x:row>
    <x:row r="121">
      <x:c r="A121" s="36"/>
      <x:c r="B121" s="36"/>
      <x:c r="C121" s="36"/>
      <x:c r="D121" s="36"/>
      <x:c r="E121" s="36"/>
      <x:c r="F121" s="36"/>
      <x:c r="G121" s="36"/>
      <x:c r="H121" s="59"/>
      <x:c r="I121" s="59"/>
      <x:c r="J121" s="61" t="str">
        <x:f>IF(OR($H121="",$I121=""),"",MAX($I121-$H121+1,1))</x:f>
      </x:c>
      <x:c r="K121" s="36"/>
      <x:c r="L121" s="36"/>
      <x:c r="M121" s="63" t="str">
        <x:f>IF($A121="","",SUMIFS('Custos Planejados - Pedro'!$G$6:$G$205,'Custos Planejados - Pedro'!$A$6:$A$205,$A121)+SUMIFS('Custos Planejados - Camilly'!$G$6:$G$205,'Custos Planejados - Camilly'!$A$6:$A$205,$A121))</x:f>
      </x:c>
      <x:c r="N121" s="63" t="str">
        <x:f>IF($A121="","",SUMIFS('Histórico de Gastos'!$J$6:$J$205,'Histórico de Gastos'!$B$6:$B$205,$A121))</x:f>
      </x:c>
      <x:c r="O121" s="63" t="str">
        <x:f>IF($A121="","",$M121-$N121)</x:f>
      </x:c>
      <x:c r="P121" s="65" t="str">
        <x:f>IF($A121="","",IFERROR($N121/$M121,0))</x:f>
      </x:c>
      <x:c r="Q121" s="63" t="str">
        <x:f>IF($A121="","",SUMIFS('Histórico de Gastos'!$W$6:$W$205,'Histórico de Gastos'!$B$6:$B$205,$A121))</x:f>
      </x:c>
      <x:c r="R121" s="63" t="str">
        <x:f>IF($A121="","",SUMIFS('Histórico de Gastos'!$X$6:$X$205,'Histórico de Gastos'!$B$6:$B$205,$A121))</x:f>
      </x:c>
      <x:c r="S121" s="63" t="str">
        <x:f>IF($A121="","",ABS($Q121-SUMIFS('Histórico de Gastos'!$U$6:$U$205,'Histórico de Gastos'!$B$6:$B$205,$A121)))</x:f>
      </x:c>
      <x:c r="T121" s="67" t="str">
        <x:f>IF($A121="","",IF(ABS($Q121-SUMIFS('Histórico de Gastos'!$U$6:$U$205,'Histórico de Gastos'!$B$6:$B$205,$A121))&lt;0.01,"Tudo certo",IF($Q121&gt;SUMIFS('Histórico de Gastos'!$U$6:$U$205,'Histórico de Gastos'!$B$6:$B$205,$A121),"Camilly deve para Pedro","Pedro deve para Camilly")))</x:f>
      </x:c>
      <x:c r="U121" s="36"/>
      <x:c r="V121" s="67" t="str">
        <x:f>IF($A121="","",IF(COUNTIFS('Checklist de Viagem'!$A$6:$A$205,$A121)=0,"Não",IF(COUNTIFS('Checklist de Viagem'!$A$6:$A$205,$A121,'Checklist de Viagem'!$H$6:$H$205,"Não")=0,"Sim","Não")))</x:f>
      </x:c>
      <x:c r="W121" s="36"/>
      <x:c r="X121" s="36"/>
      <x:c r="Y121" s="36"/>
      <x:c r="Z121" s="59"/>
      <x:c r="AA121" s="59"/>
      <x:c r="AB121" s="67" t="str">
        <x:f>IF($A121="","",IF($P121&gt;1,"Viagem acima do orçamento",IF(AND($K121&lt;&gt;"Concluída",$V121&lt;&gt;"Sim",$H121-TODAY()&lt;=15),"Viagem próxima sem checklist completo",IF($W121="","Passagem ainda não comprada",IF($X121="","Falta reservar hospedagem",IF($S121&gt;0,"Existe valor pendente de compensação","Tudo certo"))))))</x:f>
      </x:c>
      <x:c r="AC121" s="36"/>
    </x:row>
    <x:row r="122">
      <x:c r="A122" s="36"/>
      <x:c r="B122" s="36"/>
      <x:c r="C122" s="36"/>
      <x:c r="D122" s="36"/>
      <x:c r="E122" s="36"/>
      <x:c r="F122" s="36"/>
      <x:c r="G122" s="36"/>
      <x:c r="H122" s="59"/>
      <x:c r="I122" s="59"/>
      <x:c r="J122" s="61" t="str">
        <x:f>IF(OR($H122="",$I122=""),"",MAX($I122-$H122+1,1))</x:f>
      </x:c>
      <x:c r="K122" s="36"/>
      <x:c r="L122" s="36"/>
      <x:c r="M122" s="63" t="str">
        <x:f>IF($A122="","",SUMIFS('Custos Planejados - Pedro'!$G$6:$G$205,'Custos Planejados - Pedro'!$A$6:$A$205,$A122)+SUMIFS('Custos Planejados - Camilly'!$G$6:$G$205,'Custos Planejados - Camilly'!$A$6:$A$205,$A122))</x:f>
      </x:c>
      <x:c r="N122" s="63" t="str">
        <x:f>IF($A122="","",SUMIFS('Histórico de Gastos'!$J$6:$J$205,'Histórico de Gastos'!$B$6:$B$205,$A122))</x:f>
      </x:c>
      <x:c r="O122" s="63" t="str">
        <x:f>IF($A122="","",$M122-$N122)</x:f>
      </x:c>
      <x:c r="P122" s="65" t="str">
        <x:f>IF($A122="","",IFERROR($N122/$M122,0))</x:f>
      </x:c>
      <x:c r="Q122" s="63" t="str">
        <x:f>IF($A122="","",SUMIFS('Histórico de Gastos'!$W$6:$W$205,'Histórico de Gastos'!$B$6:$B$205,$A122))</x:f>
      </x:c>
      <x:c r="R122" s="63" t="str">
        <x:f>IF($A122="","",SUMIFS('Histórico de Gastos'!$X$6:$X$205,'Histórico de Gastos'!$B$6:$B$205,$A122))</x:f>
      </x:c>
      <x:c r="S122" s="63" t="str">
        <x:f>IF($A122="","",ABS($Q122-SUMIFS('Histórico de Gastos'!$U$6:$U$205,'Histórico de Gastos'!$B$6:$B$205,$A122)))</x:f>
      </x:c>
      <x:c r="T122" s="67" t="str">
        <x:f>IF($A122="","",IF(ABS($Q122-SUMIFS('Histórico de Gastos'!$U$6:$U$205,'Histórico de Gastos'!$B$6:$B$205,$A122))&lt;0.01,"Tudo certo",IF($Q122&gt;SUMIFS('Histórico de Gastos'!$U$6:$U$205,'Histórico de Gastos'!$B$6:$B$205,$A122),"Camilly deve para Pedro","Pedro deve para Camilly")))</x:f>
      </x:c>
      <x:c r="U122" s="36"/>
      <x:c r="V122" s="67" t="str">
        <x:f>IF($A122="","",IF(COUNTIFS('Checklist de Viagem'!$A$6:$A$205,$A122)=0,"Não",IF(COUNTIFS('Checklist de Viagem'!$A$6:$A$205,$A122,'Checklist de Viagem'!$H$6:$H$205,"Não")=0,"Sim","Não")))</x:f>
      </x:c>
      <x:c r="W122" s="36"/>
      <x:c r="X122" s="36"/>
      <x:c r="Y122" s="36"/>
      <x:c r="Z122" s="59"/>
      <x:c r="AA122" s="59"/>
      <x:c r="AB122" s="67" t="str">
        <x:f>IF($A122="","",IF($P122&gt;1,"Viagem acima do orçamento",IF(AND($K122&lt;&gt;"Concluída",$V122&lt;&gt;"Sim",$H122-TODAY()&lt;=15),"Viagem próxima sem checklist completo",IF($W122="","Passagem ainda não comprada",IF($X122="","Falta reservar hospedagem",IF($S122&gt;0,"Existe valor pendente de compensação","Tudo certo"))))))</x:f>
      </x:c>
      <x:c r="AC122" s="36"/>
    </x:row>
    <x:row r="123">
      <x:c r="A123" s="36"/>
      <x:c r="B123" s="36"/>
      <x:c r="C123" s="36"/>
      <x:c r="D123" s="36"/>
      <x:c r="E123" s="36"/>
      <x:c r="F123" s="36"/>
      <x:c r="G123" s="36"/>
      <x:c r="H123" s="59"/>
      <x:c r="I123" s="59"/>
      <x:c r="J123" s="61" t="str">
        <x:f>IF(OR($H123="",$I123=""),"",MAX($I123-$H123+1,1))</x:f>
      </x:c>
      <x:c r="K123" s="36"/>
      <x:c r="L123" s="36"/>
      <x:c r="M123" s="63" t="str">
        <x:f>IF($A123="","",SUMIFS('Custos Planejados - Pedro'!$G$6:$G$205,'Custos Planejados - Pedro'!$A$6:$A$205,$A123)+SUMIFS('Custos Planejados - Camilly'!$G$6:$G$205,'Custos Planejados - Camilly'!$A$6:$A$205,$A123))</x:f>
      </x:c>
      <x:c r="N123" s="63" t="str">
        <x:f>IF($A123="","",SUMIFS('Histórico de Gastos'!$J$6:$J$205,'Histórico de Gastos'!$B$6:$B$205,$A123))</x:f>
      </x:c>
      <x:c r="O123" s="63" t="str">
        <x:f>IF($A123="","",$M123-$N123)</x:f>
      </x:c>
      <x:c r="P123" s="65" t="str">
        <x:f>IF($A123="","",IFERROR($N123/$M123,0))</x:f>
      </x:c>
      <x:c r="Q123" s="63" t="str">
        <x:f>IF($A123="","",SUMIFS('Histórico de Gastos'!$W$6:$W$205,'Histórico de Gastos'!$B$6:$B$205,$A123))</x:f>
      </x:c>
      <x:c r="R123" s="63" t="str">
        <x:f>IF($A123="","",SUMIFS('Histórico de Gastos'!$X$6:$X$205,'Histórico de Gastos'!$B$6:$B$205,$A123))</x:f>
      </x:c>
      <x:c r="S123" s="63" t="str">
        <x:f>IF($A123="","",ABS($Q123-SUMIFS('Histórico de Gastos'!$U$6:$U$205,'Histórico de Gastos'!$B$6:$B$205,$A123)))</x:f>
      </x:c>
      <x:c r="T123" s="67" t="str">
        <x:f>IF($A123="","",IF(ABS($Q123-SUMIFS('Histórico de Gastos'!$U$6:$U$205,'Histórico de Gastos'!$B$6:$B$205,$A123))&lt;0.01,"Tudo certo",IF($Q123&gt;SUMIFS('Histórico de Gastos'!$U$6:$U$205,'Histórico de Gastos'!$B$6:$B$205,$A123),"Camilly deve para Pedro","Pedro deve para Camilly")))</x:f>
      </x:c>
      <x:c r="U123" s="36"/>
      <x:c r="V123" s="67" t="str">
        <x:f>IF($A123="","",IF(COUNTIFS('Checklist de Viagem'!$A$6:$A$205,$A123)=0,"Não",IF(COUNTIFS('Checklist de Viagem'!$A$6:$A$205,$A123,'Checklist de Viagem'!$H$6:$H$205,"Não")=0,"Sim","Não")))</x:f>
      </x:c>
      <x:c r="W123" s="36"/>
      <x:c r="X123" s="36"/>
      <x:c r="Y123" s="36"/>
      <x:c r="Z123" s="59"/>
      <x:c r="AA123" s="59"/>
      <x:c r="AB123" s="67" t="str">
        <x:f>IF($A123="","",IF($P123&gt;1,"Viagem acima do orçamento",IF(AND($K123&lt;&gt;"Concluída",$V123&lt;&gt;"Sim",$H123-TODAY()&lt;=15),"Viagem próxima sem checklist completo",IF($W123="","Passagem ainda não comprada",IF($X123="","Falta reservar hospedagem",IF($S123&gt;0,"Existe valor pendente de compensação","Tudo certo"))))))</x:f>
      </x:c>
      <x:c r="AC123" s="36"/>
    </x:row>
    <x:row r="124">
      <x:c r="A124" s="36"/>
      <x:c r="B124" s="36"/>
      <x:c r="C124" s="36"/>
      <x:c r="D124" s="36"/>
      <x:c r="E124" s="36"/>
      <x:c r="F124" s="36"/>
      <x:c r="G124" s="36"/>
      <x:c r="H124" s="59"/>
      <x:c r="I124" s="59"/>
      <x:c r="J124" s="61" t="str">
        <x:f>IF(OR($H124="",$I124=""),"",MAX($I124-$H124+1,1))</x:f>
      </x:c>
      <x:c r="K124" s="36"/>
      <x:c r="L124" s="36"/>
      <x:c r="M124" s="63" t="str">
        <x:f>IF($A124="","",SUMIFS('Custos Planejados - Pedro'!$G$6:$G$205,'Custos Planejados - Pedro'!$A$6:$A$205,$A124)+SUMIFS('Custos Planejados - Camilly'!$G$6:$G$205,'Custos Planejados - Camilly'!$A$6:$A$205,$A124))</x:f>
      </x:c>
      <x:c r="N124" s="63" t="str">
        <x:f>IF($A124="","",SUMIFS('Histórico de Gastos'!$J$6:$J$205,'Histórico de Gastos'!$B$6:$B$205,$A124))</x:f>
      </x:c>
      <x:c r="O124" s="63" t="str">
        <x:f>IF($A124="","",$M124-$N124)</x:f>
      </x:c>
      <x:c r="P124" s="65" t="str">
        <x:f>IF($A124="","",IFERROR($N124/$M124,0))</x:f>
      </x:c>
      <x:c r="Q124" s="63" t="str">
        <x:f>IF($A124="","",SUMIFS('Histórico de Gastos'!$W$6:$W$205,'Histórico de Gastos'!$B$6:$B$205,$A124))</x:f>
      </x:c>
      <x:c r="R124" s="63" t="str">
        <x:f>IF($A124="","",SUMIFS('Histórico de Gastos'!$X$6:$X$205,'Histórico de Gastos'!$B$6:$B$205,$A124))</x:f>
      </x:c>
      <x:c r="S124" s="63" t="str">
        <x:f>IF($A124="","",ABS($Q124-SUMIFS('Histórico de Gastos'!$U$6:$U$205,'Histórico de Gastos'!$B$6:$B$205,$A124)))</x:f>
      </x:c>
      <x:c r="T124" s="67" t="str">
        <x:f>IF($A124="","",IF(ABS($Q124-SUMIFS('Histórico de Gastos'!$U$6:$U$205,'Histórico de Gastos'!$B$6:$B$205,$A124))&lt;0.01,"Tudo certo",IF($Q124&gt;SUMIFS('Histórico de Gastos'!$U$6:$U$205,'Histórico de Gastos'!$B$6:$B$205,$A124),"Camilly deve para Pedro","Pedro deve para Camilly")))</x:f>
      </x:c>
      <x:c r="U124" s="36"/>
      <x:c r="V124" s="67" t="str">
        <x:f>IF($A124="","",IF(COUNTIFS('Checklist de Viagem'!$A$6:$A$205,$A124)=0,"Não",IF(COUNTIFS('Checklist de Viagem'!$A$6:$A$205,$A124,'Checklist de Viagem'!$H$6:$H$205,"Não")=0,"Sim","Não")))</x:f>
      </x:c>
      <x:c r="W124" s="36"/>
      <x:c r="X124" s="36"/>
      <x:c r="Y124" s="36"/>
      <x:c r="Z124" s="59"/>
      <x:c r="AA124" s="59"/>
      <x:c r="AB124" s="67" t="str">
        <x:f>IF($A124="","",IF($P124&gt;1,"Viagem acima do orçamento",IF(AND($K124&lt;&gt;"Concluída",$V124&lt;&gt;"Sim",$H124-TODAY()&lt;=15),"Viagem próxima sem checklist completo",IF($W124="","Passagem ainda não comprada",IF($X124="","Falta reservar hospedagem",IF($S124&gt;0,"Existe valor pendente de compensação","Tudo certo"))))))</x:f>
      </x:c>
      <x:c r="AC124" s="36"/>
    </x:row>
    <x:row r="125">
      <x:c r="A125" s="36"/>
      <x:c r="B125" s="36"/>
      <x:c r="C125" s="36"/>
      <x:c r="D125" s="36"/>
      <x:c r="E125" s="36"/>
      <x:c r="F125" s="36"/>
      <x:c r="G125" s="36"/>
      <x:c r="H125" s="59"/>
      <x:c r="I125" s="59"/>
      <x:c r="J125" s="61" t="str">
        <x:f>IF(OR($H125="",$I125=""),"",MAX($I125-$H125+1,1))</x:f>
      </x:c>
      <x:c r="K125" s="36"/>
      <x:c r="L125" s="36"/>
      <x:c r="M125" s="63" t="str">
        <x:f>IF($A125="","",SUMIFS('Custos Planejados - Pedro'!$G$6:$G$205,'Custos Planejados - Pedro'!$A$6:$A$205,$A125)+SUMIFS('Custos Planejados - Camilly'!$G$6:$G$205,'Custos Planejados - Camilly'!$A$6:$A$205,$A125))</x:f>
      </x:c>
      <x:c r="N125" s="63" t="str">
        <x:f>IF($A125="","",SUMIFS('Histórico de Gastos'!$J$6:$J$205,'Histórico de Gastos'!$B$6:$B$205,$A125))</x:f>
      </x:c>
      <x:c r="O125" s="63" t="str">
        <x:f>IF($A125="","",$M125-$N125)</x:f>
      </x:c>
      <x:c r="P125" s="65" t="str">
        <x:f>IF($A125="","",IFERROR($N125/$M125,0))</x:f>
      </x:c>
      <x:c r="Q125" s="63" t="str">
        <x:f>IF($A125="","",SUMIFS('Histórico de Gastos'!$W$6:$W$205,'Histórico de Gastos'!$B$6:$B$205,$A125))</x:f>
      </x:c>
      <x:c r="R125" s="63" t="str">
        <x:f>IF($A125="","",SUMIFS('Histórico de Gastos'!$X$6:$X$205,'Histórico de Gastos'!$B$6:$B$205,$A125))</x:f>
      </x:c>
      <x:c r="S125" s="63" t="str">
        <x:f>IF($A125="","",ABS($Q125-SUMIFS('Histórico de Gastos'!$U$6:$U$205,'Histórico de Gastos'!$B$6:$B$205,$A125)))</x:f>
      </x:c>
      <x:c r="T125" s="67" t="str">
        <x:f>IF($A125="","",IF(ABS($Q125-SUMIFS('Histórico de Gastos'!$U$6:$U$205,'Histórico de Gastos'!$B$6:$B$205,$A125))&lt;0.01,"Tudo certo",IF($Q125&gt;SUMIFS('Histórico de Gastos'!$U$6:$U$205,'Histórico de Gastos'!$B$6:$B$205,$A125),"Camilly deve para Pedro","Pedro deve para Camilly")))</x:f>
      </x:c>
      <x:c r="U125" s="36"/>
      <x:c r="V125" s="67" t="str">
        <x:f>IF($A125="","",IF(COUNTIFS('Checklist de Viagem'!$A$6:$A$205,$A125)=0,"Não",IF(COUNTIFS('Checklist de Viagem'!$A$6:$A$205,$A125,'Checklist de Viagem'!$H$6:$H$205,"Não")=0,"Sim","Não")))</x:f>
      </x:c>
      <x:c r="W125" s="36"/>
      <x:c r="X125" s="36"/>
      <x:c r="Y125" s="36"/>
      <x:c r="Z125" s="59"/>
      <x:c r="AA125" s="59"/>
      <x:c r="AB125" s="67" t="str">
        <x:f>IF($A125="","",IF($P125&gt;1,"Viagem acima do orçamento",IF(AND($K125&lt;&gt;"Concluída",$V125&lt;&gt;"Sim",$H125-TODAY()&lt;=15),"Viagem próxima sem checklist completo",IF($W125="","Passagem ainda não comprada",IF($X125="","Falta reservar hospedagem",IF($S125&gt;0,"Existe valor pendente de compensação","Tudo certo"))))))</x:f>
      </x:c>
      <x:c r="AC125" s="36"/>
    </x:row>
    <x:row r="126">
      <x:c r="A126" s="36"/>
      <x:c r="B126" s="36"/>
      <x:c r="C126" s="36"/>
      <x:c r="D126" s="36"/>
      <x:c r="E126" s="36"/>
      <x:c r="F126" s="36"/>
      <x:c r="G126" s="36"/>
      <x:c r="H126" s="59"/>
      <x:c r="I126" s="59"/>
      <x:c r="J126" s="61" t="str">
        <x:f>IF(OR($H126="",$I126=""),"",MAX($I126-$H126+1,1))</x:f>
      </x:c>
      <x:c r="K126" s="36"/>
      <x:c r="L126" s="36"/>
      <x:c r="M126" s="63" t="str">
        <x:f>IF($A126="","",SUMIFS('Custos Planejados - Pedro'!$G$6:$G$205,'Custos Planejados - Pedro'!$A$6:$A$205,$A126)+SUMIFS('Custos Planejados - Camilly'!$G$6:$G$205,'Custos Planejados - Camilly'!$A$6:$A$205,$A126))</x:f>
      </x:c>
      <x:c r="N126" s="63" t="str">
        <x:f>IF($A126="","",SUMIFS('Histórico de Gastos'!$J$6:$J$205,'Histórico de Gastos'!$B$6:$B$205,$A126))</x:f>
      </x:c>
      <x:c r="O126" s="63" t="str">
        <x:f>IF($A126="","",$M126-$N126)</x:f>
      </x:c>
      <x:c r="P126" s="65" t="str">
        <x:f>IF($A126="","",IFERROR($N126/$M126,0))</x:f>
      </x:c>
      <x:c r="Q126" s="63" t="str">
        <x:f>IF($A126="","",SUMIFS('Histórico de Gastos'!$W$6:$W$205,'Histórico de Gastos'!$B$6:$B$205,$A126))</x:f>
      </x:c>
      <x:c r="R126" s="63" t="str">
        <x:f>IF($A126="","",SUMIFS('Histórico de Gastos'!$X$6:$X$205,'Histórico de Gastos'!$B$6:$B$205,$A126))</x:f>
      </x:c>
      <x:c r="S126" s="63" t="str">
        <x:f>IF($A126="","",ABS($Q126-SUMIFS('Histórico de Gastos'!$U$6:$U$205,'Histórico de Gastos'!$B$6:$B$205,$A126)))</x:f>
      </x:c>
      <x:c r="T126" s="67" t="str">
        <x:f>IF($A126="","",IF(ABS($Q126-SUMIFS('Histórico de Gastos'!$U$6:$U$205,'Histórico de Gastos'!$B$6:$B$205,$A126))&lt;0.01,"Tudo certo",IF($Q126&gt;SUMIFS('Histórico de Gastos'!$U$6:$U$205,'Histórico de Gastos'!$B$6:$B$205,$A126),"Camilly deve para Pedro","Pedro deve para Camilly")))</x:f>
      </x:c>
      <x:c r="U126" s="36"/>
      <x:c r="V126" s="67" t="str">
        <x:f>IF($A126="","",IF(COUNTIFS('Checklist de Viagem'!$A$6:$A$205,$A126)=0,"Não",IF(COUNTIFS('Checklist de Viagem'!$A$6:$A$205,$A126,'Checklist de Viagem'!$H$6:$H$205,"Não")=0,"Sim","Não")))</x:f>
      </x:c>
      <x:c r="W126" s="36"/>
      <x:c r="X126" s="36"/>
      <x:c r="Y126" s="36"/>
      <x:c r="Z126" s="59"/>
      <x:c r="AA126" s="59"/>
      <x:c r="AB126" s="67" t="str">
        <x:f>IF($A126="","",IF($P126&gt;1,"Viagem acima do orçamento",IF(AND($K126&lt;&gt;"Concluída",$V126&lt;&gt;"Sim",$H126-TODAY()&lt;=15),"Viagem próxima sem checklist completo",IF($W126="","Passagem ainda não comprada",IF($X126="","Falta reservar hospedagem",IF($S126&gt;0,"Existe valor pendente de compensação","Tudo certo"))))))</x:f>
      </x:c>
      <x:c r="AC126" s="36"/>
    </x:row>
    <x:row r="127">
      <x:c r="A127" s="36"/>
      <x:c r="B127" s="36"/>
      <x:c r="C127" s="36"/>
      <x:c r="D127" s="36"/>
      <x:c r="E127" s="36"/>
      <x:c r="F127" s="36"/>
      <x:c r="G127" s="36"/>
      <x:c r="H127" s="59"/>
      <x:c r="I127" s="59"/>
      <x:c r="J127" s="61" t="str">
        <x:f>IF(OR($H127="",$I127=""),"",MAX($I127-$H127+1,1))</x:f>
      </x:c>
      <x:c r="K127" s="36"/>
      <x:c r="L127" s="36"/>
      <x:c r="M127" s="63" t="str">
        <x:f>IF($A127="","",SUMIFS('Custos Planejados - Pedro'!$G$6:$G$205,'Custos Planejados - Pedro'!$A$6:$A$205,$A127)+SUMIFS('Custos Planejados - Camilly'!$G$6:$G$205,'Custos Planejados - Camilly'!$A$6:$A$205,$A127))</x:f>
      </x:c>
      <x:c r="N127" s="63" t="str">
        <x:f>IF($A127="","",SUMIFS('Histórico de Gastos'!$J$6:$J$205,'Histórico de Gastos'!$B$6:$B$205,$A127))</x:f>
      </x:c>
      <x:c r="O127" s="63" t="str">
        <x:f>IF($A127="","",$M127-$N127)</x:f>
      </x:c>
      <x:c r="P127" s="65" t="str">
        <x:f>IF($A127="","",IFERROR($N127/$M127,0))</x:f>
      </x:c>
      <x:c r="Q127" s="63" t="str">
        <x:f>IF($A127="","",SUMIFS('Histórico de Gastos'!$W$6:$W$205,'Histórico de Gastos'!$B$6:$B$205,$A127))</x:f>
      </x:c>
      <x:c r="R127" s="63" t="str">
        <x:f>IF($A127="","",SUMIFS('Histórico de Gastos'!$X$6:$X$205,'Histórico de Gastos'!$B$6:$B$205,$A127))</x:f>
      </x:c>
      <x:c r="S127" s="63" t="str">
        <x:f>IF($A127="","",ABS($Q127-SUMIFS('Histórico de Gastos'!$U$6:$U$205,'Histórico de Gastos'!$B$6:$B$205,$A127)))</x:f>
      </x:c>
      <x:c r="T127" s="67" t="str">
        <x:f>IF($A127="","",IF(ABS($Q127-SUMIFS('Histórico de Gastos'!$U$6:$U$205,'Histórico de Gastos'!$B$6:$B$205,$A127))&lt;0.01,"Tudo certo",IF($Q127&gt;SUMIFS('Histórico de Gastos'!$U$6:$U$205,'Histórico de Gastos'!$B$6:$B$205,$A127),"Camilly deve para Pedro","Pedro deve para Camilly")))</x:f>
      </x:c>
      <x:c r="U127" s="36"/>
      <x:c r="V127" s="67" t="str">
        <x:f>IF($A127="","",IF(COUNTIFS('Checklist de Viagem'!$A$6:$A$205,$A127)=0,"Não",IF(COUNTIFS('Checklist de Viagem'!$A$6:$A$205,$A127,'Checklist de Viagem'!$H$6:$H$205,"Não")=0,"Sim","Não")))</x:f>
      </x:c>
      <x:c r="W127" s="36"/>
      <x:c r="X127" s="36"/>
      <x:c r="Y127" s="36"/>
      <x:c r="Z127" s="59"/>
      <x:c r="AA127" s="59"/>
      <x:c r="AB127" s="67" t="str">
        <x:f>IF($A127="","",IF($P127&gt;1,"Viagem acima do orçamento",IF(AND($K127&lt;&gt;"Concluída",$V127&lt;&gt;"Sim",$H127-TODAY()&lt;=15),"Viagem próxima sem checklist completo",IF($W127="","Passagem ainda não comprada",IF($X127="","Falta reservar hospedagem",IF($S127&gt;0,"Existe valor pendente de compensação","Tudo certo"))))))</x:f>
      </x:c>
      <x:c r="AC127" s="36"/>
    </x:row>
    <x:row r="128">
      <x:c r="A128" s="36"/>
      <x:c r="B128" s="36"/>
      <x:c r="C128" s="36"/>
      <x:c r="D128" s="36"/>
      <x:c r="E128" s="36"/>
      <x:c r="F128" s="36"/>
      <x:c r="G128" s="36"/>
      <x:c r="H128" s="59"/>
      <x:c r="I128" s="59"/>
      <x:c r="J128" s="61" t="str">
        <x:f>IF(OR($H128="",$I128=""),"",MAX($I128-$H128+1,1))</x:f>
      </x:c>
      <x:c r="K128" s="36"/>
      <x:c r="L128" s="36"/>
      <x:c r="M128" s="63" t="str">
        <x:f>IF($A128="","",SUMIFS('Custos Planejados - Pedro'!$G$6:$G$205,'Custos Planejados - Pedro'!$A$6:$A$205,$A128)+SUMIFS('Custos Planejados - Camilly'!$G$6:$G$205,'Custos Planejados - Camilly'!$A$6:$A$205,$A128))</x:f>
      </x:c>
      <x:c r="N128" s="63" t="str">
        <x:f>IF($A128="","",SUMIFS('Histórico de Gastos'!$J$6:$J$205,'Histórico de Gastos'!$B$6:$B$205,$A128))</x:f>
      </x:c>
      <x:c r="O128" s="63" t="str">
        <x:f>IF($A128="","",$M128-$N128)</x:f>
      </x:c>
      <x:c r="P128" s="65" t="str">
        <x:f>IF($A128="","",IFERROR($N128/$M128,0))</x:f>
      </x:c>
      <x:c r="Q128" s="63" t="str">
        <x:f>IF($A128="","",SUMIFS('Histórico de Gastos'!$W$6:$W$205,'Histórico de Gastos'!$B$6:$B$205,$A128))</x:f>
      </x:c>
      <x:c r="R128" s="63" t="str">
        <x:f>IF($A128="","",SUMIFS('Histórico de Gastos'!$X$6:$X$205,'Histórico de Gastos'!$B$6:$B$205,$A128))</x:f>
      </x:c>
      <x:c r="S128" s="63" t="str">
        <x:f>IF($A128="","",ABS($Q128-SUMIFS('Histórico de Gastos'!$U$6:$U$205,'Histórico de Gastos'!$B$6:$B$205,$A128)))</x:f>
      </x:c>
      <x:c r="T128" s="67" t="str">
        <x:f>IF($A128="","",IF(ABS($Q128-SUMIFS('Histórico de Gastos'!$U$6:$U$205,'Histórico de Gastos'!$B$6:$B$205,$A128))&lt;0.01,"Tudo certo",IF($Q128&gt;SUMIFS('Histórico de Gastos'!$U$6:$U$205,'Histórico de Gastos'!$B$6:$B$205,$A128),"Camilly deve para Pedro","Pedro deve para Camilly")))</x:f>
      </x:c>
      <x:c r="U128" s="36"/>
      <x:c r="V128" s="67" t="str">
        <x:f>IF($A128="","",IF(COUNTIFS('Checklist de Viagem'!$A$6:$A$205,$A128)=0,"Não",IF(COUNTIFS('Checklist de Viagem'!$A$6:$A$205,$A128,'Checklist de Viagem'!$H$6:$H$205,"Não")=0,"Sim","Não")))</x:f>
      </x:c>
      <x:c r="W128" s="36"/>
      <x:c r="X128" s="36"/>
      <x:c r="Y128" s="36"/>
      <x:c r="Z128" s="59"/>
      <x:c r="AA128" s="59"/>
      <x:c r="AB128" s="67" t="str">
        <x:f>IF($A128="","",IF($P128&gt;1,"Viagem acima do orçamento",IF(AND($K128&lt;&gt;"Concluída",$V128&lt;&gt;"Sim",$H128-TODAY()&lt;=15),"Viagem próxima sem checklist completo",IF($W128="","Passagem ainda não comprada",IF($X128="","Falta reservar hospedagem",IF($S128&gt;0,"Existe valor pendente de compensação","Tudo certo"))))))</x:f>
      </x:c>
      <x:c r="AC128" s="36"/>
    </x:row>
    <x:row r="129">
      <x:c r="A129" s="36"/>
      <x:c r="B129" s="36"/>
      <x:c r="C129" s="36"/>
      <x:c r="D129" s="36"/>
      <x:c r="E129" s="36"/>
      <x:c r="F129" s="36"/>
      <x:c r="G129" s="36"/>
      <x:c r="H129" s="59"/>
      <x:c r="I129" s="59"/>
      <x:c r="J129" s="61" t="str">
        <x:f>IF(OR($H129="",$I129=""),"",MAX($I129-$H129+1,1))</x:f>
      </x:c>
      <x:c r="K129" s="36"/>
      <x:c r="L129" s="36"/>
      <x:c r="M129" s="63" t="str">
        <x:f>IF($A129="","",SUMIFS('Custos Planejados - Pedro'!$G$6:$G$205,'Custos Planejados - Pedro'!$A$6:$A$205,$A129)+SUMIFS('Custos Planejados - Camilly'!$G$6:$G$205,'Custos Planejados - Camilly'!$A$6:$A$205,$A129))</x:f>
      </x:c>
      <x:c r="N129" s="63" t="str">
        <x:f>IF($A129="","",SUMIFS('Histórico de Gastos'!$J$6:$J$205,'Histórico de Gastos'!$B$6:$B$205,$A129))</x:f>
      </x:c>
      <x:c r="O129" s="63" t="str">
        <x:f>IF($A129="","",$M129-$N129)</x:f>
      </x:c>
      <x:c r="P129" s="65" t="str">
        <x:f>IF($A129="","",IFERROR($N129/$M129,0))</x:f>
      </x:c>
      <x:c r="Q129" s="63" t="str">
        <x:f>IF($A129="","",SUMIFS('Histórico de Gastos'!$W$6:$W$205,'Histórico de Gastos'!$B$6:$B$205,$A129))</x:f>
      </x:c>
      <x:c r="R129" s="63" t="str">
        <x:f>IF($A129="","",SUMIFS('Histórico de Gastos'!$X$6:$X$205,'Histórico de Gastos'!$B$6:$B$205,$A129))</x:f>
      </x:c>
      <x:c r="S129" s="63" t="str">
        <x:f>IF($A129="","",ABS($Q129-SUMIFS('Histórico de Gastos'!$U$6:$U$205,'Histórico de Gastos'!$B$6:$B$205,$A129)))</x:f>
      </x:c>
      <x:c r="T129" s="67" t="str">
        <x:f>IF($A129="","",IF(ABS($Q129-SUMIFS('Histórico de Gastos'!$U$6:$U$205,'Histórico de Gastos'!$B$6:$B$205,$A129))&lt;0.01,"Tudo certo",IF($Q129&gt;SUMIFS('Histórico de Gastos'!$U$6:$U$205,'Histórico de Gastos'!$B$6:$B$205,$A129),"Camilly deve para Pedro","Pedro deve para Camilly")))</x:f>
      </x:c>
      <x:c r="U129" s="36"/>
      <x:c r="V129" s="67" t="str">
        <x:f>IF($A129="","",IF(COUNTIFS('Checklist de Viagem'!$A$6:$A$205,$A129)=0,"Não",IF(COUNTIFS('Checklist de Viagem'!$A$6:$A$205,$A129,'Checklist de Viagem'!$H$6:$H$205,"Não")=0,"Sim","Não")))</x:f>
      </x:c>
      <x:c r="W129" s="36"/>
      <x:c r="X129" s="36"/>
      <x:c r="Y129" s="36"/>
      <x:c r="Z129" s="59"/>
      <x:c r="AA129" s="59"/>
      <x:c r="AB129" s="67" t="str">
        <x:f>IF($A129="","",IF($P129&gt;1,"Viagem acima do orçamento",IF(AND($K129&lt;&gt;"Concluída",$V129&lt;&gt;"Sim",$H129-TODAY()&lt;=15),"Viagem próxima sem checklist completo",IF($W129="","Passagem ainda não comprada",IF($X129="","Falta reservar hospedagem",IF($S129&gt;0,"Existe valor pendente de compensação","Tudo certo"))))))</x:f>
      </x:c>
      <x:c r="AC129" s="36"/>
    </x:row>
    <x:row r="130">
      <x:c r="A130" s="36"/>
      <x:c r="B130" s="36"/>
      <x:c r="C130" s="36"/>
      <x:c r="D130" s="36"/>
      <x:c r="E130" s="36"/>
      <x:c r="F130" s="36"/>
      <x:c r="G130" s="36"/>
      <x:c r="H130" s="59"/>
      <x:c r="I130" s="59"/>
      <x:c r="J130" s="61" t="str">
        <x:f>IF(OR($H130="",$I130=""),"",MAX($I130-$H130+1,1))</x:f>
      </x:c>
      <x:c r="K130" s="36"/>
      <x:c r="L130" s="36"/>
      <x:c r="M130" s="63" t="str">
        <x:f>IF($A130="","",SUMIFS('Custos Planejados - Pedro'!$G$6:$G$205,'Custos Planejados - Pedro'!$A$6:$A$205,$A130)+SUMIFS('Custos Planejados - Camilly'!$G$6:$G$205,'Custos Planejados - Camilly'!$A$6:$A$205,$A130))</x:f>
      </x:c>
      <x:c r="N130" s="63" t="str">
        <x:f>IF($A130="","",SUMIFS('Histórico de Gastos'!$J$6:$J$205,'Histórico de Gastos'!$B$6:$B$205,$A130))</x:f>
      </x:c>
      <x:c r="O130" s="63" t="str">
        <x:f>IF($A130="","",$M130-$N130)</x:f>
      </x:c>
      <x:c r="P130" s="65" t="str">
        <x:f>IF($A130="","",IFERROR($N130/$M130,0))</x:f>
      </x:c>
      <x:c r="Q130" s="63" t="str">
        <x:f>IF($A130="","",SUMIFS('Histórico de Gastos'!$W$6:$W$205,'Histórico de Gastos'!$B$6:$B$205,$A130))</x:f>
      </x:c>
      <x:c r="R130" s="63" t="str">
        <x:f>IF($A130="","",SUMIFS('Histórico de Gastos'!$X$6:$X$205,'Histórico de Gastos'!$B$6:$B$205,$A130))</x:f>
      </x:c>
      <x:c r="S130" s="63" t="str">
        <x:f>IF($A130="","",ABS($Q130-SUMIFS('Histórico de Gastos'!$U$6:$U$205,'Histórico de Gastos'!$B$6:$B$205,$A130)))</x:f>
      </x:c>
      <x:c r="T130" s="67" t="str">
        <x:f>IF($A130="","",IF(ABS($Q130-SUMIFS('Histórico de Gastos'!$U$6:$U$205,'Histórico de Gastos'!$B$6:$B$205,$A130))&lt;0.01,"Tudo certo",IF($Q130&gt;SUMIFS('Histórico de Gastos'!$U$6:$U$205,'Histórico de Gastos'!$B$6:$B$205,$A130),"Camilly deve para Pedro","Pedro deve para Camilly")))</x:f>
      </x:c>
      <x:c r="U130" s="36"/>
      <x:c r="V130" s="67" t="str">
        <x:f>IF($A130="","",IF(COUNTIFS('Checklist de Viagem'!$A$6:$A$205,$A130)=0,"Não",IF(COUNTIFS('Checklist de Viagem'!$A$6:$A$205,$A130,'Checklist de Viagem'!$H$6:$H$205,"Não")=0,"Sim","Não")))</x:f>
      </x:c>
      <x:c r="W130" s="36"/>
      <x:c r="X130" s="36"/>
      <x:c r="Y130" s="36"/>
      <x:c r="Z130" s="59"/>
      <x:c r="AA130" s="59"/>
      <x:c r="AB130" s="67" t="str">
        <x:f>IF($A130="","",IF($P130&gt;1,"Viagem acima do orçamento",IF(AND($K130&lt;&gt;"Concluída",$V130&lt;&gt;"Sim",$H130-TODAY()&lt;=15),"Viagem próxima sem checklist completo",IF($W130="","Passagem ainda não comprada",IF($X130="","Falta reservar hospedagem",IF($S130&gt;0,"Existe valor pendente de compensação","Tudo certo"))))))</x:f>
      </x:c>
      <x:c r="AC130" s="36"/>
    </x:row>
    <x:row r="131">
      <x:c r="A131" s="36"/>
      <x:c r="B131" s="36"/>
      <x:c r="C131" s="36"/>
      <x:c r="D131" s="36"/>
      <x:c r="E131" s="36"/>
      <x:c r="F131" s="36"/>
      <x:c r="G131" s="36"/>
      <x:c r="H131" s="59"/>
      <x:c r="I131" s="59"/>
      <x:c r="J131" s="61" t="str">
        <x:f>IF(OR($H131="",$I131=""),"",MAX($I131-$H131+1,1))</x:f>
      </x:c>
      <x:c r="K131" s="36"/>
      <x:c r="L131" s="36"/>
      <x:c r="M131" s="63" t="str">
        <x:f>IF($A131="","",SUMIFS('Custos Planejados - Pedro'!$G$6:$G$205,'Custos Planejados - Pedro'!$A$6:$A$205,$A131)+SUMIFS('Custos Planejados - Camilly'!$G$6:$G$205,'Custos Planejados - Camilly'!$A$6:$A$205,$A131))</x:f>
      </x:c>
      <x:c r="N131" s="63" t="str">
        <x:f>IF($A131="","",SUMIFS('Histórico de Gastos'!$J$6:$J$205,'Histórico de Gastos'!$B$6:$B$205,$A131))</x:f>
      </x:c>
      <x:c r="O131" s="63" t="str">
        <x:f>IF($A131="","",$M131-$N131)</x:f>
      </x:c>
      <x:c r="P131" s="65" t="str">
        <x:f>IF($A131="","",IFERROR($N131/$M131,0))</x:f>
      </x:c>
      <x:c r="Q131" s="63" t="str">
        <x:f>IF($A131="","",SUMIFS('Histórico de Gastos'!$W$6:$W$205,'Histórico de Gastos'!$B$6:$B$205,$A131))</x:f>
      </x:c>
      <x:c r="R131" s="63" t="str">
        <x:f>IF($A131="","",SUMIFS('Histórico de Gastos'!$X$6:$X$205,'Histórico de Gastos'!$B$6:$B$205,$A131))</x:f>
      </x:c>
      <x:c r="S131" s="63" t="str">
        <x:f>IF($A131="","",ABS($Q131-SUMIFS('Histórico de Gastos'!$U$6:$U$205,'Histórico de Gastos'!$B$6:$B$205,$A131)))</x:f>
      </x:c>
      <x:c r="T131" s="67" t="str">
        <x:f>IF($A131="","",IF(ABS($Q131-SUMIFS('Histórico de Gastos'!$U$6:$U$205,'Histórico de Gastos'!$B$6:$B$205,$A131))&lt;0.01,"Tudo certo",IF($Q131&gt;SUMIFS('Histórico de Gastos'!$U$6:$U$205,'Histórico de Gastos'!$B$6:$B$205,$A131),"Camilly deve para Pedro","Pedro deve para Camilly")))</x:f>
      </x:c>
      <x:c r="U131" s="36"/>
      <x:c r="V131" s="67" t="str">
        <x:f>IF($A131="","",IF(COUNTIFS('Checklist de Viagem'!$A$6:$A$205,$A131)=0,"Não",IF(COUNTIFS('Checklist de Viagem'!$A$6:$A$205,$A131,'Checklist de Viagem'!$H$6:$H$205,"Não")=0,"Sim","Não")))</x:f>
      </x:c>
      <x:c r="W131" s="36"/>
      <x:c r="X131" s="36"/>
      <x:c r="Y131" s="36"/>
      <x:c r="Z131" s="59"/>
      <x:c r="AA131" s="59"/>
      <x:c r="AB131" s="67" t="str">
        <x:f>IF($A131="","",IF($P131&gt;1,"Viagem acima do orçamento",IF(AND($K131&lt;&gt;"Concluída",$V131&lt;&gt;"Sim",$H131-TODAY()&lt;=15),"Viagem próxima sem checklist completo",IF($W131="","Passagem ainda não comprada",IF($X131="","Falta reservar hospedagem",IF($S131&gt;0,"Existe valor pendente de compensação","Tudo certo"))))))</x:f>
      </x:c>
      <x:c r="AC131" s="36"/>
    </x:row>
    <x:row r="132">
      <x:c r="A132" s="36"/>
      <x:c r="B132" s="36"/>
      <x:c r="C132" s="36"/>
      <x:c r="D132" s="36"/>
      <x:c r="E132" s="36"/>
      <x:c r="F132" s="36"/>
      <x:c r="G132" s="36"/>
      <x:c r="H132" s="59"/>
      <x:c r="I132" s="59"/>
      <x:c r="J132" s="61" t="str">
        <x:f>IF(OR($H132="",$I132=""),"",MAX($I132-$H132+1,1))</x:f>
      </x:c>
      <x:c r="K132" s="36"/>
      <x:c r="L132" s="36"/>
      <x:c r="M132" s="63" t="str">
        <x:f>IF($A132="","",SUMIFS('Custos Planejados - Pedro'!$G$6:$G$205,'Custos Planejados - Pedro'!$A$6:$A$205,$A132)+SUMIFS('Custos Planejados - Camilly'!$G$6:$G$205,'Custos Planejados - Camilly'!$A$6:$A$205,$A132))</x:f>
      </x:c>
      <x:c r="N132" s="63" t="str">
        <x:f>IF($A132="","",SUMIFS('Histórico de Gastos'!$J$6:$J$205,'Histórico de Gastos'!$B$6:$B$205,$A132))</x:f>
      </x:c>
      <x:c r="O132" s="63" t="str">
        <x:f>IF($A132="","",$M132-$N132)</x:f>
      </x:c>
      <x:c r="P132" s="65" t="str">
        <x:f>IF($A132="","",IFERROR($N132/$M132,0))</x:f>
      </x:c>
      <x:c r="Q132" s="63" t="str">
        <x:f>IF($A132="","",SUMIFS('Histórico de Gastos'!$W$6:$W$205,'Histórico de Gastos'!$B$6:$B$205,$A132))</x:f>
      </x:c>
      <x:c r="R132" s="63" t="str">
        <x:f>IF($A132="","",SUMIFS('Histórico de Gastos'!$X$6:$X$205,'Histórico de Gastos'!$B$6:$B$205,$A132))</x:f>
      </x:c>
      <x:c r="S132" s="63" t="str">
        <x:f>IF($A132="","",ABS($Q132-SUMIFS('Histórico de Gastos'!$U$6:$U$205,'Histórico de Gastos'!$B$6:$B$205,$A132)))</x:f>
      </x:c>
      <x:c r="T132" s="67" t="str">
        <x:f>IF($A132="","",IF(ABS($Q132-SUMIFS('Histórico de Gastos'!$U$6:$U$205,'Histórico de Gastos'!$B$6:$B$205,$A132))&lt;0.01,"Tudo certo",IF($Q132&gt;SUMIFS('Histórico de Gastos'!$U$6:$U$205,'Histórico de Gastos'!$B$6:$B$205,$A132),"Camilly deve para Pedro","Pedro deve para Camilly")))</x:f>
      </x:c>
      <x:c r="U132" s="36"/>
      <x:c r="V132" s="67" t="str">
        <x:f>IF($A132="","",IF(COUNTIFS('Checklist de Viagem'!$A$6:$A$205,$A132)=0,"Não",IF(COUNTIFS('Checklist de Viagem'!$A$6:$A$205,$A132,'Checklist de Viagem'!$H$6:$H$205,"Não")=0,"Sim","Não")))</x:f>
      </x:c>
      <x:c r="W132" s="36"/>
      <x:c r="X132" s="36"/>
      <x:c r="Y132" s="36"/>
      <x:c r="Z132" s="59"/>
      <x:c r="AA132" s="59"/>
      <x:c r="AB132" s="67" t="str">
        <x:f>IF($A132="","",IF($P132&gt;1,"Viagem acima do orçamento",IF(AND($K132&lt;&gt;"Concluída",$V132&lt;&gt;"Sim",$H132-TODAY()&lt;=15),"Viagem próxima sem checklist completo",IF($W132="","Passagem ainda não comprada",IF($X132="","Falta reservar hospedagem",IF($S132&gt;0,"Existe valor pendente de compensação","Tudo certo"))))))</x:f>
      </x:c>
      <x:c r="AC132" s="36"/>
    </x:row>
    <x:row r="133">
      <x:c r="A133" s="36"/>
      <x:c r="B133" s="36"/>
      <x:c r="C133" s="36"/>
      <x:c r="D133" s="36"/>
      <x:c r="E133" s="36"/>
      <x:c r="F133" s="36"/>
      <x:c r="G133" s="36"/>
      <x:c r="H133" s="59"/>
      <x:c r="I133" s="59"/>
      <x:c r="J133" s="61" t="str">
        <x:f>IF(OR($H133="",$I133=""),"",MAX($I133-$H133+1,1))</x:f>
      </x:c>
      <x:c r="K133" s="36"/>
      <x:c r="L133" s="36"/>
      <x:c r="M133" s="63" t="str">
        <x:f>IF($A133="","",SUMIFS('Custos Planejados - Pedro'!$G$6:$G$205,'Custos Planejados - Pedro'!$A$6:$A$205,$A133)+SUMIFS('Custos Planejados - Camilly'!$G$6:$G$205,'Custos Planejados - Camilly'!$A$6:$A$205,$A133))</x:f>
      </x:c>
      <x:c r="N133" s="63" t="str">
        <x:f>IF($A133="","",SUMIFS('Histórico de Gastos'!$J$6:$J$205,'Histórico de Gastos'!$B$6:$B$205,$A133))</x:f>
      </x:c>
      <x:c r="O133" s="63" t="str">
        <x:f>IF($A133="","",$M133-$N133)</x:f>
      </x:c>
      <x:c r="P133" s="65" t="str">
        <x:f>IF($A133="","",IFERROR($N133/$M133,0))</x:f>
      </x:c>
      <x:c r="Q133" s="63" t="str">
        <x:f>IF($A133="","",SUMIFS('Histórico de Gastos'!$W$6:$W$205,'Histórico de Gastos'!$B$6:$B$205,$A133))</x:f>
      </x:c>
      <x:c r="R133" s="63" t="str">
        <x:f>IF($A133="","",SUMIFS('Histórico de Gastos'!$X$6:$X$205,'Histórico de Gastos'!$B$6:$B$205,$A133))</x:f>
      </x:c>
      <x:c r="S133" s="63" t="str">
        <x:f>IF($A133="","",ABS($Q133-SUMIFS('Histórico de Gastos'!$U$6:$U$205,'Histórico de Gastos'!$B$6:$B$205,$A133)))</x:f>
      </x:c>
      <x:c r="T133" s="67" t="str">
        <x:f>IF($A133="","",IF(ABS($Q133-SUMIFS('Histórico de Gastos'!$U$6:$U$205,'Histórico de Gastos'!$B$6:$B$205,$A133))&lt;0.01,"Tudo certo",IF($Q133&gt;SUMIFS('Histórico de Gastos'!$U$6:$U$205,'Histórico de Gastos'!$B$6:$B$205,$A133),"Camilly deve para Pedro","Pedro deve para Camilly")))</x:f>
      </x:c>
      <x:c r="U133" s="36"/>
      <x:c r="V133" s="67" t="str">
        <x:f>IF($A133="","",IF(COUNTIFS('Checklist de Viagem'!$A$6:$A$205,$A133)=0,"Não",IF(COUNTIFS('Checklist de Viagem'!$A$6:$A$205,$A133,'Checklist de Viagem'!$H$6:$H$205,"Não")=0,"Sim","Não")))</x:f>
      </x:c>
      <x:c r="W133" s="36"/>
      <x:c r="X133" s="36"/>
      <x:c r="Y133" s="36"/>
      <x:c r="Z133" s="59"/>
      <x:c r="AA133" s="59"/>
      <x:c r="AB133" s="67" t="str">
        <x:f>IF($A133="","",IF($P133&gt;1,"Viagem acima do orçamento",IF(AND($K133&lt;&gt;"Concluída",$V133&lt;&gt;"Sim",$H133-TODAY()&lt;=15),"Viagem próxima sem checklist completo",IF($W133="","Passagem ainda não comprada",IF($X133="","Falta reservar hospedagem",IF($S133&gt;0,"Existe valor pendente de compensação","Tudo certo"))))))</x:f>
      </x:c>
      <x:c r="AC133" s="36"/>
    </x:row>
    <x:row r="134">
      <x:c r="A134" s="36"/>
      <x:c r="B134" s="36"/>
      <x:c r="C134" s="36"/>
      <x:c r="D134" s="36"/>
      <x:c r="E134" s="36"/>
      <x:c r="F134" s="36"/>
      <x:c r="G134" s="36"/>
      <x:c r="H134" s="59"/>
      <x:c r="I134" s="59"/>
      <x:c r="J134" s="61" t="str">
        <x:f>IF(OR($H134="",$I134=""),"",MAX($I134-$H134+1,1))</x:f>
      </x:c>
      <x:c r="K134" s="36"/>
      <x:c r="L134" s="36"/>
      <x:c r="M134" s="63" t="str">
        <x:f>IF($A134="","",SUMIFS('Custos Planejados - Pedro'!$G$6:$G$205,'Custos Planejados - Pedro'!$A$6:$A$205,$A134)+SUMIFS('Custos Planejados - Camilly'!$G$6:$G$205,'Custos Planejados - Camilly'!$A$6:$A$205,$A134))</x:f>
      </x:c>
      <x:c r="N134" s="63" t="str">
        <x:f>IF($A134="","",SUMIFS('Histórico de Gastos'!$J$6:$J$205,'Histórico de Gastos'!$B$6:$B$205,$A134))</x:f>
      </x:c>
      <x:c r="O134" s="63" t="str">
        <x:f>IF($A134="","",$M134-$N134)</x:f>
      </x:c>
      <x:c r="P134" s="65" t="str">
        <x:f>IF($A134="","",IFERROR($N134/$M134,0))</x:f>
      </x:c>
      <x:c r="Q134" s="63" t="str">
        <x:f>IF($A134="","",SUMIFS('Histórico de Gastos'!$W$6:$W$205,'Histórico de Gastos'!$B$6:$B$205,$A134))</x:f>
      </x:c>
      <x:c r="R134" s="63" t="str">
        <x:f>IF($A134="","",SUMIFS('Histórico de Gastos'!$X$6:$X$205,'Histórico de Gastos'!$B$6:$B$205,$A134))</x:f>
      </x:c>
      <x:c r="S134" s="63" t="str">
        <x:f>IF($A134="","",ABS($Q134-SUMIFS('Histórico de Gastos'!$U$6:$U$205,'Histórico de Gastos'!$B$6:$B$205,$A134)))</x:f>
      </x:c>
      <x:c r="T134" s="67" t="str">
        <x:f>IF($A134="","",IF(ABS($Q134-SUMIFS('Histórico de Gastos'!$U$6:$U$205,'Histórico de Gastos'!$B$6:$B$205,$A134))&lt;0.01,"Tudo certo",IF($Q134&gt;SUMIFS('Histórico de Gastos'!$U$6:$U$205,'Histórico de Gastos'!$B$6:$B$205,$A134),"Camilly deve para Pedro","Pedro deve para Camilly")))</x:f>
      </x:c>
      <x:c r="U134" s="36"/>
      <x:c r="V134" s="67" t="str">
        <x:f>IF($A134="","",IF(COUNTIFS('Checklist de Viagem'!$A$6:$A$205,$A134)=0,"Não",IF(COUNTIFS('Checklist de Viagem'!$A$6:$A$205,$A134,'Checklist de Viagem'!$H$6:$H$205,"Não")=0,"Sim","Não")))</x:f>
      </x:c>
      <x:c r="W134" s="36"/>
      <x:c r="X134" s="36"/>
      <x:c r="Y134" s="36"/>
      <x:c r="Z134" s="59"/>
      <x:c r="AA134" s="59"/>
      <x:c r="AB134" s="67" t="str">
        <x:f>IF($A134="","",IF($P134&gt;1,"Viagem acima do orçamento",IF(AND($K134&lt;&gt;"Concluída",$V134&lt;&gt;"Sim",$H134-TODAY()&lt;=15),"Viagem próxima sem checklist completo",IF($W134="","Passagem ainda não comprada",IF($X134="","Falta reservar hospedagem",IF($S134&gt;0,"Existe valor pendente de compensação","Tudo certo"))))))</x:f>
      </x:c>
      <x:c r="AC134" s="36"/>
    </x:row>
    <x:row r="135">
      <x:c r="A135" s="36"/>
      <x:c r="B135" s="36"/>
      <x:c r="C135" s="36"/>
      <x:c r="D135" s="36"/>
      <x:c r="E135" s="36"/>
      <x:c r="F135" s="36"/>
      <x:c r="G135" s="36"/>
      <x:c r="H135" s="59"/>
      <x:c r="I135" s="59"/>
      <x:c r="J135" s="61" t="str">
        <x:f>IF(OR($H135="",$I135=""),"",MAX($I135-$H135+1,1))</x:f>
      </x:c>
      <x:c r="K135" s="36"/>
      <x:c r="L135" s="36"/>
      <x:c r="M135" s="63" t="str">
        <x:f>IF($A135="","",SUMIFS('Custos Planejados - Pedro'!$G$6:$G$205,'Custos Planejados - Pedro'!$A$6:$A$205,$A135)+SUMIFS('Custos Planejados - Camilly'!$G$6:$G$205,'Custos Planejados - Camilly'!$A$6:$A$205,$A135))</x:f>
      </x:c>
      <x:c r="N135" s="63" t="str">
        <x:f>IF($A135="","",SUMIFS('Histórico de Gastos'!$J$6:$J$205,'Histórico de Gastos'!$B$6:$B$205,$A135))</x:f>
      </x:c>
      <x:c r="O135" s="63" t="str">
        <x:f>IF($A135="","",$M135-$N135)</x:f>
      </x:c>
      <x:c r="P135" s="65" t="str">
        <x:f>IF($A135="","",IFERROR($N135/$M135,0))</x:f>
      </x:c>
      <x:c r="Q135" s="63" t="str">
        <x:f>IF($A135="","",SUMIFS('Histórico de Gastos'!$W$6:$W$205,'Histórico de Gastos'!$B$6:$B$205,$A135))</x:f>
      </x:c>
      <x:c r="R135" s="63" t="str">
        <x:f>IF($A135="","",SUMIFS('Histórico de Gastos'!$X$6:$X$205,'Histórico de Gastos'!$B$6:$B$205,$A135))</x:f>
      </x:c>
      <x:c r="S135" s="63" t="str">
        <x:f>IF($A135="","",ABS($Q135-SUMIFS('Histórico de Gastos'!$U$6:$U$205,'Histórico de Gastos'!$B$6:$B$205,$A135)))</x:f>
      </x:c>
      <x:c r="T135" s="67" t="str">
        <x:f>IF($A135="","",IF(ABS($Q135-SUMIFS('Histórico de Gastos'!$U$6:$U$205,'Histórico de Gastos'!$B$6:$B$205,$A135))&lt;0.01,"Tudo certo",IF($Q135&gt;SUMIFS('Histórico de Gastos'!$U$6:$U$205,'Histórico de Gastos'!$B$6:$B$205,$A135),"Camilly deve para Pedro","Pedro deve para Camilly")))</x:f>
      </x:c>
      <x:c r="U135" s="36"/>
      <x:c r="V135" s="67" t="str">
        <x:f>IF($A135="","",IF(COUNTIFS('Checklist de Viagem'!$A$6:$A$205,$A135)=0,"Não",IF(COUNTIFS('Checklist de Viagem'!$A$6:$A$205,$A135,'Checklist de Viagem'!$H$6:$H$205,"Não")=0,"Sim","Não")))</x:f>
      </x:c>
      <x:c r="W135" s="36"/>
      <x:c r="X135" s="36"/>
      <x:c r="Y135" s="36"/>
      <x:c r="Z135" s="59"/>
      <x:c r="AA135" s="59"/>
      <x:c r="AB135" s="67" t="str">
        <x:f>IF($A135="","",IF($P135&gt;1,"Viagem acima do orçamento",IF(AND($K135&lt;&gt;"Concluída",$V135&lt;&gt;"Sim",$H135-TODAY()&lt;=15),"Viagem próxima sem checklist completo",IF($W135="","Passagem ainda não comprada",IF($X135="","Falta reservar hospedagem",IF($S135&gt;0,"Existe valor pendente de compensação","Tudo certo"))))))</x:f>
      </x:c>
      <x:c r="AC135" s="36"/>
    </x:row>
    <x:row r="136">
      <x:c r="A136" s="36"/>
      <x:c r="B136" s="36"/>
      <x:c r="C136" s="36"/>
      <x:c r="D136" s="36"/>
      <x:c r="E136" s="36"/>
      <x:c r="F136" s="36"/>
      <x:c r="G136" s="36"/>
      <x:c r="H136" s="59"/>
      <x:c r="I136" s="59"/>
      <x:c r="J136" s="61" t="str">
        <x:f>IF(OR($H136="",$I136=""),"",MAX($I136-$H136+1,1))</x:f>
      </x:c>
      <x:c r="K136" s="36"/>
      <x:c r="L136" s="36"/>
      <x:c r="M136" s="63" t="str">
        <x:f>IF($A136="","",SUMIFS('Custos Planejados - Pedro'!$G$6:$G$205,'Custos Planejados - Pedro'!$A$6:$A$205,$A136)+SUMIFS('Custos Planejados - Camilly'!$G$6:$G$205,'Custos Planejados - Camilly'!$A$6:$A$205,$A136))</x:f>
      </x:c>
      <x:c r="N136" s="63" t="str">
        <x:f>IF($A136="","",SUMIFS('Histórico de Gastos'!$J$6:$J$205,'Histórico de Gastos'!$B$6:$B$205,$A136))</x:f>
      </x:c>
      <x:c r="O136" s="63" t="str">
        <x:f>IF($A136="","",$M136-$N136)</x:f>
      </x:c>
      <x:c r="P136" s="65" t="str">
        <x:f>IF($A136="","",IFERROR($N136/$M136,0))</x:f>
      </x:c>
      <x:c r="Q136" s="63" t="str">
        <x:f>IF($A136="","",SUMIFS('Histórico de Gastos'!$W$6:$W$205,'Histórico de Gastos'!$B$6:$B$205,$A136))</x:f>
      </x:c>
      <x:c r="R136" s="63" t="str">
        <x:f>IF($A136="","",SUMIFS('Histórico de Gastos'!$X$6:$X$205,'Histórico de Gastos'!$B$6:$B$205,$A136))</x:f>
      </x:c>
      <x:c r="S136" s="63" t="str">
        <x:f>IF($A136="","",ABS($Q136-SUMIFS('Histórico de Gastos'!$U$6:$U$205,'Histórico de Gastos'!$B$6:$B$205,$A136)))</x:f>
      </x:c>
      <x:c r="T136" s="67" t="str">
        <x:f>IF($A136="","",IF(ABS($Q136-SUMIFS('Histórico de Gastos'!$U$6:$U$205,'Histórico de Gastos'!$B$6:$B$205,$A136))&lt;0.01,"Tudo certo",IF($Q136&gt;SUMIFS('Histórico de Gastos'!$U$6:$U$205,'Histórico de Gastos'!$B$6:$B$205,$A136),"Camilly deve para Pedro","Pedro deve para Camilly")))</x:f>
      </x:c>
      <x:c r="U136" s="36"/>
      <x:c r="V136" s="67" t="str">
        <x:f>IF($A136="","",IF(COUNTIFS('Checklist de Viagem'!$A$6:$A$205,$A136)=0,"Não",IF(COUNTIFS('Checklist de Viagem'!$A$6:$A$205,$A136,'Checklist de Viagem'!$H$6:$H$205,"Não")=0,"Sim","Não")))</x:f>
      </x:c>
      <x:c r="W136" s="36"/>
      <x:c r="X136" s="36"/>
      <x:c r="Y136" s="36"/>
      <x:c r="Z136" s="59"/>
      <x:c r="AA136" s="59"/>
      <x:c r="AB136" s="67" t="str">
        <x:f>IF($A136="","",IF($P136&gt;1,"Viagem acima do orçamento",IF(AND($K136&lt;&gt;"Concluída",$V136&lt;&gt;"Sim",$H136-TODAY()&lt;=15),"Viagem próxima sem checklist completo",IF($W136="","Passagem ainda não comprada",IF($X136="","Falta reservar hospedagem",IF($S136&gt;0,"Existe valor pendente de compensação","Tudo certo"))))))</x:f>
      </x:c>
      <x:c r="AC136" s="36"/>
    </x:row>
    <x:row r="137">
      <x:c r="A137" s="36"/>
      <x:c r="B137" s="36"/>
      <x:c r="C137" s="36"/>
      <x:c r="D137" s="36"/>
      <x:c r="E137" s="36"/>
      <x:c r="F137" s="36"/>
      <x:c r="G137" s="36"/>
      <x:c r="H137" s="59"/>
      <x:c r="I137" s="59"/>
      <x:c r="J137" s="61" t="str">
        <x:f>IF(OR($H137="",$I137=""),"",MAX($I137-$H137+1,1))</x:f>
      </x:c>
      <x:c r="K137" s="36"/>
      <x:c r="L137" s="36"/>
      <x:c r="M137" s="63" t="str">
        <x:f>IF($A137="","",SUMIFS('Custos Planejados - Pedro'!$G$6:$G$205,'Custos Planejados - Pedro'!$A$6:$A$205,$A137)+SUMIFS('Custos Planejados - Camilly'!$G$6:$G$205,'Custos Planejados - Camilly'!$A$6:$A$205,$A137))</x:f>
      </x:c>
      <x:c r="N137" s="63" t="str">
        <x:f>IF($A137="","",SUMIFS('Histórico de Gastos'!$J$6:$J$205,'Histórico de Gastos'!$B$6:$B$205,$A137))</x:f>
      </x:c>
      <x:c r="O137" s="63" t="str">
        <x:f>IF($A137="","",$M137-$N137)</x:f>
      </x:c>
      <x:c r="P137" s="65" t="str">
        <x:f>IF($A137="","",IFERROR($N137/$M137,0))</x:f>
      </x:c>
      <x:c r="Q137" s="63" t="str">
        <x:f>IF($A137="","",SUMIFS('Histórico de Gastos'!$W$6:$W$205,'Histórico de Gastos'!$B$6:$B$205,$A137))</x:f>
      </x:c>
      <x:c r="R137" s="63" t="str">
        <x:f>IF($A137="","",SUMIFS('Histórico de Gastos'!$X$6:$X$205,'Histórico de Gastos'!$B$6:$B$205,$A137))</x:f>
      </x:c>
      <x:c r="S137" s="63" t="str">
        <x:f>IF($A137="","",ABS($Q137-SUMIFS('Histórico de Gastos'!$U$6:$U$205,'Histórico de Gastos'!$B$6:$B$205,$A137)))</x:f>
      </x:c>
      <x:c r="T137" s="67" t="str">
        <x:f>IF($A137="","",IF(ABS($Q137-SUMIFS('Histórico de Gastos'!$U$6:$U$205,'Histórico de Gastos'!$B$6:$B$205,$A137))&lt;0.01,"Tudo certo",IF($Q137&gt;SUMIFS('Histórico de Gastos'!$U$6:$U$205,'Histórico de Gastos'!$B$6:$B$205,$A137),"Camilly deve para Pedro","Pedro deve para Camilly")))</x:f>
      </x:c>
      <x:c r="U137" s="36"/>
      <x:c r="V137" s="67" t="str">
        <x:f>IF($A137="","",IF(COUNTIFS('Checklist de Viagem'!$A$6:$A$205,$A137)=0,"Não",IF(COUNTIFS('Checklist de Viagem'!$A$6:$A$205,$A137,'Checklist de Viagem'!$H$6:$H$205,"Não")=0,"Sim","Não")))</x:f>
      </x:c>
      <x:c r="W137" s="36"/>
      <x:c r="X137" s="36"/>
      <x:c r="Y137" s="36"/>
      <x:c r="Z137" s="59"/>
      <x:c r="AA137" s="59"/>
      <x:c r="AB137" s="67" t="str">
        <x:f>IF($A137="","",IF($P137&gt;1,"Viagem acima do orçamento",IF(AND($K137&lt;&gt;"Concluída",$V137&lt;&gt;"Sim",$H137-TODAY()&lt;=15),"Viagem próxima sem checklist completo",IF($W137="","Passagem ainda não comprada",IF($X137="","Falta reservar hospedagem",IF($S137&gt;0,"Existe valor pendente de compensação","Tudo certo"))))))</x:f>
      </x:c>
      <x:c r="AC137" s="36"/>
    </x:row>
    <x:row r="138">
      <x:c r="A138" s="36"/>
      <x:c r="B138" s="36"/>
      <x:c r="C138" s="36"/>
      <x:c r="D138" s="36"/>
      <x:c r="E138" s="36"/>
      <x:c r="F138" s="36"/>
      <x:c r="G138" s="36"/>
      <x:c r="H138" s="59"/>
      <x:c r="I138" s="59"/>
      <x:c r="J138" s="61" t="str">
        <x:f>IF(OR($H138="",$I138=""),"",MAX($I138-$H138+1,1))</x:f>
      </x:c>
      <x:c r="K138" s="36"/>
      <x:c r="L138" s="36"/>
      <x:c r="M138" s="63" t="str">
        <x:f>IF($A138="","",SUMIFS('Custos Planejados - Pedro'!$G$6:$G$205,'Custos Planejados - Pedro'!$A$6:$A$205,$A138)+SUMIFS('Custos Planejados - Camilly'!$G$6:$G$205,'Custos Planejados - Camilly'!$A$6:$A$205,$A138))</x:f>
      </x:c>
      <x:c r="N138" s="63" t="str">
        <x:f>IF($A138="","",SUMIFS('Histórico de Gastos'!$J$6:$J$205,'Histórico de Gastos'!$B$6:$B$205,$A138))</x:f>
      </x:c>
      <x:c r="O138" s="63" t="str">
        <x:f>IF($A138="","",$M138-$N138)</x:f>
      </x:c>
      <x:c r="P138" s="65" t="str">
        <x:f>IF($A138="","",IFERROR($N138/$M138,0))</x:f>
      </x:c>
      <x:c r="Q138" s="63" t="str">
        <x:f>IF($A138="","",SUMIFS('Histórico de Gastos'!$W$6:$W$205,'Histórico de Gastos'!$B$6:$B$205,$A138))</x:f>
      </x:c>
      <x:c r="R138" s="63" t="str">
        <x:f>IF($A138="","",SUMIFS('Histórico de Gastos'!$X$6:$X$205,'Histórico de Gastos'!$B$6:$B$205,$A138))</x:f>
      </x:c>
      <x:c r="S138" s="63" t="str">
        <x:f>IF($A138="","",ABS($Q138-SUMIFS('Histórico de Gastos'!$U$6:$U$205,'Histórico de Gastos'!$B$6:$B$205,$A138)))</x:f>
      </x:c>
      <x:c r="T138" s="67" t="str">
        <x:f>IF($A138="","",IF(ABS($Q138-SUMIFS('Histórico de Gastos'!$U$6:$U$205,'Histórico de Gastos'!$B$6:$B$205,$A138))&lt;0.01,"Tudo certo",IF($Q138&gt;SUMIFS('Histórico de Gastos'!$U$6:$U$205,'Histórico de Gastos'!$B$6:$B$205,$A138),"Camilly deve para Pedro","Pedro deve para Camilly")))</x:f>
      </x:c>
      <x:c r="U138" s="36"/>
      <x:c r="V138" s="67" t="str">
        <x:f>IF($A138="","",IF(COUNTIFS('Checklist de Viagem'!$A$6:$A$205,$A138)=0,"Não",IF(COUNTIFS('Checklist de Viagem'!$A$6:$A$205,$A138,'Checklist de Viagem'!$H$6:$H$205,"Não")=0,"Sim","Não")))</x:f>
      </x:c>
      <x:c r="W138" s="36"/>
      <x:c r="X138" s="36"/>
      <x:c r="Y138" s="36"/>
      <x:c r="Z138" s="59"/>
      <x:c r="AA138" s="59"/>
      <x:c r="AB138" s="67" t="str">
        <x:f>IF($A138="","",IF($P138&gt;1,"Viagem acima do orçamento",IF(AND($K138&lt;&gt;"Concluída",$V138&lt;&gt;"Sim",$H138-TODAY()&lt;=15),"Viagem próxima sem checklist completo",IF($W138="","Passagem ainda não comprada",IF($X138="","Falta reservar hospedagem",IF($S138&gt;0,"Existe valor pendente de compensação","Tudo certo"))))))</x:f>
      </x:c>
      <x:c r="AC138" s="36"/>
    </x:row>
    <x:row r="139">
      <x:c r="A139" s="36"/>
      <x:c r="B139" s="36"/>
      <x:c r="C139" s="36"/>
      <x:c r="D139" s="36"/>
      <x:c r="E139" s="36"/>
      <x:c r="F139" s="36"/>
      <x:c r="G139" s="36"/>
      <x:c r="H139" s="59"/>
      <x:c r="I139" s="59"/>
      <x:c r="J139" s="61" t="str">
        <x:f>IF(OR($H139="",$I139=""),"",MAX($I139-$H139+1,1))</x:f>
      </x:c>
      <x:c r="K139" s="36"/>
      <x:c r="L139" s="36"/>
      <x:c r="M139" s="63" t="str">
        <x:f>IF($A139="","",SUMIFS('Custos Planejados - Pedro'!$G$6:$G$205,'Custos Planejados - Pedro'!$A$6:$A$205,$A139)+SUMIFS('Custos Planejados - Camilly'!$G$6:$G$205,'Custos Planejados - Camilly'!$A$6:$A$205,$A139))</x:f>
      </x:c>
      <x:c r="N139" s="63" t="str">
        <x:f>IF($A139="","",SUMIFS('Histórico de Gastos'!$J$6:$J$205,'Histórico de Gastos'!$B$6:$B$205,$A139))</x:f>
      </x:c>
      <x:c r="O139" s="63" t="str">
        <x:f>IF($A139="","",$M139-$N139)</x:f>
      </x:c>
      <x:c r="P139" s="65" t="str">
        <x:f>IF($A139="","",IFERROR($N139/$M139,0))</x:f>
      </x:c>
      <x:c r="Q139" s="63" t="str">
        <x:f>IF($A139="","",SUMIFS('Histórico de Gastos'!$W$6:$W$205,'Histórico de Gastos'!$B$6:$B$205,$A139))</x:f>
      </x:c>
      <x:c r="R139" s="63" t="str">
        <x:f>IF($A139="","",SUMIFS('Histórico de Gastos'!$X$6:$X$205,'Histórico de Gastos'!$B$6:$B$205,$A139))</x:f>
      </x:c>
      <x:c r="S139" s="63" t="str">
        <x:f>IF($A139="","",ABS($Q139-SUMIFS('Histórico de Gastos'!$U$6:$U$205,'Histórico de Gastos'!$B$6:$B$205,$A139)))</x:f>
      </x:c>
      <x:c r="T139" s="67" t="str">
        <x:f>IF($A139="","",IF(ABS($Q139-SUMIFS('Histórico de Gastos'!$U$6:$U$205,'Histórico de Gastos'!$B$6:$B$205,$A139))&lt;0.01,"Tudo certo",IF($Q139&gt;SUMIFS('Histórico de Gastos'!$U$6:$U$205,'Histórico de Gastos'!$B$6:$B$205,$A139),"Camilly deve para Pedro","Pedro deve para Camilly")))</x:f>
      </x:c>
      <x:c r="U139" s="36"/>
      <x:c r="V139" s="67" t="str">
        <x:f>IF($A139="","",IF(COUNTIFS('Checklist de Viagem'!$A$6:$A$205,$A139)=0,"Não",IF(COUNTIFS('Checklist de Viagem'!$A$6:$A$205,$A139,'Checklist de Viagem'!$H$6:$H$205,"Não")=0,"Sim","Não")))</x:f>
      </x:c>
      <x:c r="W139" s="36"/>
      <x:c r="X139" s="36"/>
      <x:c r="Y139" s="36"/>
      <x:c r="Z139" s="59"/>
      <x:c r="AA139" s="59"/>
      <x:c r="AB139" s="67" t="str">
        <x:f>IF($A139="","",IF($P139&gt;1,"Viagem acima do orçamento",IF(AND($K139&lt;&gt;"Concluída",$V139&lt;&gt;"Sim",$H139-TODAY()&lt;=15),"Viagem próxima sem checklist completo",IF($W139="","Passagem ainda não comprada",IF($X139="","Falta reservar hospedagem",IF($S139&gt;0,"Existe valor pendente de compensação","Tudo certo"))))))</x:f>
      </x:c>
      <x:c r="AC139" s="36"/>
    </x:row>
    <x:row r="140">
      <x:c r="A140" s="36"/>
      <x:c r="B140" s="36"/>
      <x:c r="C140" s="36"/>
      <x:c r="D140" s="36"/>
      <x:c r="E140" s="36"/>
      <x:c r="F140" s="36"/>
      <x:c r="G140" s="36"/>
      <x:c r="H140" s="59"/>
      <x:c r="I140" s="59"/>
      <x:c r="J140" s="61" t="str">
        <x:f>IF(OR($H140="",$I140=""),"",MAX($I140-$H140+1,1))</x:f>
      </x:c>
      <x:c r="K140" s="36"/>
      <x:c r="L140" s="36"/>
      <x:c r="M140" s="63" t="str">
        <x:f>IF($A140="","",SUMIFS('Custos Planejados - Pedro'!$G$6:$G$205,'Custos Planejados - Pedro'!$A$6:$A$205,$A140)+SUMIFS('Custos Planejados - Camilly'!$G$6:$G$205,'Custos Planejados - Camilly'!$A$6:$A$205,$A140))</x:f>
      </x:c>
      <x:c r="N140" s="63" t="str">
        <x:f>IF($A140="","",SUMIFS('Histórico de Gastos'!$J$6:$J$205,'Histórico de Gastos'!$B$6:$B$205,$A140))</x:f>
      </x:c>
      <x:c r="O140" s="63" t="str">
        <x:f>IF($A140="","",$M140-$N140)</x:f>
      </x:c>
      <x:c r="P140" s="65" t="str">
        <x:f>IF($A140="","",IFERROR($N140/$M140,0))</x:f>
      </x:c>
      <x:c r="Q140" s="63" t="str">
        <x:f>IF($A140="","",SUMIFS('Histórico de Gastos'!$W$6:$W$205,'Histórico de Gastos'!$B$6:$B$205,$A140))</x:f>
      </x:c>
      <x:c r="R140" s="63" t="str">
        <x:f>IF($A140="","",SUMIFS('Histórico de Gastos'!$X$6:$X$205,'Histórico de Gastos'!$B$6:$B$205,$A140))</x:f>
      </x:c>
      <x:c r="S140" s="63" t="str">
        <x:f>IF($A140="","",ABS($Q140-SUMIFS('Histórico de Gastos'!$U$6:$U$205,'Histórico de Gastos'!$B$6:$B$205,$A140)))</x:f>
      </x:c>
      <x:c r="T140" s="67" t="str">
        <x:f>IF($A140="","",IF(ABS($Q140-SUMIFS('Histórico de Gastos'!$U$6:$U$205,'Histórico de Gastos'!$B$6:$B$205,$A140))&lt;0.01,"Tudo certo",IF($Q140&gt;SUMIFS('Histórico de Gastos'!$U$6:$U$205,'Histórico de Gastos'!$B$6:$B$205,$A140),"Camilly deve para Pedro","Pedro deve para Camilly")))</x:f>
      </x:c>
      <x:c r="U140" s="36"/>
      <x:c r="V140" s="67" t="str">
        <x:f>IF($A140="","",IF(COUNTIFS('Checklist de Viagem'!$A$6:$A$205,$A140)=0,"Não",IF(COUNTIFS('Checklist de Viagem'!$A$6:$A$205,$A140,'Checklist de Viagem'!$H$6:$H$205,"Não")=0,"Sim","Não")))</x:f>
      </x:c>
      <x:c r="W140" s="36"/>
      <x:c r="X140" s="36"/>
      <x:c r="Y140" s="36"/>
      <x:c r="Z140" s="59"/>
      <x:c r="AA140" s="59"/>
      <x:c r="AB140" s="67" t="str">
        <x:f>IF($A140="","",IF($P140&gt;1,"Viagem acima do orçamento",IF(AND($K140&lt;&gt;"Concluída",$V140&lt;&gt;"Sim",$H140-TODAY()&lt;=15),"Viagem próxima sem checklist completo",IF($W140="","Passagem ainda não comprada",IF($X140="","Falta reservar hospedagem",IF($S140&gt;0,"Existe valor pendente de compensação","Tudo certo"))))))</x:f>
      </x:c>
      <x:c r="AC140" s="36"/>
    </x:row>
    <x:row r="141">
      <x:c r="A141" s="36"/>
      <x:c r="B141" s="36"/>
      <x:c r="C141" s="36"/>
      <x:c r="D141" s="36"/>
      <x:c r="E141" s="36"/>
      <x:c r="F141" s="36"/>
      <x:c r="G141" s="36"/>
      <x:c r="H141" s="59"/>
      <x:c r="I141" s="59"/>
      <x:c r="J141" s="61" t="str">
        <x:f>IF(OR($H141="",$I141=""),"",MAX($I141-$H141+1,1))</x:f>
      </x:c>
      <x:c r="K141" s="36"/>
      <x:c r="L141" s="36"/>
      <x:c r="M141" s="63" t="str">
        <x:f>IF($A141="","",SUMIFS('Custos Planejados - Pedro'!$G$6:$G$205,'Custos Planejados - Pedro'!$A$6:$A$205,$A141)+SUMIFS('Custos Planejados - Camilly'!$G$6:$G$205,'Custos Planejados - Camilly'!$A$6:$A$205,$A141))</x:f>
      </x:c>
      <x:c r="N141" s="63" t="str">
        <x:f>IF($A141="","",SUMIFS('Histórico de Gastos'!$J$6:$J$205,'Histórico de Gastos'!$B$6:$B$205,$A141))</x:f>
      </x:c>
      <x:c r="O141" s="63" t="str">
        <x:f>IF($A141="","",$M141-$N141)</x:f>
      </x:c>
      <x:c r="P141" s="65" t="str">
        <x:f>IF($A141="","",IFERROR($N141/$M141,0))</x:f>
      </x:c>
      <x:c r="Q141" s="63" t="str">
        <x:f>IF($A141="","",SUMIFS('Histórico de Gastos'!$W$6:$W$205,'Histórico de Gastos'!$B$6:$B$205,$A141))</x:f>
      </x:c>
      <x:c r="R141" s="63" t="str">
        <x:f>IF($A141="","",SUMIFS('Histórico de Gastos'!$X$6:$X$205,'Histórico de Gastos'!$B$6:$B$205,$A141))</x:f>
      </x:c>
      <x:c r="S141" s="63" t="str">
        <x:f>IF($A141="","",ABS($Q141-SUMIFS('Histórico de Gastos'!$U$6:$U$205,'Histórico de Gastos'!$B$6:$B$205,$A141)))</x:f>
      </x:c>
      <x:c r="T141" s="67" t="str">
        <x:f>IF($A141="","",IF(ABS($Q141-SUMIFS('Histórico de Gastos'!$U$6:$U$205,'Histórico de Gastos'!$B$6:$B$205,$A141))&lt;0.01,"Tudo certo",IF($Q141&gt;SUMIFS('Histórico de Gastos'!$U$6:$U$205,'Histórico de Gastos'!$B$6:$B$205,$A141),"Camilly deve para Pedro","Pedro deve para Camilly")))</x:f>
      </x:c>
      <x:c r="U141" s="36"/>
      <x:c r="V141" s="67" t="str">
        <x:f>IF($A141="","",IF(COUNTIFS('Checklist de Viagem'!$A$6:$A$205,$A141)=0,"Não",IF(COUNTIFS('Checklist de Viagem'!$A$6:$A$205,$A141,'Checklist de Viagem'!$H$6:$H$205,"Não")=0,"Sim","Não")))</x:f>
      </x:c>
      <x:c r="W141" s="36"/>
      <x:c r="X141" s="36"/>
      <x:c r="Y141" s="36"/>
      <x:c r="Z141" s="59"/>
      <x:c r="AA141" s="59"/>
      <x:c r="AB141" s="67" t="str">
        <x:f>IF($A141="","",IF($P141&gt;1,"Viagem acima do orçamento",IF(AND($K141&lt;&gt;"Concluída",$V141&lt;&gt;"Sim",$H141-TODAY()&lt;=15),"Viagem próxima sem checklist completo",IF($W141="","Passagem ainda não comprada",IF($X141="","Falta reservar hospedagem",IF($S141&gt;0,"Existe valor pendente de compensação","Tudo certo"))))))</x:f>
      </x:c>
      <x:c r="AC141" s="36"/>
    </x:row>
    <x:row r="142">
      <x:c r="A142" s="36"/>
      <x:c r="B142" s="36"/>
      <x:c r="C142" s="36"/>
      <x:c r="D142" s="36"/>
      <x:c r="E142" s="36"/>
      <x:c r="F142" s="36"/>
      <x:c r="G142" s="36"/>
      <x:c r="H142" s="59"/>
      <x:c r="I142" s="59"/>
      <x:c r="J142" s="61" t="str">
        <x:f>IF(OR($H142="",$I142=""),"",MAX($I142-$H142+1,1))</x:f>
      </x:c>
      <x:c r="K142" s="36"/>
      <x:c r="L142" s="36"/>
      <x:c r="M142" s="63" t="str">
        <x:f>IF($A142="","",SUMIFS('Custos Planejados - Pedro'!$G$6:$G$205,'Custos Planejados - Pedro'!$A$6:$A$205,$A142)+SUMIFS('Custos Planejados - Camilly'!$G$6:$G$205,'Custos Planejados - Camilly'!$A$6:$A$205,$A142))</x:f>
      </x:c>
      <x:c r="N142" s="63" t="str">
        <x:f>IF($A142="","",SUMIFS('Histórico de Gastos'!$J$6:$J$205,'Histórico de Gastos'!$B$6:$B$205,$A142))</x:f>
      </x:c>
      <x:c r="O142" s="63" t="str">
        <x:f>IF($A142="","",$M142-$N142)</x:f>
      </x:c>
      <x:c r="P142" s="65" t="str">
        <x:f>IF($A142="","",IFERROR($N142/$M142,0))</x:f>
      </x:c>
      <x:c r="Q142" s="63" t="str">
        <x:f>IF($A142="","",SUMIFS('Histórico de Gastos'!$W$6:$W$205,'Histórico de Gastos'!$B$6:$B$205,$A142))</x:f>
      </x:c>
      <x:c r="R142" s="63" t="str">
        <x:f>IF($A142="","",SUMIFS('Histórico de Gastos'!$X$6:$X$205,'Histórico de Gastos'!$B$6:$B$205,$A142))</x:f>
      </x:c>
      <x:c r="S142" s="63" t="str">
        <x:f>IF($A142="","",ABS($Q142-SUMIFS('Histórico de Gastos'!$U$6:$U$205,'Histórico de Gastos'!$B$6:$B$205,$A142)))</x:f>
      </x:c>
      <x:c r="T142" s="67" t="str">
        <x:f>IF($A142="","",IF(ABS($Q142-SUMIFS('Histórico de Gastos'!$U$6:$U$205,'Histórico de Gastos'!$B$6:$B$205,$A142))&lt;0.01,"Tudo certo",IF($Q142&gt;SUMIFS('Histórico de Gastos'!$U$6:$U$205,'Histórico de Gastos'!$B$6:$B$205,$A142),"Camilly deve para Pedro","Pedro deve para Camilly")))</x:f>
      </x:c>
      <x:c r="U142" s="36"/>
      <x:c r="V142" s="67" t="str">
        <x:f>IF($A142="","",IF(COUNTIFS('Checklist de Viagem'!$A$6:$A$205,$A142)=0,"Não",IF(COUNTIFS('Checklist de Viagem'!$A$6:$A$205,$A142,'Checklist de Viagem'!$H$6:$H$205,"Não")=0,"Sim","Não")))</x:f>
      </x:c>
      <x:c r="W142" s="36"/>
      <x:c r="X142" s="36"/>
      <x:c r="Y142" s="36"/>
      <x:c r="Z142" s="59"/>
      <x:c r="AA142" s="59"/>
      <x:c r="AB142" s="67" t="str">
        <x:f>IF($A142="","",IF($P142&gt;1,"Viagem acima do orçamento",IF(AND($K142&lt;&gt;"Concluída",$V142&lt;&gt;"Sim",$H142-TODAY()&lt;=15),"Viagem próxima sem checklist completo",IF($W142="","Passagem ainda não comprada",IF($X142="","Falta reservar hospedagem",IF($S142&gt;0,"Existe valor pendente de compensação","Tudo certo"))))))</x:f>
      </x:c>
      <x:c r="AC142" s="36"/>
    </x:row>
    <x:row r="143">
      <x:c r="A143" s="36"/>
      <x:c r="B143" s="36"/>
      <x:c r="C143" s="36"/>
      <x:c r="D143" s="36"/>
      <x:c r="E143" s="36"/>
      <x:c r="F143" s="36"/>
      <x:c r="G143" s="36"/>
      <x:c r="H143" s="59"/>
      <x:c r="I143" s="59"/>
      <x:c r="J143" s="61" t="str">
        <x:f>IF(OR($H143="",$I143=""),"",MAX($I143-$H143+1,1))</x:f>
      </x:c>
      <x:c r="K143" s="36"/>
      <x:c r="L143" s="36"/>
      <x:c r="M143" s="63" t="str">
        <x:f>IF($A143="","",SUMIFS('Custos Planejados - Pedro'!$G$6:$G$205,'Custos Planejados - Pedro'!$A$6:$A$205,$A143)+SUMIFS('Custos Planejados - Camilly'!$G$6:$G$205,'Custos Planejados - Camilly'!$A$6:$A$205,$A143))</x:f>
      </x:c>
      <x:c r="N143" s="63" t="str">
        <x:f>IF($A143="","",SUMIFS('Histórico de Gastos'!$J$6:$J$205,'Histórico de Gastos'!$B$6:$B$205,$A143))</x:f>
      </x:c>
      <x:c r="O143" s="63" t="str">
        <x:f>IF($A143="","",$M143-$N143)</x:f>
      </x:c>
      <x:c r="P143" s="65" t="str">
        <x:f>IF($A143="","",IFERROR($N143/$M143,0))</x:f>
      </x:c>
      <x:c r="Q143" s="63" t="str">
        <x:f>IF($A143="","",SUMIFS('Histórico de Gastos'!$W$6:$W$205,'Histórico de Gastos'!$B$6:$B$205,$A143))</x:f>
      </x:c>
      <x:c r="R143" s="63" t="str">
        <x:f>IF($A143="","",SUMIFS('Histórico de Gastos'!$X$6:$X$205,'Histórico de Gastos'!$B$6:$B$205,$A143))</x:f>
      </x:c>
      <x:c r="S143" s="63" t="str">
        <x:f>IF($A143="","",ABS($Q143-SUMIFS('Histórico de Gastos'!$U$6:$U$205,'Histórico de Gastos'!$B$6:$B$205,$A143)))</x:f>
      </x:c>
      <x:c r="T143" s="67" t="str">
        <x:f>IF($A143="","",IF(ABS($Q143-SUMIFS('Histórico de Gastos'!$U$6:$U$205,'Histórico de Gastos'!$B$6:$B$205,$A143))&lt;0.01,"Tudo certo",IF($Q143&gt;SUMIFS('Histórico de Gastos'!$U$6:$U$205,'Histórico de Gastos'!$B$6:$B$205,$A143),"Camilly deve para Pedro","Pedro deve para Camilly")))</x:f>
      </x:c>
      <x:c r="U143" s="36"/>
      <x:c r="V143" s="67" t="str">
        <x:f>IF($A143="","",IF(COUNTIFS('Checklist de Viagem'!$A$6:$A$205,$A143)=0,"Não",IF(COUNTIFS('Checklist de Viagem'!$A$6:$A$205,$A143,'Checklist de Viagem'!$H$6:$H$205,"Não")=0,"Sim","Não")))</x:f>
      </x:c>
      <x:c r="W143" s="36"/>
      <x:c r="X143" s="36"/>
      <x:c r="Y143" s="36"/>
      <x:c r="Z143" s="59"/>
      <x:c r="AA143" s="59"/>
      <x:c r="AB143" s="67" t="str">
        <x:f>IF($A143="","",IF($P143&gt;1,"Viagem acima do orçamento",IF(AND($K143&lt;&gt;"Concluída",$V143&lt;&gt;"Sim",$H143-TODAY()&lt;=15),"Viagem próxima sem checklist completo",IF($W143="","Passagem ainda não comprada",IF($X143="","Falta reservar hospedagem",IF($S143&gt;0,"Existe valor pendente de compensação","Tudo certo"))))))</x:f>
      </x:c>
      <x:c r="AC143" s="36"/>
    </x:row>
    <x:row r="144">
      <x:c r="A144" s="36"/>
      <x:c r="B144" s="36"/>
      <x:c r="C144" s="36"/>
      <x:c r="D144" s="36"/>
      <x:c r="E144" s="36"/>
      <x:c r="F144" s="36"/>
      <x:c r="G144" s="36"/>
      <x:c r="H144" s="59"/>
      <x:c r="I144" s="59"/>
      <x:c r="J144" s="61" t="str">
        <x:f>IF(OR($H144="",$I144=""),"",MAX($I144-$H144+1,1))</x:f>
      </x:c>
      <x:c r="K144" s="36"/>
      <x:c r="L144" s="36"/>
      <x:c r="M144" s="63" t="str">
        <x:f>IF($A144="","",SUMIFS('Custos Planejados - Pedro'!$G$6:$G$205,'Custos Planejados - Pedro'!$A$6:$A$205,$A144)+SUMIFS('Custos Planejados - Camilly'!$G$6:$G$205,'Custos Planejados - Camilly'!$A$6:$A$205,$A144))</x:f>
      </x:c>
      <x:c r="N144" s="63" t="str">
        <x:f>IF($A144="","",SUMIFS('Histórico de Gastos'!$J$6:$J$205,'Histórico de Gastos'!$B$6:$B$205,$A144))</x:f>
      </x:c>
      <x:c r="O144" s="63" t="str">
        <x:f>IF($A144="","",$M144-$N144)</x:f>
      </x:c>
      <x:c r="P144" s="65" t="str">
        <x:f>IF($A144="","",IFERROR($N144/$M144,0))</x:f>
      </x:c>
      <x:c r="Q144" s="63" t="str">
        <x:f>IF($A144="","",SUMIFS('Histórico de Gastos'!$W$6:$W$205,'Histórico de Gastos'!$B$6:$B$205,$A144))</x:f>
      </x:c>
      <x:c r="R144" s="63" t="str">
        <x:f>IF($A144="","",SUMIFS('Histórico de Gastos'!$X$6:$X$205,'Histórico de Gastos'!$B$6:$B$205,$A144))</x:f>
      </x:c>
      <x:c r="S144" s="63" t="str">
        <x:f>IF($A144="","",ABS($Q144-SUMIFS('Histórico de Gastos'!$U$6:$U$205,'Histórico de Gastos'!$B$6:$B$205,$A144)))</x:f>
      </x:c>
      <x:c r="T144" s="67" t="str">
        <x:f>IF($A144="","",IF(ABS($Q144-SUMIFS('Histórico de Gastos'!$U$6:$U$205,'Histórico de Gastos'!$B$6:$B$205,$A144))&lt;0.01,"Tudo certo",IF($Q144&gt;SUMIFS('Histórico de Gastos'!$U$6:$U$205,'Histórico de Gastos'!$B$6:$B$205,$A144),"Camilly deve para Pedro","Pedro deve para Camilly")))</x:f>
      </x:c>
      <x:c r="U144" s="36"/>
      <x:c r="V144" s="67" t="str">
        <x:f>IF($A144="","",IF(COUNTIFS('Checklist de Viagem'!$A$6:$A$205,$A144)=0,"Não",IF(COUNTIFS('Checklist de Viagem'!$A$6:$A$205,$A144,'Checklist de Viagem'!$H$6:$H$205,"Não")=0,"Sim","Não")))</x:f>
      </x:c>
      <x:c r="W144" s="36"/>
      <x:c r="X144" s="36"/>
      <x:c r="Y144" s="36"/>
      <x:c r="Z144" s="59"/>
      <x:c r="AA144" s="59"/>
      <x:c r="AB144" s="67" t="str">
        <x:f>IF($A144="","",IF($P144&gt;1,"Viagem acima do orçamento",IF(AND($K144&lt;&gt;"Concluída",$V144&lt;&gt;"Sim",$H144-TODAY()&lt;=15),"Viagem próxima sem checklist completo",IF($W144="","Passagem ainda não comprada",IF($X144="","Falta reservar hospedagem",IF($S144&gt;0,"Existe valor pendente de compensação","Tudo certo"))))))</x:f>
      </x:c>
      <x:c r="AC144" s="36"/>
    </x:row>
    <x:row r="145">
      <x:c r="A145" s="36"/>
      <x:c r="B145" s="36"/>
      <x:c r="C145" s="36"/>
      <x:c r="D145" s="36"/>
      <x:c r="E145" s="36"/>
      <x:c r="F145" s="36"/>
      <x:c r="G145" s="36"/>
      <x:c r="H145" s="59"/>
      <x:c r="I145" s="59"/>
      <x:c r="J145" s="61" t="str">
        <x:f>IF(OR($H145="",$I145=""),"",MAX($I145-$H145+1,1))</x:f>
      </x:c>
      <x:c r="K145" s="36"/>
      <x:c r="L145" s="36"/>
      <x:c r="M145" s="63" t="str">
        <x:f>IF($A145="","",SUMIFS('Custos Planejados - Pedro'!$G$6:$G$205,'Custos Planejados - Pedro'!$A$6:$A$205,$A145)+SUMIFS('Custos Planejados - Camilly'!$G$6:$G$205,'Custos Planejados - Camilly'!$A$6:$A$205,$A145))</x:f>
      </x:c>
      <x:c r="N145" s="63" t="str">
        <x:f>IF($A145="","",SUMIFS('Histórico de Gastos'!$J$6:$J$205,'Histórico de Gastos'!$B$6:$B$205,$A145))</x:f>
      </x:c>
      <x:c r="O145" s="63" t="str">
        <x:f>IF($A145="","",$M145-$N145)</x:f>
      </x:c>
      <x:c r="P145" s="65" t="str">
        <x:f>IF($A145="","",IFERROR($N145/$M145,0))</x:f>
      </x:c>
      <x:c r="Q145" s="63" t="str">
        <x:f>IF($A145="","",SUMIFS('Histórico de Gastos'!$W$6:$W$205,'Histórico de Gastos'!$B$6:$B$205,$A145))</x:f>
      </x:c>
      <x:c r="R145" s="63" t="str">
        <x:f>IF($A145="","",SUMIFS('Histórico de Gastos'!$X$6:$X$205,'Histórico de Gastos'!$B$6:$B$205,$A145))</x:f>
      </x:c>
      <x:c r="S145" s="63" t="str">
        <x:f>IF($A145="","",ABS($Q145-SUMIFS('Histórico de Gastos'!$U$6:$U$205,'Histórico de Gastos'!$B$6:$B$205,$A145)))</x:f>
      </x:c>
      <x:c r="T145" s="67" t="str">
        <x:f>IF($A145="","",IF(ABS($Q145-SUMIFS('Histórico de Gastos'!$U$6:$U$205,'Histórico de Gastos'!$B$6:$B$205,$A145))&lt;0.01,"Tudo certo",IF($Q145&gt;SUMIFS('Histórico de Gastos'!$U$6:$U$205,'Histórico de Gastos'!$B$6:$B$205,$A145),"Camilly deve para Pedro","Pedro deve para Camilly")))</x:f>
      </x:c>
      <x:c r="U145" s="36"/>
      <x:c r="V145" s="67" t="str">
        <x:f>IF($A145="","",IF(COUNTIFS('Checklist de Viagem'!$A$6:$A$205,$A145)=0,"Não",IF(COUNTIFS('Checklist de Viagem'!$A$6:$A$205,$A145,'Checklist de Viagem'!$H$6:$H$205,"Não")=0,"Sim","Não")))</x:f>
      </x:c>
      <x:c r="W145" s="36"/>
      <x:c r="X145" s="36"/>
      <x:c r="Y145" s="36"/>
      <x:c r="Z145" s="59"/>
      <x:c r="AA145" s="59"/>
      <x:c r="AB145" s="67" t="str">
        <x:f>IF($A145="","",IF($P145&gt;1,"Viagem acima do orçamento",IF(AND($K145&lt;&gt;"Concluída",$V145&lt;&gt;"Sim",$H145-TODAY()&lt;=15),"Viagem próxima sem checklist completo",IF($W145="","Passagem ainda não comprada",IF($X145="","Falta reservar hospedagem",IF($S145&gt;0,"Existe valor pendente de compensação","Tudo certo"))))))</x:f>
      </x:c>
      <x:c r="AC145" s="36"/>
    </x:row>
    <x:row r="146">
      <x:c r="A146" s="36"/>
      <x:c r="B146" s="36"/>
      <x:c r="C146" s="36"/>
      <x:c r="D146" s="36"/>
      <x:c r="E146" s="36"/>
      <x:c r="F146" s="36"/>
      <x:c r="G146" s="36"/>
      <x:c r="H146" s="59"/>
      <x:c r="I146" s="59"/>
      <x:c r="J146" s="61" t="str">
        <x:f>IF(OR($H146="",$I146=""),"",MAX($I146-$H146+1,1))</x:f>
      </x:c>
      <x:c r="K146" s="36"/>
      <x:c r="L146" s="36"/>
      <x:c r="M146" s="63" t="str">
        <x:f>IF($A146="","",SUMIFS('Custos Planejados - Pedro'!$G$6:$G$205,'Custos Planejados - Pedro'!$A$6:$A$205,$A146)+SUMIFS('Custos Planejados - Camilly'!$G$6:$G$205,'Custos Planejados - Camilly'!$A$6:$A$205,$A146))</x:f>
      </x:c>
      <x:c r="N146" s="63" t="str">
        <x:f>IF($A146="","",SUMIFS('Histórico de Gastos'!$J$6:$J$205,'Histórico de Gastos'!$B$6:$B$205,$A146))</x:f>
      </x:c>
      <x:c r="O146" s="63" t="str">
        <x:f>IF($A146="","",$M146-$N146)</x:f>
      </x:c>
      <x:c r="P146" s="65" t="str">
        <x:f>IF($A146="","",IFERROR($N146/$M146,0))</x:f>
      </x:c>
      <x:c r="Q146" s="63" t="str">
        <x:f>IF($A146="","",SUMIFS('Histórico de Gastos'!$W$6:$W$205,'Histórico de Gastos'!$B$6:$B$205,$A146))</x:f>
      </x:c>
      <x:c r="R146" s="63" t="str">
        <x:f>IF($A146="","",SUMIFS('Histórico de Gastos'!$X$6:$X$205,'Histórico de Gastos'!$B$6:$B$205,$A146))</x:f>
      </x:c>
      <x:c r="S146" s="63" t="str">
        <x:f>IF($A146="","",ABS($Q146-SUMIFS('Histórico de Gastos'!$U$6:$U$205,'Histórico de Gastos'!$B$6:$B$205,$A146)))</x:f>
      </x:c>
      <x:c r="T146" s="67" t="str">
        <x:f>IF($A146="","",IF(ABS($Q146-SUMIFS('Histórico de Gastos'!$U$6:$U$205,'Histórico de Gastos'!$B$6:$B$205,$A146))&lt;0.01,"Tudo certo",IF($Q146&gt;SUMIFS('Histórico de Gastos'!$U$6:$U$205,'Histórico de Gastos'!$B$6:$B$205,$A146),"Camilly deve para Pedro","Pedro deve para Camilly")))</x:f>
      </x:c>
      <x:c r="U146" s="36"/>
      <x:c r="V146" s="67" t="str">
        <x:f>IF($A146="","",IF(COUNTIFS('Checklist de Viagem'!$A$6:$A$205,$A146)=0,"Não",IF(COUNTIFS('Checklist de Viagem'!$A$6:$A$205,$A146,'Checklist de Viagem'!$H$6:$H$205,"Não")=0,"Sim","Não")))</x:f>
      </x:c>
      <x:c r="W146" s="36"/>
      <x:c r="X146" s="36"/>
      <x:c r="Y146" s="36"/>
      <x:c r="Z146" s="59"/>
      <x:c r="AA146" s="59"/>
      <x:c r="AB146" s="67" t="str">
        <x:f>IF($A146="","",IF($P146&gt;1,"Viagem acima do orçamento",IF(AND($K146&lt;&gt;"Concluída",$V146&lt;&gt;"Sim",$H146-TODAY()&lt;=15),"Viagem próxima sem checklist completo",IF($W146="","Passagem ainda não comprada",IF($X146="","Falta reservar hospedagem",IF($S146&gt;0,"Existe valor pendente de compensação","Tudo certo"))))))</x:f>
      </x:c>
      <x:c r="AC146" s="36"/>
    </x:row>
    <x:row r="147">
      <x:c r="A147" s="36"/>
      <x:c r="B147" s="36"/>
      <x:c r="C147" s="36"/>
      <x:c r="D147" s="36"/>
      <x:c r="E147" s="36"/>
      <x:c r="F147" s="36"/>
      <x:c r="G147" s="36"/>
      <x:c r="H147" s="59"/>
      <x:c r="I147" s="59"/>
      <x:c r="J147" s="61" t="str">
        <x:f>IF(OR($H147="",$I147=""),"",MAX($I147-$H147+1,1))</x:f>
      </x:c>
      <x:c r="K147" s="36"/>
      <x:c r="L147" s="36"/>
      <x:c r="M147" s="63" t="str">
        <x:f>IF($A147="","",SUMIFS('Custos Planejados - Pedro'!$G$6:$G$205,'Custos Planejados - Pedro'!$A$6:$A$205,$A147)+SUMIFS('Custos Planejados - Camilly'!$G$6:$G$205,'Custos Planejados - Camilly'!$A$6:$A$205,$A147))</x:f>
      </x:c>
      <x:c r="N147" s="63" t="str">
        <x:f>IF($A147="","",SUMIFS('Histórico de Gastos'!$J$6:$J$205,'Histórico de Gastos'!$B$6:$B$205,$A147))</x:f>
      </x:c>
      <x:c r="O147" s="63" t="str">
        <x:f>IF($A147="","",$M147-$N147)</x:f>
      </x:c>
      <x:c r="P147" s="65" t="str">
        <x:f>IF($A147="","",IFERROR($N147/$M147,0))</x:f>
      </x:c>
      <x:c r="Q147" s="63" t="str">
        <x:f>IF($A147="","",SUMIFS('Histórico de Gastos'!$W$6:$W$205,'Histórico de Gastos'!$B$6:$B$205,$A147))</x:f>
      </x:c>
      <x:c r="R147" s="63" t="str">
        <x:f>IF($A147="","",SUMIFS('Histórico de Gastos'!$X$6:$X$205,'Histórico de Gastos'!$B$6:$B$205,$A147))</x:f>
      </x:c>
      <x:c r="S147" s="63" t="str">
        <x:f>IF($A147="","",ABS($Q147-SUMIFS('Histórico de Gastos'!$U$6:$U$205,'Histórico de Gastos'!$B$6:$B$205,$A147)))</x:f>
      </x:c>
      <x:c r="T147" s="67" t="str">
        <x:f>IF($A147="","",IF(ABS($Q147-SUMIFS('Histórico de Gastos'!$U$6:$U$205,'Histórico de Gastos'!$B$6:$B$205,$A147))&lt;0.01,"Tudo certo",IF($Q147&gt;SUMIFS('Histórico de Gastos'!$U$6:$U$205,'Histórico de Gastos'!$B$6:$B$205,$A147),"Camilly deve para Pedro","Pedro deve para Camilly")))</x:f>
      </x:c>
      <x:c r="U147" s="36"/>
      <x:c r="V147" s="67" t="str">
        <x:f>IF($A147="","",IF(COUNTIFS('Checklist de Viagem'!$A$6:$A$205,$A147)=0,"Não",IF(COUNTIFS('Checklist de Viagem'!$A$6:$A$205,$A147,'Checklist de Viagem'!$H$6:$H$205,"Não")=0,"Sim","Não")))</x:f>
      </x:c>
      <x:c r="W147" s="36"/>
      <x:c r="X147" s="36"/>
      <x:c r="Y147" s="36"/>
      <x:c r="Z147" s="59"/>
      <x:c r="AA147" s="59"/>
      <x:c r="AB147" s="67" t="str">
        <x:f>IF($A147="","",IF($P147&gt;1,"Viagem acima do orçamento",IF(AND($K147&lt;&gt;"Concluída",$V147&lt;&gt;"Sim",$H147-TODAY()&lt;=15),"Viagem próxima sem checklist completo",IF($W147="","Passagem ainda não comprada",IF($X147="","Falta reservar hospedagem",IF($S147&gt;0,"Existe valor pendente de compensação","Tudo certo"))))))</x:f>
      </x:c>
      <x:c r="AC147" s="36"/>
    </x:row>
    <x:row r="148">
      <x:c r="A148" s="36"/>
      <x:c r="B148" s="36"/>
      <x:c r="C148" s="36"/>
      <x:c r="D148" s="36"/>
      <x:c r="E148" s="36"/>
      <x:c r="F148" s="36"/>
      <x:c r="G148" s="36"/>
      <x:c r="H148" s="59"/>
      <x:c r="I148" s="59"/>
      <x:c r="J148" s="61" t="str">
        <x:f>IF(OR($H148="",$I148=""),"",MAX($I148-$H148+1,1))</x:f>
      </x:c>
      <x:c r="K148" s="36"/>
      <x:c r="L148" s="36"/>
      <x:c r="M148" s="63" t="str">
        <x:f>IF($A148="","",SUMIFS('Custos Planejados - Pedro'!$G$6:$G$205,'Custos Planejados - Pedro'!$A$6:$A$205,$A148)+SUMIFS('Custos Planejados - Camilly'!$G$6:$G$205,'Custos Planejados - Camilly'!$A$6:$A$205,$A148))</x:f>
      </x:c>
      <x:c r="N148" s="63" t="str">
        <x:f>IF($A148="","",SUMIFS('Histórico de Gastos'!$J$6:$J$205,'Histórico de Gastos'!$B$6:$B$205,$A148))</x:f>
      </x:c>
      <x:c r="O148" s="63" t="str">
        <x:f>IF($A148="","",$M148-$N148)</x:f>
      </x:c>
      <x:c r="P148" s="65" t="str">
        <x:f>IF($A148="","",IFERROR($N148/$M148,0))</x:f>
      </x:c>
      <x:c r="Q148" s="63" t="str">
        <x:f>IF($A148="","",SUMIFS('Histórico de Gastos'!$W$6:$W$205,'Histórico de Gastos'!$B$6:$B$205,$A148))</x:f>
      </x:c>
      <x:c r="R148" s="63" t="str">
        <x:f>IF($A148="","",SUMIFS('Histórico de Gastos'!$X$6:$X$205,'Histórico de Gastos'!$B$6:$B$205,$A148))</x:f>
      </x:c>
      <x:c r="S148" s="63" t="str">
        <x:f>IF($A148="","",ABS($Q148-SUMIFS('Histórico de Gastos'!$U$6:$U$205,'Histórico de Gastos'!$B$6:$B$205,$A148)))</x:f>
      </x:c>
      <x:c r="T148" s="67" t="str">
        <x:f>IF($A148="","",IF(ABS($Q148-SUMIFS('Histórico de Gastos'!$U$6:$U$205,'Histórico de Gastos'!$B$6:$B$205,$A148))&lt;0.01,"Tudo certo",IF($Q148&gt;SUMIFS('Histórico de Gastos'!$U$6:$U$205,'Histórico de Gastos'!$B$6:$B$205,$A148),"Camilly deve para Pedro","Pedro deve para Camilly")))</x:f>
      </x:c>
      <x:c r="U148" s="36"/>
      <x:c r="V148" s="67" t="str">
        <x:f>IF($A148="","",IF(COUNTIFS('Checklist de Viagem'!$A$6:$A$205,$A148)=0,"Não",IF(COUNTIFS('Checklist de Viagem'!$A$6:$A$205,$A148,'Checklist de Viagem'!$H$6:$H$205,"Não")=0,"Sim","Não")))</x:f>
      </x:c>
      <x:c r="W148" s="36"/>
      <x:c r="X148" s="36"/>
      <x:c r="Y148" s="36"/>
      <x:c r="Z148" s="59"/>
      <x:c r="AA148" s="59"/>
      <x:c r="AB148" s="67" t="str">
        <x:f>IF($A148="","",IF($P148&gt;1,"Viagem acima do orçamento",IF(AND($K148&lt;&gt;"Concluída",$V148&lt;&gt;"Sim",$H148-TODAY()&lt;=15),"Viagem próxima sem checklist completo",IF($W148="","Passagem ainda não comprada",IF($X148="","Falta reservar hospedagem",IF($S148&gt;0,"Existe valor pendente de compensação","Tudo certo"))))))</x:f>
      </x:c>
      <x:c r="AC148" s="36"/>
    </x:row>
    <x:row r="149">
      <x:c r="A149" s="36"/>
      <x:c r="B149" s="36"/>
      <x:c r="C149" s="36"/>
      <x:c r="D149" s="36"/>
      <x:c r="E149" s="36"/>
      <x:c r="F149" s="36"/>
      <x:c r="G149" s="36"/>
      <x:c r="H149" s="59"/>
      <x:c r="I149" s="59"/>
      <x:c r="J149" s="61" t="str">
        <x:f>IF(OR($H149="",$I149=""),"",MAX($I149-$H149+1,1))</x:f>
      </x:c>
      <x:c r="K149" s="36"/>
      <x:c r="L149" s="36"/>
      <x:c r="M149" s="63" t="str">
        <x:f>IF($A149="","",SUMIFS('Custos Planejados - Pedro'!$G$6:$G$205,'Custos Planejados - Pedro'!$A$6:$A$205,$A149)+SUMIFS('Custos Planejados - Camilly'!$G$6:$G$205,'Custos Planejados - Camilly'!$A$6:$A$205,$A149))</x:f>
      </x:c>
      <x:c r="N149" s="63" t="str">
        <x:f>IF($A149="","",SUMIFS('Histórico de Gastos'!$J$6:$J$205,'Histórico de Gastos'!$B$6:$B$205,$A149))</x:f>
      </x:c>
      <x:c r="O149" s="63" t="str">
        <x:f>IF($A149="","",$M149-$N149)</x:f>
      </x:c>
      <x:c r="P149" s="65" t="str">
        <x:f>IF($A149="","",IFERROR($N149/$M149,0))</x:f>
      </x:c>
      <x:c r="Q149" s="63" t="str">
        <x:f>IF($A149="","",SUMIFS('Histórico de Gastos'!$W$6:$W$205,'Histórico de Gastos'!$B$6:$B$205,$A149))</x:f>
      </x:c>
      <x:c r="R149" s="63" t="str">
        <x:f>IF($A149="","",SUMIFS('Histórico de Gastos'!$X$6:$X$205,'Histórico de Gastos'!$B$6:$B$205,$A149))</x:f>
      </x:c>
      <x:c r="S149" s="63" t="str">
        <x:f>IF($A149="","",ABS($Q149-SUMIFS('Histórico de Gastos'!$U$6:$U$205,'Histórico de Gastos'!$B$6:$B$205,$A149)))</x:f>
      </x:c>
      <x:c r="T149" s="67" t="str">
        <x:f>IF($A149="","",IF(ABS($Q149-SUMIFS('Histórico de Gastos'!$U$6:$U$205,'Histórico de Gastos'!$B$6:$B$205,$A149))&lt;0.01,"Tudo certo",IF($Q149&gt;SUMIFS('Histórico de Gastos'!$U$6:$U$205,'Histórico de Gastos'!$B$6:$B$205,$A149),"Camilly deve para Pedro","Pedro deve para Camilly")))</x:f>
      </x:c>
      <x:c r="U149" s="36"/>
      <x:c r="V149" s="67" t="str">
        <x:f>IF($A149="","",IF(COUNTIFS('Checklist de Viagem'!$A$6:$A$205,$A149)=0,"Não",IF(COUNTIFS('Checklist de Viagem'!$A$6:$A$205,$A149,'Checklist de Viagem'!$H$6:$H$205,"Não")=0,"Sim","Não")))</x:f>
      </x:c>
      <x:c r="W149" s="36"/>
      <x:c r="X149" s="36"/>
      <x:c r="Y149" s="36"/>
      <x:c r="Z149" s="59"/>
      <x:c r="AA149" s="59"/>
      <x:c r="AB149" s="67" t="str">
        <x:f>IF($A149="","",IF($P149&gt;1,"Viagem acima do orçamento",IF(AND($K149&lt;&gt;"Concluída",$V149&lt;&gt;"Sim",$H149-TODAY()&lt;=15),"Viagem próxima sem checklist completo",IF($W149="","Passagem ainda não comprada",IF($X149="","Falta reservar hospedagem",IF($S149&gt;0,"Existe valor pendente de compensação","Tudo certo"))))))</x:f>
      </x:c>
      <x:c r="AC149" s="36"/>
    </x:row>
    <x:row r="150">
      <x:c r="A150" s="36"/>
      <x:c r="B150" s="36"/>
      <x:c r="C150" s="36"/>
      <x:c r="D150" s="36"/>
      <x:c r="E150" s="36"/>
      <x:c r="F150" s="36"/>
      <x:c r="G150" s="36"/>
      <x:c r="H150" s="59"/>
      <x:c r="I150" s="59"/>
      <x:c r="J150" s="61" t="str">
        <x:f>IF(OR($H150="",$I150=""),"",MAX($I150-$H150+1,1))</x:f>
      </x:c>
      <x:c r="K150" s="36"/>
      <x:c r="L150" s="36"/>
      <x:c r="M150" s="63" t="str">
        <x:f>IF($A150="","",SUMIFS('Custos Planejados - Pedro'!$G$6:$G$205,'Custos Planejados - Pedro'!$A$6:$A$205,$A150)+SUMIFS('Custos Planejados - Camilly'!$G$6:$G$205,'Custos Planejados - Camilly'!$A$6:$A$205,$A150))</x:f>
      </x:c>
      <x:c r="N150" s="63" t="str">
        <x:f>IF($A150="","",SUMIFS('Histórico de Gastos'!$J$6:$J$205,'Histórico de Gastos'!$B$6:$B$205,$A150))</x:f>
      </x:c>
      <x:c r="O150" s="63" t="str">
        <x:f>IF($A150="","",$M150-$N150)</x:f>
      </x:c>
      <x:c r="P150" s="65" t="str">
        <x:f>IF($A150="","",IFERROR($N150/$M150,0))</x:f>
      </x:c>
      <x:c r="Q150" s="63" t="str">
        <x:f>IF($A150="","",SUMIFS('Histórico de Gastos'!$W$6:$W$205,'Histórico de Gastos'!$B$6:$B$205,$A150))</x:f>
      </x:c>
      <x:c r="R150" s="63" t="str">
        <x:f>IF($A150="","",SUMIFS('Histórico de Gastos'!$X$6:$X$205,'Histórico de Gastos'!$B$6:$B$205,$A150))</x:f>
      </x:c>
      <x:c r="S150" s="63" t="str">
        <x:f>IF($A150="","",ABS($Q150-SUMIFS('Histórico de Gastos'!$U$6:$U$205,'Histórico de Gastos'!$B$6:$B$205,$A150)))</x:f>
      </x:c>
      <x:c r="T150" s="67" t="str">
        <x:f>IF($A150="","",IF(ABS($Q150-SUMIFS('Histórico de Gastos'!$U$6:$U$205,'Histórico de Gastos'!$B$6:$B$205,$A150))&lt;0.01,"Tudo certo",IF($Q150&gt;SUMIFS('Histórico de Gastos'!$U$6:$U$205,'Histórico de Gastos'!$B$6:$B$205,$A150),"Camilly deve para Pedro","Pedro deve para Camilly")))</x:f>
      </x:c>
      <x:c r="U150" s="36"/>
      <x:c r="V150" s="67" t="str">
        <x:f>IF($A150="","",IF(COUNTIFS('Checklist de Viagem'!$A$6:$A$205,$A150)=0,"Não",IF(COUNTIFS('Checklist de Viagem'!$A$6:$A$205,$A150,'Checklist de Viagem'!$H$6:$H$205,"Não")=0,"Sim","Não")))</x:f>
      </x:c>
      <x:c r="W150" s="36"/>
      <x:c r="X150" s="36"/>
      <x:c r="Y150" s="36"/>
      <x:c r="Z150" s="59"/>
      <x:c r="AA150" s="59"/>
      <x:c r="AB150" s="67" t="str">
        <x:f>IF($A150="","",IF($P150&gt;1,"Viagem acima do orçamento",IF(AND($K150&lt;&gt;"Concluída",$V150&lt;&gt;"Sim",$H150-TODAY()&lt;=15),"Viagem próxima sem checklist completo",IF($W150="","Passagem ainda não comprada",IF($X150="","Falta reservar hospedagem",IF($S150&gt;0,"Existe valor pendente de compensação","Tudo certo"))))))</x:f>
      </x:c>
      <x:c r="AC150" s="36"/>
    </x:row>
    <x:row r="151">
      <x:c r="A151" s="36"/>
      <x:c r="B151" s="36"/>
      <x:c r="C151" s="36"/>
      <x:c r="D151" s="36"/>
      <x:c r="E151" s="36"/>
      <x:c r="F151" s="36"/>
      <x:c r="G151" s="36"/>
      <x:c r="H151" s="59"/>
      <x:c r="I151" s="59"/>
      <x:c r="J151" s="61" t="str">
        <x:f>IF(OR($H151="",$I151=""),"",MAX($I151-$H151+1,1))</x:f>
      </x:c>
      <x:c r="K151" s="36"/>
      <x:c r="L151" s="36"/>
      <x:c r="M151" s="63" t="str">
        <x:f>IF($A151="","",SUMIFS('Custos Planejados - Pedro'!$G$6:$G$205,'Custos Planejados - Pedro'!$A$6:$A$205,$A151)+SUMIFS('Custos Planejados - Camilly'!$G$6:$G$205,'Custos Planejados - Camilly'!$A$6:$A$205,$A151))</x:f>
      </x:c>
      <x:c r="N151" s="63" t="str">
        <x:f>IF($A151="","",SUMIFS('Histórico de Gastos'!$J$6:$J$205,'Histórico de Gastos'!$B$6:$B$205,$A151))</x:f>
      </x:c>
      <x:c r="O151" s="63" t="str">
        <x:f>IF($A151="","",$M151-$N151)</x:f>
      </x:c>
      <x:c r="P151" s="65" t="str">
        <x:f>IF($A151="","",IFERROR($N151/$M151,0))</x:f>
      </x:c>
      <x:c r="Q151" s="63" t="str">
        <x:f>IF($A151="","",SUMIFS('Histórico de Gastos'!$W$6:$W$205,'Histórico de Gastos'!$B$6:$B$205,$A151))</x:f>
      </x:c>
      <x:c r="R151" s="63" t="str">
        <x:f>IF($A151="","",SUMIFS('Histórico de Gastos'!$X$6:$X$205,'Histórico de Gastos'!$B$6:$B$205,$A151))</x:f>
      </x:c>
      <x:c r="S151" s="63" t="str">
        <x:f>IF($A151="","",ABS($Q151-SUMIFS('Histórico de Gastos'!$U$6:$U$205,'Histórico de Gastos'!$B$6:$B$205,$A151)))</x:f>
      </x:c>
      <x:c r="T151" s="67" t="str">
        <x:f>IF($A151="","",IF(ABS($Q151-SUMIFS('Histórico de Gastos'!$U$6:$U$205,'Histórico de Gastos'!$B$6:$B$205,$A151))&lt;0.01,"Tudo certo",IF($Q151&gt;SUMIFS('Histórico de Gastos'!$U$6:$U$205,'Histórico de Gastos'!$B$6:$B$205,$A151),"Camilly deve para Pedro","Pedro deve para Camilly")))</x:f>
      </x:c>
      <x:c r="U151" s="36"/>
      <x:c r="V151" s="67" t="str">
        <x:f>IF($A151="","",IF(COUNTIFS('Checklist de Viagem'!$A$6:$A$205,$A151)=0,"Não",IF(COUNTIFS('Checklist de Viagem'!$A$6:$A$205,$A151,'Checklist de Viagem'!$H$6:$H$205,"Não")=0,"Sim","Não")))</x:f>
      </x:c>
      <x:c r="W151" s="36"/>
      <x:c r="X151" s="36"/>
      <x:c r="Y151" s="36"/>
      <x:c r="Z151" s="59"/>
      <x:c r="AA151" s="59"/>
      <x:c r="AB151" s="67" t="str">
        <x:f>IF($A151="","",IF($P151&gt;1,"Viagem acima do orçamento",IF(AND($K151&lt;&gt;"Concluída",$V151&lt;&gt;"Sim",$H151-TODAY()&lt;=15),"Viagem próxima sem checklist completo",IF($W151="","Passagem ainda não comprada",IF($X151="","Falta reservar hospedagem",IF($S151&gt;0,"Existe valor pendente de compensação","Tudo certo"))))))</x:f>
      </x:c>
      <x:c r="AC151" s="36"/>
    </x:row>
    <x:row r="152">
      <x:c r="A152" s="36"/>
      <x:c r="B152" s="36"/>
      <x:c r="C152" s="36"/>
      <x:c r="D152" s="36"/>
      <x:c r="E152" s="36"/>
      <x:c r="F152" s="36"/>
      <x:c r="G152" s="36"/>
      <x:c r="H152" s="59"/>
      <x:c r="I152" s="59"/>
      <x:c r="J152" s="61" t="str">
        <x:f>IF(OR($H152="",$I152=""),"",MAX($I152-$H152+1,1))</x:f>
      </x:c>
      <x:c r="K152" s="36"/>
      <x:c r="L152" s="36"/>
      <x:c r="M152" s="63" t="str">
        <x:f>IF($A152="","",SUMIFS('Custos Planejados - Pedro'!$G$6:$G$205,'Custos Planejados - Pedro'!$A$6:$A$205,$A152)+SUMIFS('Custos Planejados - Camilly'!$G$6:$G$205,'Custos Planejados - Camilly'!$A$6:$A$205,$A152))</x:f>
      </x:c>
      <x:c r="N152" s="63" t="str">
        <x:f>IF($A152="","",SUMIFS('Histórico de Gastos'!$J$6:$J$205,'Histórico de Gastos'!$B$6:$B$205,$A152))</x:f>
      </x:c>
      <x:c r="O152" s="63" t="str">
        <x:f>IF($A152="","",$M152-$N152)</x:f>
      </x:c>
      <x:c r="P152" s="65" t="str">
        <x:f>IF($A152="","",IFERROR($N152/$M152,0))</x:f>
      </x:c>
      <x:c r="Q152" s="63" t="str">
        <x:f>IF($A152="","",SUMIFS('Histórico de Gastos'!$W$6:$W$205,'Histórico de Gastos'!$B$6:$B$205,$A152))</x:f>
      </x:c>
      <x:c r="R152" s="63" t="str">
        <x:f>IF($A152="","",SUMIFS('Histórico de Gastos'!$X$6:$X$205,'Histórico de Gastos'!$B$6:$B$205,$A152))</x:f>
      </x:c>
      <x:c r="S152" s="63" t="str">
        <x:f>IF($A152="","",ABS($Q152-SUMIFS('Histórico de Gastos'!$U$6:$U$205,'Histórico de Gastos'!$B$6:$B$205,$A152)))</x:f>
      </x:c>
      <x:c r="T152" s="67" t="str">
        <x:f>IF($A152="","",IF(ABS($Q152-SUMIFS('Histórico de Gastos'!$U$6:$U$205,'Histórico de Gastos'!$B$6:$B$205,$A152))&lt;0.01,"Tudo certo",IF($Q152&gt;SUMIFS('Histórico de Gastos'!$U$6:$U$205,'Histórico de Gastos'!$B$6:$B$205,$A152),"Camilly deve para Pedro","Pedro deve para Camilly")))</x:f>
      </x:c>
      <x:c r="U152" s="36"/>
      <x:c r="V152" s="67" t="str">
        <x:f>IF($A152="","",IF(COUNTIFS('Checklist de Viagem'!$A$6:$A$205,$A152)=0,"Não",IF(COUNTIFS('Checklist de Viagem'!$A$6:$A$205,$A152,'Checklist de Viagem'!$H$6:$H$205,"Não")=0,"Sim","Não")))</x:f>
      </x:c>
      <x:c r="W152" s="36"/>
      <x:c r="X152" s="36"/>
      <x:c r="Y152" s="36"/>
      <x:c r="Z152" s="59"/>
      <x:c r="AA152" s="59"/>
      <x:c r="AB152" s="67" t="str">
        <x:f>IF($A152="","",IF($P152&gt;1,"Viagem acima do orçamento",IF(AND($K152&lt;&gt;"Concluída",$V152&lt;&gt;"Sim",$H152-TODAY()&lt;=15),"Viagem próxima sem checklist completo",IF($W152="","Passagem ainda não comprada",IF($X152="","Falta reservar hospedagem",IF($S152&gt;0,"Existe valor pendente de compensação","Tudo certo"))))))</x:f>
      </x:c>
      <x:c r="AC152" s="36"/>
    </x:row>
    <x:row r="153">
      <x:c r="A153" s="36"/>
      <x:c r="B153" s="36"/>
      <x:c r="C153" s="36"/>
      <x:c r="D153" s="36"/>
      <x:c r="E153" s="36"/>
      <x:c r="F153" s="36"/>
      <x:c r="G153" s="36"/>
      <x:c r="H153" s="59"/>
      <x:c r="I153" s="59"/>
      <x:c r="J153" s="61" t="str">
        <x:f>IF(OR($H153="",$I153=""),"",MAX($I153-$H153+1,1))</x:f>
      </x:c>
      <x:c r="K153" s="36"/>
      <x:c r="L153" s="36"/>
      <x:c r="M153" s="63" t="str">
        <x:f>IF($A153="","",SUMIFS('Custos Planejados - Pedro'!$G$6:$G$205,'Custos Planejados - Pedro'!$A$6:$A$205,$A153)+SUMIFS('Custos Planejados - Camilly'!$G$6:$G$205,'Custos Planejados - Camilly'!$A$6:$A$205,$A153))</x:f>
      </x:c>
      <x:c r="N153" s="63" t="str">
        <x:f>IF($A153="","",SUMIFS('Histórico de Gastos'!$J$6:$J$205,'Histórico de Gastos'!$B$6:$B$205,$A153))</x:f>
      </x:c>
      <x:c r="O153" s="63" t="str">
        <x:f>IF($A153="","",$M153-$N153)</x:f>
      </x:c>
      <x:c r="P153" s="65" t="str">
        <x:f>IF($A153="","",IFERROR($N153/$M153,0))</x:f>
      </x:c>
      <x:c r="Q153" s="63" t="str">
        <x:f>IF($A153="","",SUMIFS('Histórico de Gastos'!$W$6:$W$205,'Histórico de Gastos'!$B$6:$B$205,$A153))</x:f>
      </x:c>
      <x:c r="R153" s="63" t="str">
        <x:f>IF($A153="","",SUMIFS('Histórico de Gastos'!$X$6:$X$205,'Histórico de Gastos'!$B$6:$B$205,$A153))</x:f>
      </x:c>
      <x:c r="S153" s="63" t="str">
        <x:f>IF($A153="","",ABS($Q153-SUMIFS('Histórico de Gastos'!$U$6:$U$205,'Histórico de Gastos'!$B$6:$B$205,$A153)))</x:f>
      </x:c>
      <x:c r="T153" s="67" t="str">
        <x:f>IF($A153="","",IF(ABS($Q153-SUMIFS('Histórico de Gastos'!$U$6:$U$205,'Histórico de Gastos'!$B$6:$B$205,$A153))&lt;0.01,"Tudo certo",IF($Q153&gt;SUMIFS('Histórico de Gastos'!$U$6:$U$205,'Histórico de Gastos'!$B$6:$B$205,$A153),"Camilly deve para Pedro","Pedro deve para Camilly")))</x:f>
      </x:c>
      <x:c r="U153" s="36"/>
      <x:c r="V153" s="67" t="str">
        <x:f>IF($A153="","",IF(COUNTIFS('Checklist de Viagem'!$A$6:$A$205,$A153)=0,"Não",IF(COUNTIFS('Checklist de Viagem'!$A$6:$A$205,$A153,'Checklist de Viagem'!$H$6:$H$205,"Não")=0,"Sim","Não")))</x:f>
      </x:c>
      <x:c r="W153" s="36"/>
      <x:c r="X153" s="36"/>
      <x:c r="Y153" s="36"/>
      <x:c r="Z153" s="59"/>
      <x:c r="AA153" s="59"/>
      <x:c r="AB153" s="67" t="str">
        <x:f>IF($A153="","",IF($P153&gt;1,"Viagem acima do orçamento",IF(AND($K153&lt;&gt;"Concluída",$V153&lt;&gt;"Sim",$H153-TODAY()&lt;=15),"Viagem próxima sem checklist completo",IF($W153="","Passagem ainda não comprada",IF($X153="","Falta reservar hospedagem",IF($S153&gt;0,"Existe valor pendente de compensação","Tudo certo"))))))</x:f>
      </x:c>
      <x:c r="AC153" s="36"/>
    </x:row>
    <x:row r="154">
      <x:c r="A154" s="36"/>
      <x:c r="B154" s="36"/>
      <x:c r="C154" s="36"/>
      <x:c r="D154" s="36"/>
      <x:c r="E154" s="36"/>
      <x:c r="F154" s="36"/>
      <x:c r="G154" s="36"/>
      <x:c r="H154" s="59"/>
      <x:c r="I154" s="59"/>
      <x:c r="J154" s="61" t="str">
        <x:f>IF(OR($H154="",$I154=""),"",MAX($I154-$H154+1,1))</x:f>
      </x:c>
      <x:c r="K154" s="36"/>
      <x:c r="L154" s="36"/>
      <x:c r="M154" s="63" t="str">
        <x:f>IF($A154="","",SUMIFS('Custos Planejados - Pedro'!$G$6:$G$205,'Custos Planejados - Pedro'!$A$6:$A$205,$A154)+SUMIFS('Custos Planejados - Camilly'!$G$6:$G$205,'Custos Planejados - Camilly'!$A$6:$A$205,$A154))</x:f>
      </x:c>
      <x:c r="N154" s="63" t="str">
        <x:f>IF($A154="","",SUMIFS('Histórico de Gastos'!$J$6:$J$205,'Histórico de Gastos'!$B$6:$B$205,$A154))</x:f>
      </x:c>
      <x:c r="O154" s="63" t="str">
        <x:f>IF($A154="","",$M154-$N154)</x:f>
      </x:c>
      <x:c r="P154" s="65" t="str">
        <x:f>IF($A154="","",IFERROR($N154/$M154,0))</x:f>
      </x:c>
      <x:c r="Q154" s="63" t="str">
        <x:f>IF($A154="","",SUMIFS('Histórico de Gastos'!$W$6:$W$205,'Histórico de Gastos'!$B$6:$B$205,$A154))</x:f>
      </x:c>
      <x:c r="R154" s="63" t="str">
        <x:f>IF($A154="","",SUMIFS('Histórico de Gastos'!$X$6:$X$205,'Histórico de Gastos'!$B$6:$B$205,$A154))</x:f>
      </x:c>
      <x:c r="S154" s="63" t="str">
        <x:f>IF($A154="","",ABS($Q154-SUMIFS('Histórico de Gastos'!$U$6:$U$205,'Histórico de Gastos'!$B$6:$B$205,$A154)))</x:f>
      </x:c>
      <x:c r="T154" s="67" t="str">
        <x:f>IF($A154="","",IF(ABS($Q154-SUMIFS('Histórico de Gastos'!$U$6:$U$205,'Histórico de Gastos'!$B$6:$B$205,$A154))&lt;0.01,"Tudo certo",IF($Q154&gt;SUMIFS('Histórico de Gastos'!$U$6:$U$205,'Histórico de Gastos'!$B$6:$B$205,$A154),"Camilly deve para Pedro","Pedro deve para Camilly")))</x:f>
      </x:c>
      <x:c r="U154" s="36"/>
      <x:c r="V154" s="67" t="str">
        <x:f>IF($A154="","",IF(COUNTIFS('Checklist de Viagem'!$A$6:$A$205,$A154)=0,"Não",IF(COUNTIFS('Checklist de Viagem'!$A$6:$A$205,$A154,'Checklist de Viagem'!$H$6:$H$205,"Não")=0,"Sim","Não")))</x:f>
      </x:c>
      <x:c r="W154" s="36"/>
      <x:c r="X154" s="36"/>
      <x:c r="Y154" s="36"/>
      <x:c r="Z154" s="59"/>
      <x:c r="AA154" s="59"/>
      <x:c r="AB154" s="67" t="str">
        <x:f>IF($A154="","",IF($P154&gt;1,"Viagem acima do orçamento",IF(AND($K154&lt;&gt;"Concluída",$V154&lt;&gt;"Sim",$H154-TODAY()&lt;=15),"Viagem próxima sem checklist completo",IF($W154="","Passagem ainda não comprada",IF($X154="","Falta reservar hospedagem",IF($S154&gt;0,"Existe valor pendente de compensação","Tudo certo"))))))</x:f>
      </x:c>
      <x:c r="AC154" s="36"/>
    </x:row>
    <x:row r="155">
      <x:c r="A155" s="36"/>
      <x:c r="B155" s="36"/>
      <x:c r="C155" s="36"/>
      <x:c r="D155" s="36"/>
      <x:c r="E155" s="36"/>
      <x:c r="F155" s="36"/>
      <x:c r="G155" s="36"/>
      <x:c r="H155" s="59"/>
      <x:c r="I155" s="59"/>
      <x:c r="J155" s="61" t="str">
        <x:f>IF(OR($H155="",$I155=""),"",MAX($I155-$H155+1,1))</x:f>
      </x:c>
      <x:c r="K155" s="36"/>
      <x:c r="L155" s="36"/>
      <x:c r="M155" s="63" t="str">
        <x:f>IF($A155="","",SUMIFS('Custos Planejados - Pedro'!$G$6:$G$205,'Custos Planejados - Pedro'!$A$6:$A$205,$A155)+SUMIFS('Custos Planejados - Camilly'!$G$6:$G$205,'Custos Planejados - Camilly'!$A$6:$A$205,$A155))</x:f>
      </x:c>
      <x:c r="N155" s="63" t="str">
        <x:f>IF($A155="","",SUMIFS('Histórico de Gastos'!$J$6:$J$205,'Histórico de Gastos'!$B$6:$B$205,$A155))</x:f>
      </x:c>
      <x:c r="O155" s="63" t="str">
        <x:f>IF($A155="","",$M155-$N155)</x:f>
      </x:c>
      <x:c r="P155" s="65" t="str">
        <x:f>IF($A155="","",IFERROR($N155/$M155,0))</x:f>
      </x:c>
      <x:c r="Q155" s="63" t="str">
        <x:f>IF($A155="","",SUMIFS('Histórico de Gastos'!$W$6:$W$205,'Histórico de Gastos'!$B$6:$B$205,$A155))</x:f>
      </x:c>
      <x:c r="R155" s="63" t="str">
        <x:f>IF($A155="","",SUMIFS('Histórico de Gastos'!$X$6:$X$205,'Histórico de Gastos'!$B$6:$B$205,$A155))</x:f>
      </x:c>
      <x:c r="S155" s="63" t="str">
        <x:f>IF($A155="","",ABS($Q155-SUMIFS('Histórico de Gastos'!$U$6:$U$205,'Histórico de Gastos'!$B$6:$B$205,$A155)))</x:f>
      </x:c>
      <x:c r="T155" s="67" t="str">
        <x:f>IF($A155="","",IF(ABS($Q155-SUMIFS('Histórico de Gastos'!$U$6:$U$205,'Histórico de Gastos'!$B$6:$B$205,$A155))&lt;0.01,"Tudo certo",IF($Q155&gt;SUMIFS('Histórico de Gastos'!$U$6:$U$205,'Histórico de Gastos'!$B$6:$B$205,$A155),"Camilly deve para Pedro","Pedro deve para Camilly")))</x:f>
      </x:c>
      <x:c r="U155" s="36"/>
      <x:c r="V155" s="67" t="str">
        <x:f>IF($A155="","",IF(COUNTIFS('Checklist de Viagem'!$A$6:$A$205,$A155)=0,"Não",IF(COUNTIFS('Checklist de Viagem'!$A$6:$A$205,$A155,'Checklist de Viagem'!$H$6:$H$205,"Não")=0,"Sim","Não")))</x:f>
      </x:c>
      <x:c r="W155" s="36"/>
      <x:c r="X155" s="36"/>
      <x:c r="Y155" s="36"/>
      <x:c r="Z155" s="59"/>
      <x:c r="AA155" s="59"/>
      <x:c r="AB155" s="67" t="str">
        <x:f>IF($A155="","",IF($P155&gt;1,"Viagem acima do orçamento",IF(AND($K155&lt;&gt;"Concluída",$V155&lt;&gt;"Sim",$H155-TODAY()&lt;=15),"Viagem próxima sem checklist completo",IF($W155="","Passagem ainda não comprada",IF($X155="","Falta reservar hospedagem",IF($S155&gt;0,"Existe valor pendente de compensação","Tudo certo"))))))</x:f>
      </x:c>
      <x:c r="AC155" s="36"/>
    </x:row>
    <x:row r="156">
      <x:c r="A156" s="36"/>
      <x:c r="B156" s="36"/>
      <x:c r="C156" s="36"/>
      <x:c r="D156" s="36"/>
      <x:c r="E156" s="36"/>
      <x:c r="F156" s="36"/>
      <x:c r="G156" s="36"/>
      <x:c r="H156" s="59"/>
      <x:c r="I156" s="59"/>
      <x:c r="J156" s="61" t="str">
        <x:f>IF(OR($H156="",$I156=""),"",MAX($I156-$H156+1,1))</x:f>
      </x:c>
      <x:c r="K156" s="36"/>
      <x:c r="L156" s="36"/>
      <x:c r="M156" s="63" t="str">
        <x:f>IF($A156="","",SUMIFS('Custos Planejados - Pedro'!$G$6:$G$205,'Custos Planejados - Pedro'!$A$6:$A$205,$A156)+SUMIFS('Custos Planejados - Camilly'!$G$6:$G$205,'Custos Planejados - Camilly'!$A$6:$A$205,$A156))</x:f>
      </x:c>
      <x:c r="N156" s="63" t="str">
        <x:f>IF($A156="","",SUMIFS('Histórico de Gastos'!$J$6:$J$205,'Histórico de Gastos'!$B$6:$B$205,$A156))</x:f>
      </x:c>
      <x:c r="O156" s="63" t="str">
        <x:f>IF($A156="","",$M156-$N156)</x:f>
      </x:c>
      <x:c r="P156" s="65" t="str">
        <x:f>IF($A156="","",IFERROR($N156/$M156,0))</x:f>
      </x:c>
      <x:c r="Q156" s="63" t="str">
        <x:f>IF($A156="","",SUMIFS('Histórico de Gastos'!$W$6:$W$205,'Histórico de Gastos'!$B$6:$B$205,$A156))</x:f>
      </x:c>
      <x:c r="R156" s="63" t="str">
        <x:f>IF($A156="","",SUMIFS('Histórico de Gastos'!$X$6:$X$205,'Histórico de Gastos'!$B$6:$B$205,$A156))</x:f>
      </x:c>
      <x:c r="S156" s="63" t="str">
        <x:f>IF($A156="","",ABS($Q156-SUMIFS('Histórico de Gastos'!$U$6:$U$205,'Histórico de Gastos'!$B$6:$B$205,$A156)))</x:f>
      </x:c>
      <x:c r="T156" s="67" t="str">
        <x:f>IF($A156="","",IF(ABS($Q156-SUMIFS('Histórico de Gastos'!$U$6:$U$205,'Histórico de Gastos'!$B$6:$B$205,$A156))&lt;0.01,"Tudo certo",IF($Q156&gt;SUMIFS('Histórico de Gastos'!$U$6:$U$205,'Histórico de Gastos'!$B$6:$B$205,$A156),"Camilly deve para Pedro","Pedro deve para Camilly")))</x:f>
      </x:c>
      <x:c r="U156" s="36"/>
      <x:c r="V156" s="67" t="str">
        <x:f>IF($A156="","",IF(COUNTIFS('Checklist de Viagem'!$A$6:$A$205,$A156)=0,"Não",IF(COUNTIFS('Checklist de Viagem'!$A$6:$A$205,$A156,'Checklist de Viagem'!$H$6:$H$205,"Não")=0,"Sim","Não")))</x:f>
      </x:c>
      <x:c r="W156" s="36"/>
      <x:c r="X156" s="36"/>
      <x:c r="Y156" s="36"/>
      <x:c r="Z156" s="59"/>
      <x:c r="AA156" s="59"/>
      <x:c r="AB156" s="67" t="str">
        <x:f>IF($A156="","",IF($P156&gt;1,"Viagem acima do orçamento",IF(AND($K156&lt;&gt;"Concluída",$V156&lt;&gt;"Sim",$H156-TODAY()&lt;=15),"Viagem próxima sem checklist completo",IF($W156="","Passagem ainda não comprada",IF($X156="","Falta reservar hospedagem",IF($S156&gt;0,"Existe valor pendente de compensação","Tudo certo"))))))</x:f>
      </x:c>
      <x:c r="AC156" s="36"/>
    </x:row>
    <x:row r="157">
      <x:c r="A157" s="36"/>
      <x:c r="B157" s="36"/>
      <x:c r="C157" s="36"/>
      <x:c r="D157" s="36"/>
      <x:c r="E157" s="36"/>
      <x:c r="F157" s="36"/>
      <x:c r="G157" s="36"/>
      <x:c r="H157" s="59"/>
      <x:c r="I157" s="59"/>
      <x:c r="J157" s="61" t="str">
        <x:f>IF(OR($H157="",$I157=""),"",MAX($I157-$H157+1,1))</x:f>
      </x:c>
      <x:c r="K157" s="36"/>
      <x:c r="L157" s="36"/>
      <x:c r="M157" s="63" t="str">
        <x:f>IF($A157="","",SUMIFS('Custos Planejados - Pedro'!$G$6:$G$205,'Custos Planejados - Pedro'!$A$6:$A$205,$A157)+SUMIFS('Custos Planejados - Camilly'!$G$6:$G$205,'Custos Planejados - Camilly'!$A$6:$A$205,$A157))</x:f>
      </x:c>
      <x:c r="N157" s="63" t="str">
        <x:f>IF($A157="","",SUMIFS('Histórico de Gastos'!$J$6:$J$205,'Histórico de Gastos'!$B$6:$B$205,$A157))</x:f>
      </x:c>
      <x:c r="O157" s="63" t="str">
        <x:f>IF($A157="","",$M157-$N157)</x:f>
      </x:c>
      <x:c r="P157" s="65" t="str">
        <x:f>IF($A157="","",IFERROR($N157/$M157,0))</x:f>
      </x:c>
      <x:c r="Q157" s="63" t="str">
        <x:f>IF($A157="","",SUMIFS('Histórico de Gastos'!$W$6:$W$205,'Histórico de Gastos'!$B$6:$B$205,$A157))</x:f>
      </x:c>
      <x:c r="R157" s="63" t="str">
        <x:f>IF($A157="","",SUMIFS('Histórico de Gastos'!$X$6:$X$205,'Histórico de Gastos'!$B$6:$B$205,$A157))</x:f>
      </x:c>
      <x:c r="S157" s="63" t="str">
        <x:f>IF($A157="","",ABS($Q157-SUMIFS('Histórico de Gastos'!$U$6:$U$205,'Histórico de Gastos'!$B$6:$B$205,$A157)))</x:f>
      </x:c>
      <x:c r="T157" s="67" t="str">
        <x:f>IF($A157="","",IF(ABS($Q157-SUMIFS('Histórico de Gastos'!$U$6:$U$205,'Histórico de Gastos'!$B$6:$B$205,$A157))&lt;0.01,"Tudo certo",IF($Q157&gt;SUMIFS('Histórico de Gastos'!$U$6:$U$205,'Histórico de Gastos'!$B$6:$B$205,$A157),"Camilly deve para Pedro","Pedro deve para Camilly")))</x:f>
      </x:c>
      <x:c r="U157" s="36"/>
      <x:c r="V157" s="67" t="str">
        <x:f>IF($A157="","",IF(COUNTIFS('Checklist de Viagem'!$A$6:$A$205,$A157)=0,"Não",IF(COUNTIFS('Checklist de Viagem'!$A$6:$A$205,$A157,'Checklist de Viagem'!$H$6:$H$205,"Não")=0,"Sim","Não")))</x:f>
      </x:c>
      <x:c r="W157" s="36"/>
      <x:c r="X157" s="36"/>
      <x:c r="Y157" s="36"/>
      <x:c r="Z157" s="59"/>
      <x:c r="AA157" s="59"/>
      <x:c r="AB157" s="67" t="str">
        <x:f>IF($A157="","",IF($P157&gt;1,"Viagem acima do orçamento",IF(AND($K157&lt;&gt;"Concluída",$V157&lt;&gt;"Sim",$H157-TODAY()&lt;=15),"Viagem próxima sem checklist completo",IF($W157="","Passagem ainda não comprada",IF($X157="","Falta reservar hospedagem",IF($S157&gt;0,"Existe valor pendente de compensação","Tudo certo"))))))</x:f>
      </x:c>
      <x:c r="AC157" s="36"/>
    </x:row>
    <x:row r="158">
      <x:c r="A158" s="36"/>
      <x:c r="B158" s="36"/>
      <x:c r="C158" s="36"/>
      <x:c r="D158" s="36"/>
      <x:c r="E158" s="36"/>
      <x:c r="F158" s="36"/>
      <x:c r="G158" s="36"/>
      <x:c r="H158" s="59"/>
      <x:c r="I158" s="59"/>
      <x:c r="J158" s="61" t="str">
        <x:f>IF(OR($H158="",$I158=""),"",MAX($I158-$H158+1,1))</x:f>
      </x:c>
      <x:c r="K158" s="36"/>
      <x:c r="L158" s="36"/>
      <x:c r="M158" s="63" t="str">
        <x:f>IF($A158="","",SUMIFS('Custos Planejados - Pedro'!$G$6:$G$205,'Custos Planejados - Pedro'!$A$6:$A$205,$A158)+SUMIFS('Custos Planejados - Camilly'!$G$6:$G$205,'Custos Planejados - Camilly'!$A$6:$A$205,$A158))</x:f>
      </x:c>
      <x:c r="N158" s="63" t="str">
        <x:f>IF($A158="","",SUMIFS('Histórico de Gastos'!$J$6:$J$205,'Histórico de Gastos'!$B$6:$B$205,$A158))</x:f>
      </x:c>
      <x:c r="O158" s="63" t="str">
        <x:f>IF($A158="","",$M158-$N158)</x:f>
      </x:c>
      <x:c r="P158" s="65" t="str">
        <x:f>IF($A158="","",IFERROR($N158/$M158,0))</x:f>
      </x:c>
      <x:c r="Q158" s="63" t="str">
        <x:f>IF($A158="","",SUMIFS('Histórico de Gastos'!$W$6:$W$205,'Histórico de Gastos'!$B$6:$B$205,$A158))</x:f>
      </x:c>
      <x:c r="R158" s="63" t="str">
        <x:f>IF($A158="","",SUMIFS('Histórico de Gastos'!$X$6:$X$205,'Histórico de Gastos'!$B$6:$B$205,$A158))</x:f>
      </x:c>
      <x:c r="S158" s="63" t="str">
        <x:f>IF($A158="","",ABS($Q158-SUMIFS('Histórico de Gastos'!$U$6:$U$205,'Histórico de Gastos'!$B$6:$B$205,$A158)))</x:f>
      </x:c>
      <x:c r="T158" s="67" t="str">
        <x:f>IF($A158="","",IF(ABS($Q158-SUMIFS('Histórico de Gastos'!$U$6:$U$205,'Histórico de Gastos'!$B$6:$B$205,$A158))&lt;0.01,"Tudo certo",IF($Q158&gt;SUMIFS('Histórico de Gastos'!$U$6:$U$205,'Histórico de Gastos'!$B$6:$B$205,$A158),"Camilly deve para Pedro","Pedro deve para Camilly")))</x:f>
      </x:c>
      <x:c r="U158" s="36"/>
      <x:c r="V158" s="67" t="str">
        <x:f>IF($A158="","",IF(COUNTIFS('Checklist de Viagem'!$A$6:$A$205,$A158)=0,"Não",IF(COUNTIFS('Checklist de Viagem'!$A$6:$A$205,$A158,'Checklist de Viagem'!$H$6:$H$205,"Não")=0,"Sim","Não")))</x:f>
      </x:c>
      <x:c r="W158" s="36"/>
      <x:c r="X158" s="36"/>
      <x:c r="Y158" s="36"/>
      <x:c r="Z158" s="59"/>
      <x:c r="AA158" s="59"/>
      <x:c r="AB158" s="67" t="str">
        <x:f>IF($A158="","",IF($P158&gt;1,"Viagem acima do orçamento",IF(AND($K158&lt;&gt;"Concluída",$V158&lt;&gt;"Sim",$H158-TODAY()&lt;=15),"Viagem próxima sem checklist completo",IF($W158="","Passagem ainda não comprada",IF($X158="","Falta reservar hospedagem",IF($S158&gt;0,"Existe valor pendente de compensação","Tudo certo"))))))</x:f>
      </x:c>
      <x:c r="AC158" s="36"/>
    </x:row>
    <x:row r="159">
      <x:c r="A159" s="36"/>
      <x:c r="B159" s="36"/>
      <x:c r="C159" s="36"/>
      <x:c r="D159" s="36"/>
      <x:c r="E159" s="36"/>
      <x:c r="F159" s="36"/>
      <x:c r="G159" s="36"/>
      <x:c r="H159" s="59"/>
      <x:c r="I159" s="59"/>
      <x:c r="J159" s="61" t="str">
        <x:f>IF(OR($H159="",$I159=""),"",MAX($I159-$H159+1,1))</x:f>
      </x:c>
      <x:c r="K159" s="36"/>
      <x:c r="L159" s="36"/>
      <x:c r="M159" s="63" t="str">
        <x:f>IF($A159="","",SUMIFS('Custos Planejados - Pedro'!$G$6:$G$205,'Custos Planejados - Pedro'!$A$6:$A$205,$A159)+SUMIFS('Custos Planejados - Camilly'!$G$6:$G$205,'Custos Planejados - Camilly'!$A$6:$A$205,$A159))</x:f>
      </x:c>
      <x:c r="N159" s="63" t="str">
        <x:f>IF($A159="","",SUMIFS('Histórico de Gastos'!$J$6:$J$205,'Histórico de Gastos'!$B$6:$B$205,$A159))</x:f>
      </x:c>
      <x:c r="O159" s="63" t="str">
        <x:f>IF($A159="","",$M159-$N159)</x:f>
      </x:c>
      <x:c r="P159" s="65" t="str">
        <x:f>IF($A159="","",IFERROR($N159/$M159,0))</x:f>
      </x:c>
      <x:c r="Q159" s="63" t="str">
        <x:f>IF($A159="","",SUMIFS('Histórico de Gastos'!$W$6:$W$205,'Histórico de Gastos'!$B$6:$B$205,$A159))</x:f>
      </x:c>
      <x:c r="R159" s="63" t="str">
        <x:f>IF($A159="","",SUMIFS('Histórico de Gastos'!$X$6:$X$205,'Histórico de Gastos'!$B$6:$B$205,$A159))</x:f>
      </x:c>
      <x:c r="S159" s="63" t="str">
        <x:f>IF($A159="","",ABS($Q159-SUMIFS('Histórico de Gastos'!$U$6:$U$205,'Histórico de Gastos'!$B$6:$B$205,$A159)))</x:f>
      </x:c>
      <x:c r="T159" s="67" t="str">
        <x:f>IF($A159="","",IF(ABS($Q159-SUMIFS('Histórico de Gastos'!$U$6:$U$205,'Histórico de Gastos'!$B$6:$B$205,$A159))&lt;0.01,"Tudo certo",IF($Q159&gt;SUMIFS('Histórico de Gastos'!$U$6:$U$205,'Histórico de Gastos'!$B$6:$B$205,$A159),"Camilly deve para Pedro","Pedro deve para Camilly")))</x:f>
      </x:c>
      <x:c r="U159" s="36"/>
      <x:c r="V159" s="67" t="str">
        <x:f>IF($A159="","",IF(COUNTIFS('Checklist de Viagem'!$A$6:$A$205,$A159)=0,"Não",IF(COUNTIFS('Checklist de Viagem'!$A$6:$A$205,$A159,'Checklist de Viagem'!$H$6:$H$205,"Não")=0,"Sim","Não")))</x:f>
      </x:c>
      <x:c r="W159" s="36"/>
      <x:c r="X159" s="36"/>
      <x:c r="Y159" s="36"/>
      <x:c r="Z159" s="59"/>
      <x:c r="AA159" s="59"/>
      <x:c r="AB159" s="67" t="str">
        <x:f>IF($A159="","",IF($P159&gt;1,"Viagem acima do orçamento",IF(AND($K159&lt;&gt;"Concluída",$V159&lt;&gt;"Sim",$H159-TODAY()&lt;=15),"Viagem próxima sem checklist completo",IF($W159="","Passagem ainda não comprada",IF($X159="","Falta reservar hospedagem",IF($S159&gt;0,"Existe valor pendente de compensação","Tudo certo"))))))</x:f>
      </x:c>
      <x:c r="AC159" s="36"/>
    </x:row>
    <x:row r="160">
      <x:c r="A160" s="36"/>
      <x:c r="B160" s="36"/>
      <x:c r="C160" s="36"/>
      <x:c r="D160" s="36"/>
      <x:c r="E160" s="36"/>
      <x:c r="F160" s="36"/>
      <x:c r="G160" s="36"/>
      <x:c r="H160" s="59"/>
      <x:c r="I160" s="59"/>
      <x:c r="J160" s="61" t="str">
        <x:f>IF(OR($H160="",$I160=""),"",MAX($I160-$H160+1,1))</x:f>
      </x:c>
      <x:c r="K160" s="36"/>
      <x:c r="L160" s="36"/>
      <x:c r="M160" s="63" t="str">
        <x:f>IF($A160="","",SUMIFS('Custos Planejados - Pedro'!$G$6:$G$205,'Custos Planejados - Pedro'!$A$6:$A$205,$A160)+SUMIFS('Custos Planejados - Camilly'!$G$6:$G$205,'Custos Planejados - Camilly'!$A$6:$A$205,$A160))</x:f>
      </x:c>
      <x:c r="N160" s="63" t="str">
        <x:f>IF($A160="","",SUMIFS('Histórico de Gastos'!$J$6:$J$205,'Histórico de Gastos'!$B$6:$B$205,$A160))</x:f>
      </x:c>
      <x:c r="O160" s="63" t="str">
        <x:f>IF($A160="","",$M160-$N160)</x:f>
      </x:c>
      <x:c r="P160" s="65" t="str">
        <x:f>IF($A160="","",IFERROR($N160/$M160,0))</x:f>
      </x:c>
      <x:c r="Q160" s="63" t="str">
        <x:f>IF($A160="","",SUMIFS('Histórico de Gastos'!$W$6:$W$205,'Histórico de Gastos'!$B$6:$B$205,$A160))</x:f>
      </x:c>
      <x:c r="R160" s="63" t="str">
        <x:f>IF($A160="","",SUMIFS('Histórico de Gastos'!$X$6:$X$205,'Histórico de Gastos'!$B$6:$B$205,$A160))</x:f>
      </x:c>
      <x:c r="S160" s="63" t="str">
        <x:f>IF($A160="","",ABS($Q160-SUMIFS('Histórico de Gastos'!$U$6:$U$205,'Histórico de Gastos'!$B$6:$B$205,$A160)))</x:f>
      </x:c>
      <x:c r="T160" s="67" t="str">
        <x:f>IF($A160="","",IF(ABS($Q160-SUMIFS('Histórico de Gastos'!$U$6:$U$205,'Histórico de Gastos'!$B$6:$B$205,$A160))&lt;0.01,"Tudo certo",IF($Q160&gt;SUMIFS('Histórico de Gastos'!$U$6:$U$205,'Histórico de Gastos'!$B$6:$B$205,$A160),"Camilly deve para Pedro","Pedro deve para Camilly")))</x:f>
      </x:c>
      <x:c r="U160" s="36"/>
      <x:c r="V160" s="67" t="str">
        <x:f>IF($A160="","",IF(COUNTIFS('Checklist de Viagem'!$A$6:$A$205,$A160)=0,"Não",IF(COUNTIFS('Checklist de Viagem'!$A$6:$A$205,$A160,'Checklist de Viagem'!$H$6:$H$205,"Não")=0,"Sim","Não")))</x:f>
      </x:c>
      <x:c r="W160" s="36"/>
      <x:c r="X160" s="36"/>
      <x:c r="Y160" s="36"/>
      <x:c r="Z160" s="59"/>
      <x:c r="AA160" s="59"/>
      <x:c r="AB160" s="67" t="str">
        <x:f>IF($A160="","",IF($P160&gt;1,"Viagem acima do orçamento",IF(AND($K160&lt;&gt;"Concluída",$V160&lt;&gt;"Sim",$H160-TODAY()&lt;=15),"Viagem próxima sem checklist completo",IF($W160="","Passagem ainda não comprada",IF($X160="","Falta reservar hospedagem",IF($S160&gt;0,"Existe valor pendente de compensação","Tudo certo"))))))</x:f>
      </x:c>
      <x:c r="AC160" s="36"/>
    </x:row>
    <x:row r="161">
      <x:c r="A161" s="36"/>
      <x:c r="B161" s="36"/>
      <x:c r="C161" s="36"/>
      <x:c r="D161" s="36"/>
      <x:c r="E161" s="36"/>
      <x:c r="F161" s="36"/>
      <x:c r="G161" s="36"/>
      <x:c r="H161" s="59"/>
      <x:c r="I161" s="59"/>
      <x:c r="J161" s="61" t="str">
        <x:f>IF(OR($H161="",$I161=""),"",MAX($I161-$H161+1,1))</x:f>
      </x:c>
      <x:c r="K161" s="36"/>
      <x:c r="L161" s="36"/>
      <x:c r="M161" s="63" t="str">
        <x:f>IF($A161="","",SUMIFS('Custos Planejados - Pedro'!$G$6:$G$205,'Custos Planejados - Pedro'!$A$6:$A$205,$A161)+SUMIFS('Custos Planejados - Camilly'!$G$6:$G$205,'Custos Planejados - Camilly'!$A$6:$A$205,$A161))</x:f>
      </x:c>
      <x:c r="N161" s="63" t="str">
        <x:f>IF($A161="","",SUMIFS('Histórico de Gastos'!$J$6:$J$205,'Histórico de Gastos'!$B$6:$B$205,$A161))</x:f>
      </x:c>
      <x:c r="O161" s="63" t="str">
        <x:f>IF($A161="","",$M161-$N161)</x:f>
      </x:c>
      <x:c r="P161" s="65" t="str">
        <x:f>IF($A161="","",IFERROR($N161/$M161,0))</x:f>
      </x:c>
      <x:c r="Q161" s="63" t="str">
        <x:f>IF($A161="","",SUMIFS('Histórico de Gastos'!$W$6:$W$205,'Histórico de Gastos'!$B$6:$B$205,$A161))</x:f>
      </x:c>
      <x:c r="R161" s="63" t="str">
        <x:f>IF($A161="","",SUMIFS('Histórico de Gastos'!$X$6:$X$205,'Histórico de Gastos'!$B$6:$B$205,$A161))</x:f>
      </x:c>
      <x:c r="S161" s="63" t="str">
        <x:f>IF($A161="","",ABS($Q161-SUMIFS('Histórico de Gastos'!$U$6:$U$205,'Histórico de Gastos'!$B$6:$B$205,$A161)))</x:f>
      </x:c>
      <x:c r="T161" s="67" t="str">
        <x:f>IF($A161="","",IF(ABS($Q161-SUMIFS('Histórico de Gastos'!$U$6:$U$205,'Histórico de Gastos'!$B$6:$B$205,$A161))&lt;0.01,"Tudo certo",IF($Q161&gt;SUMIFS('Histórico de Gastos'!$U$6:$U$205,'Histórico de Gastos'!$B$6:$B$205,$A161),"Camilly deve para Pedro","Pedro deve para Camilly")))</x:f>
      </x:c>
      <x:c r="U161" s="36"/>
      <x:c r="V161" s="67" t="str">
        <x:f>IF($A161="","",IF(COUNTIFS('Checklist de Viagem'!$A$6:$A$205,$A161)=0,"Não",IF(COUNTIFS('Checklist de Viagem'!$A$6:$A$205,$A161,'Checklist de Viagem'!$H$6:$H$205,"Não")=0,"Sim","Não")))</x:f>
      </x:c>
      <x:c r="W161" s="36"/>
      <x:c r="X161" s="36"/>
      <x:c r="Y161" s="36"/>
      <x:c r="Z161" s="59"/>
      <x:c r="AA161" s="59"/>
      <x:c r="AB161" s="67" t="str">
        <x:f>IF($A161="","",IF($P161&gt;1,"Viagem acima do orçamento",IF(AND($K161&lt;&gt;"Concluída",$V161&lt;&gt;"Sim",$H161-TODAY()&lt;=15),"Viagem próxima sem checklist completo",IF($W161="","Passagem ainda não comprada",IF($X161="","Falta reservar hospedagem",IF($S161&gt;0,"Existe valor pendente de compensação","Tudo certo"))))))</x:f>
      </x:c>
      <x:c r="AC161" s="36"/>
    </x:row>
    <x:row r="162">
      <x:c r="A162" s="36"/>
      <x:c r="B162" s="36"/>
      <x:c r="C162" s="36"/>
      <x:c r="D162" s="36"/>
      <x:c r="E162" s="36"/>
      <x:c r="F162" s="36"/>
      <x:c r="G162" s="36"/>
      <x:c r="H162" s="59"/>
      <x:c r="I162" s="59"/>
      <x:c r="J162" s="61" t="str">
        <x:f>IF(OR($H162="",$I162=""),"",MAX($I162-$H162+1,1))</x:f>
      </x:c>
      <x:c r="K162" s="36"/>
      <x:c r="L162" s="36"/>
      <x:c r="M162" s="63" t="str">
        <x:f>IF($A162="","",SUMIFS('Custos Planejados - Pedro'!$G$6:$G$205,'Custos Planejados - Pedro'!$A$6:$A$205,$A162)+SUMIFS('Custos Planejados - Camilly'!$G$6:$G$205,'Custos Planejados - Camilly'!$A$6:$A$205,$A162))</x:f>
      </x:c>
      <x:c r="N162" s="63" t="str">
        <x:f>IF($A162="","",SUMIFS('Histórico de Gastos'!$J$6:$J$205,'Histórico de Gastos'!$B$6:$B$205,$A162))</x:f>
      </x:c>
      <x:c r="O162" s="63" t="str">
        <x:f>IF($A162="","",$M162-$N162)</x:f>
      </x:c>
      <x:c r="P162" s="65" t="str">
        <x:f>IF($A162="","",IFERROR($N162/$M162,0))</x:f>
      </x:c>
      <x:c r="Q162" s="63" t="str">
        <x:f>IF($A162="","",SUMIFS('Histórico de Gastos'!$W$6:$W$205,'Histórico de Gastos'!$B$6:$B$205,$A162))</x:f>
      </x:c>
      <x:c r="R162" s="63" t="str">
        <x:f>IF($A162="","",SUMIFS('Histórico de Gastos'!$X$6:$X$205,'Histórico de Gastos'!$B$6:$B$205,$A162))</x:f>
      </x:c>
      <x:c r="S162" s="63" t="str">
        <x:f>IF($A162="","",ABS($Q162-SUMIFS('Histórico de Gastos'!$U$6:$U$205,'Histórico de Gastos'!$B$6:$B$205,$A162)))</x:f>
      </x:c>
      <x:c r="T162" s="67" t="str">
        <x:f>IF($A162="","",IF(ABS($Q162-SUMIFS('Histórico de Gastos'!$U$6:$U$205,'Histórico de Gastos'!$B$6:$B$205,$A162))&lt;0.01,"Tudo certo",IF($Q162&gt;SUMIFS('Histórico de Gastos'!$U$6:$U$205,'Histórico de Gastos'!$B$6:$B$205,$A162),"Camilly deve para Pedro","Pedro deve para Camilly")))</x:f>
      </x:c>
      <x:c r="U162" s="36"/>
      <x:c r="V162" s="67" t="str">
        <x:f>IF($A162="","",IF(COUNTIFS('Checklist de Viagem'!$A$6:$A$205,$A162)=0,"Não",IF(COUNTIFS('Checklist de Viagem'!$A$6:$A$205,$A162,'Checklist de Viagem'!$H$6:$H$205,"Não")=0,"Sim","Não")))</x:f>
      </x:c>
      <x:c r="W162" s="36"/>
      <x:c r="X162" s="36"/>
      <x:c r="Y162" s="36"/>
      <x:c r="Z162" s="59"/>
      <x:c r="AA162" s="59"/>
      <x:c r="AB162" s="67" t="str">
        <x:f>IF($A162="","",IF($P162&gt;1,"Viagem acima do orçamento",IF(AND($K162&lt;&gt;"Concluída",$V162&lt;&gt;"Sim",$H162-TODAY()&lt;=15),"Viagem próxima sem checklist completo",IF($W162="","Passagem ainda não comprada",IF($X162="","Falta reservar hospedagem",IF($S162&gt;0,"Existe valor pendente de compensação","Tudo certo"))))))</x:f>
      </x:c>
      <x:c r="AC162" s="36"/>
    </x:row>
    <x:row r="163">
      <x:c r="A163" s="36"/>
      <x:c r="B163" s="36"/>
      <x:c r="C163" s="36"/>
      <x:c r="D163" s="36"/>
      <x:c r="E163" s="36"/>
      <x:c r="F163" s="36"/>
      <x:c r="G163" s="36"/>
      <x:c r="H163" s="59"/>
      <x:c r="I163" s="59"/>
      <x:c r="J163" s="61" t="str">
        <x:f>IF(OR($H163="",$I163=""),"",MAX($I163-$H163+1,1))</x:f>
      </x:c>
      <x:c r="K163" s="36"/>
      <x:c r="L163" s="36"/>
      <x:c r="M163" s="63" t="str">
        <x:f>IF($A163="","",SUMIFS('Custos Planejados - Pedro'!$G$6:$G$205,'Custos Planejados - Pedro'!$A$6:$A$205,$A163)+SUMIFS('Custos Planejados - Camilly'!$G$6:$G$205,'Custos Planejados - Camilly'!$A$6:$A$205,$A163))</x:f>
      </x:c>
      <x:c r="N163" s="63" t="str">
        <x:f>IF($A163="","",SUMIFS('Histórico de Gastos'!$J$6:$J$205,'Histórico de Gastos'!$B$6:$B$205,$A163))</x:f>
      </x:c>
      <x:c r="O163" s="63" t="str">
        <x:f>IF($A163="","",$M163-$N163)</x:f>
      </x:c>
      <x:c r="P163" s="65" t="str">
        <x:f>IF($A163="","",IFERROR($N163/$M163,0))</x:f>
      </x:c>
      <x:c r="Q163" s="63" t="str">
        <x:f>IF($A163="","",SUMIFS('Histórico de Gastos'!$W$6:$W$205,'Histórico de Gastos'!$B$6:$B$205,$A163))</x:f>
      </x:c>
      <x:c r="R163" s="63" t="str">
        <x:f>IF($A163="","",SUMIFS('Histórico de Gastos'!$X$6:$X$205,'Histórico de Gastos'!$B$6:$B$205,$A163))</x:f>
      </x:c>
      <x:c r="S163" s="63" t="str">
        <x:f>IF($A163="","",ABS($Q163-SUMIFS('Histórico de Gastos'!$U$6:$U$205,'Histórico de Gastos'!$B$6:$B$205,$A163)))</x:f>
      </x:c>
      <x:c r="T163" s="67" t="str">
        <x:f>IF($A163="","",IF(ABS($Q163-SUMIFS('Histórico de Gastos'!$U$6:$U$205,'Histórico de Gastos'!$B$6:$B$205,$A163))&lt;0.01,"Tudo certo",IF($Q163&gt;SUMIFS('Histórico de Gastos'!$U$6:$U$205,'Histórico de Gastos'!$B$6:$B$205,$A163),"Camilly deve para Pedro","Pedro deve para Camilly")))</x:f>
      </x:c>
      <x:c r="U163" s="36"/>
      <x:c r="V163" s="67" t="str">
        <x:f>IF($A163="","",IF(COUNTIFS('Checklist de Viagem'!$A$6:$A$205,$A163)=0,"Não",IF(COUNTIFS('Checklist de Viagem'!$A$6:$A$205,$A163,'Checklist de Viagem'!$H$6:$H$205,"Não")=0,"Sim","Não")))</x:f>
      </x:c>
      <x:c r="W163" s="36"/>
      <x:c r="X163" s="36"/>
      <x:c r="Y163" s="36"/>
      <x:c r="Z163" s="59"/>
      <x:c r="AA163" s="59"/>
      <x:c r="AB163" s="67" t="str">
        <x:f>IF($A163="","",IF($P163&gt;1,"Viagem acima do orçamento",IF(AND($K163&lt;&gt;"Concluída",$V163&lt;&gt;"Sim",$H163-TODAY()&lt;=15),"Viagem próxima sem checklist completo",IF($W163="","Passagem ainda não comprada",IF($X163="","Falta reservar hospedagem",IF($S163&gt;0,"Existe valor pendente de compensação","Tudo certo"))))))</x:f>
      </x:c>
      <x:c r="AC163" s="36"/>
    </x:row>
    <x:row r="164">
      <x:c r="A164" s="36"/>
      <x:c r="B164" s="36"/>
      <x:c r="C164" s="36"/>
      <x:c r="D164" s="36"/>
      <x:c r="E164" s="36"/>
      <x:c r="F164" s="36"/>
      <x:c r="G164" s="36"/>
      <x:c r="H164" s="59"/>
      <x:c r="I164" s="59"/>
      <x:c r="J164" s="61" t="str">
        <x:f>IF(OR($H164="",$I164=""),"",MAX($I164-$H164+1,1))</x:f>
      </x:c>
      <x:c r="K164" s="36"/>
      <x:c r="L164" s="36"/>
      <x:c r="M164" s="63" t="str">
        <x:f>IF($A164="","",SUMIFS('Custos Planejados - Pedro'!$G$6:$G$205,'Custos Planejados - Pedro'!$A$6:$A$205,$A164)+SUMIFS('Custos Planejados - Camilly'!$G$6:$G$205,'Custos Planejados - Camilly'!$A$6:$A$205,$A164))</x:f>
      </x:c>
      <x:c r="N164" s="63" t="str">
        <x:f>IF($A164="","",SUMIFS('Histórico de Gastos'!$J$6:$J$205,'Histórico de Gastos'!$B$6:$B$205,$A164))</x:f>
      </x:c>
      <x:c r="O164" s="63" t="str">
        <x:f>IF($A164="","",$M164-$N164)</x:f>
      </x:c>
      <x:c r="P164" s="65" t="str">
        <x:f>IF($A164="","",IFERROR($N164/$M164,0))</x:f>
      </x:c>
      <x:c r="Q164" s="63" t="str">
        <x:f>IF($A164="","",SUMIFS('Histórico de Gastos'!$W$6:$W$205,'Histórico de Gastos'!$B$6:$B$205,$A164))</x:f>
      </x:c>
      <x:c r="R164" s="63" t="str">
        <x:f>IF($A164="","",SUMIFS('Histórico de Gastos'!$X$6:$X$205,'Histórico de Gastos'!$B$6:$B$205,$A164))</x:f>
      </x:c>
      <x:c r="S164" s="63" t="str">
        <x:f>IF($A164="","",ABS($Q164-SUMIFS('Histórico de Gastos'!$U$6:$U$205,'Histórico de Gastos'!$B$6:$B$205,$A164)))</x:f>
      </x:c>
      <x:c r="T164" s="67" t="str">
        <x:f>IF($A164="","",IF(ABS($Q164-SUMIFS('Histórico de Gastos'!$U$6:$U$205,'Histórico de Gastos'!$B$6:$B$205,$A164))&lt;0.01,"Tudo certo",IF($Q164&gt;SUMIFS('Histórico de Gastos'!$U$6:$U$205,'Histórico de Gastos'!$B$6:$B$205,$A164),"Camilly deve para Pedro","Pedro deve para Camilly")))</x:f>
      </x:c>
      <x:c r="U164" s="36"/>
      <x:c r="V164" s="67" t="str">
        <x:f>IF($A164="","",IF(COUNTIFS('Checklist de Viagem'!$A$6:$A$205,$A164)=0,"Não",IF(COUNTIFS('Checklist de Viagem'!$A$6:$A$205,$A164,'Checklist de Viagem'!$H$6:$H$205,"Não")=0,"Sim","Não")))</x:f>
      </x:c>
      <x:c r="W164" s="36"/>
      <x:c r="X164" s="36"/>
      <x:c r="Y164" s="36"/>
      <x:c r="Z164" s="59"/>
      <x:c r="AA164" s="59"/>
      <x:c r="AB164" s="67" t="str">
        <x:f>IF($A164="","",IF($P164&gt;1,"Viagem acima do orçamento",IF(AND($K164&lt;&gt;"Concluída",$V164&lt;&gt;"Sim",$H164-TODAY()&lt;=15),"Viagem próxima sem checklist completo",IF($W164="","Passagem ainda não comprada",IF($X164="","Falta reservar hospedagem",IF($S164&gt;0,"Existe valor pendente de compensação","Tudo certo"))))))</x:f>
      </x:c>
      <x:c r="AC164" s="36"/>
    </x:row>
    <x:row r="165">
      <x:c r="A165" s="36"/>
      <x:c r="B165" s="36"/>
      <x:c r="C165" s="36"/>
      <x:c r="D165" s="36"/>
      <x:c r="E165" s="36"/>
      <x:c r="F165" s="36"/>
      <x:c r="G165" s="36"/>
      <x:c r="H165" s="59"/>
      <x:c r="I165" s="59"/>
      <x:c r="J165" s="61" t="str">
        <x:f>IF(OR($H165="",$I165=""),"",MAX($I165-$H165+1,1))</x:f>
      </x:c>
      <x:c r="K165" s="36"/>
      <x:c r="L165" s="36"/>
      <x:c r="M165" s="63" t="str">
        <x:f>IF($A165="","",SUMIFS('Custos Planejados - Pedro'!$G$6:$G$205,'Custos Planejados - Pedro'!$A$6:$A$205,$A165)+SUMIFS('Custos Planejados - Camilly'!$G$6:$G$205,'Custos Planejados - Camilly'!$A$6:$A$205,$A165))</x:f>
      </x:c>
      <x:c r="N165" s="63" t="str">
        <x:f>IF($A165="","",SUMIFS('Histórico de Gastos'!$J$6:$J$205,'Histórico de Gastos'!$B$6:$B$205,$A165))</x:f>
      </x:c>
      <x:c r="O165" s="63" t="str">
        <x:f>IF($A165="","",$M165-$N165)</x:f>
      </x:c>
      <x:c r="P165" s="65" t="str">
        <x:f>IF($A165="","",IFERROR($N165/$M165,0))</x:f>
      </x:c>
      <x:c r="Q165" s="63" t="str">
        <x:f>IF($A165="","",SUMIFS('Histórico de Gastos'!$W$6:$W$205,'Histórico de Gastos'!$B$6:$B$205,$A165))</x:f>
      </x:c>
      <x:c r="R165" s="63" t="str">
        <x:f>IF($A165="","",SUMIFS('Histórico de Gastos'!$X$6:$X$205,'Histórico de Gastos'!$B$6:$B$205,$A165))</x:f>
      </x:c>
      <x:c r="S165" s="63" t="str">
        <x:f>IF($A165="","",ABS($Q165-SUMIFS('Histórico de Gastos'!$U$6:$U$205,'Histórico de Gastos'!$B$6:$B$205,$A165)))</x:f>
      </x:c>
      <x:c r="T165" s="67" t="str">
        <x:f>IF($A165="","",IF(ABS($Q165-SUMIFS('Histórico de Gastos'!$U$6:$U$205,'Histórico de Gastos'!$B$6:$B$205,$A165))&lt;0.01,"Tudo certo",IF($Q165&gt;SUMIFS('Histórico de Gastos'!$U$6:$U$205,'Histórico de Gastos'!$B$6:$B$205,$A165),"Camilly deve para Pedro","Pedro deve para Camilly")))</x:f>
      </x:c>
      <x:c r="U165" s="36"/>
      <x:c r="V165" s="67" t="str">
        <x:f>IF($A165="","",IF(COUNTIFS('Checklist de Viagem'!$A$6:$A$205,$A165)=0,"Não",IF(COUNTIFS('Checklist de Viagem'!$A$6:$A$205,$A165,'Checklist de Viagem'!$H$6:$H$205,"Não")=0,"Sim","Não")))</x:f>
      </x:c>
      <x:c r="W165" s="36"/>
      <x:c r="X165" s="36"/>
      <x:c r="Y165" s="36"/>
      <x:c r="Z165" s="59"/>
      <x:c r="AA165" s="59"/>
      <x:c r="AB165" s="67" t="str">
        <x:f>IF($A165="","",IF($P165&gt;1,"Viagem acima do orçamento",IF(AND($K165&lt;&gt;"Concluída",$V165&lt;&gt;"Sim",$H165-TODAY()&lt;=15),"Viagem próxima sem checklist completo",IF($W165="","Passagem ainda não comprada",IF($X165="","Falta reservar hospedagem",IF($S165&gt;0,"Existe valor pendente de compensação","Tudo certo"))))))</x:f>
      </x:c>
      <x:c r="AC165" s="36"/>
    </x:row>
    <x:row r="166">
      <x:c r="A166" s="36"/>
      <x:c r="B166" s="36"/>
      <x:c r="C166" s="36"/>
      <x:c r="D166" s="36"/>
      <x:c r="E166" s="36"/>
      <x:c r="F166" s="36"/>
      <x:c r="G166" s="36"/>
      <x:c r="H166" s="59"/>
      <x:c r="I166" s="59"/>
      <x:c r="J166" s="61" t="str">
        <x:f>IF(OR($H166="",$I166=""),"",MAX($I166-$H166+1,1))</x:f>
      </x:c>
      <x:c r="K166" s="36"/>
      <x:c r="L166" s="36"/>
      <x:c r="M166" s="63" t="str">
        <x:f>IF($A166="","",SUMIFS('Custos Planejados - Pedro'!$G$6:$G$205,'Custos Planejados - Pedro'!$A$6:$A$205,$A166)+SUMIFS('Custos Planejados - Camilly'!$G$6:$G$205,'Custos Planejados - Camilly'!$A$6:$A$205,$A166))</x:f>
      </x:c>
      <x:c r="N166" s="63" t="str">
        <x:f>IF($A166="","",SUMIFS('Histórico de Gastos'!$J$6:$J$205,'Histórico de Gastos'!$B$6:$B$205,$A166))</x:f>
      </x:c>
      <x:c r="O166" s="63" t="str">
        <x:f>IF($A166="","",$M166-$N166)</x:f>
      </x:c>
      <x:c r="P166" s="65" t="str">
        <x:f>IF($A166="","",IFERROR($N166/$M166,0))</x:f>
      </x:c>
      <x:c r="Q166" s="63" t="str">
        <x:f>IF($A166="","",SUMIFS('Histórico de Gastos'!$W$6:$W$205,'Histórico de Gastos'!$B$6:$B$205,$A166))</x:f>
      </x:c>
      <x:c r="R166" s="63" t="str">
        <x:f>IF($A166="","",SUMIFS('Histórico de Gastos'!$X$6:$X$205,'Histórico de Gastos'!$B$6:$B$205,$A166))</x:f>
      </x:c>
      <x:c r="S166" s="63" t="str">
        <x:f>IF($A166="","",ABS($Q166-SUMIFS('Histórico de Gastos'!$U$6:$U$205,'Histórico de Gastos'!$B$6:$B$205,$A166)))</x:f>
      </x:c>
      <x:c r="T166" s="67" t="str">
        <x:f>IF($A166="","",IF(ABS($Q166-SUMIFS('Histórico de Gastos'!$U$6:$U$205,'Histórico de Gastos'!$B$6:$B$205,$A166))&lt;0.01,"Tudo certo",IF($Q166&gt;SUMIFS('Histórico de Gastos'!$U$6:$U$205,'Histórico de Gastos'!$B$6:$B$205,$A166),"Camilly deve para Pedro","Pedro deve para Camilly")))</x:f>
      </x:c>
      <x:c r="U166" s="36"/>
      <x:c r="V166" s="67" t="str">
        <x:f>IF($A166="","",IF(COUNTIFS('Checklist de Viagem'!$A$6:$A$205,$A166)=0,"Não",IF(COUNTIFS('Checklist de Viagem'!$A$6:$A$205,$A166,'Checklist de Viagem'!$H$6:$H$205,"Não")=0,"Sim","Não")))</x:f>
      </x:c>
      <x:c r="W166" s="36"/>
      <x:c r="X166" s="36"/>
      <x:c r="Y166" s="36"/>
      <x:c r="Z166" s="59"/>
      <x:c r="AA166" s="59"/>
      <x:c r="AB166" s="67" t="str">
        <x:f>IF($A166="","",IF($P166&gt;1,"Viagem acima do orçamento",IF(AND($K166&lt;&gt;"Concluída",$V166&lt;&gt;"Sim",$H166-TODAY()&lt;=15),"Viagem próxima sem checklist completo",IF($W166="","Passagem ainda não comprada",IF($X166="","Falta reservar hospedagem",IF($S166&gt;0,"Existe valor pendente de compensação","Tudo certo"))))))</x:f>
      </x:c>
      <x:c r="AC166" s="36"/>
    </x:row>
    <x:row r="167">
      <x:c r="A167" s="36"/>
      <x:c r="B167" s="36"/>
      <x:c r="C167" s="36"/>
      <x:c r="D167" s="36"/>
      <x:c r="E167" s="36"/>
      <x:c r="F167" s="36"/>
      <x:c r="G167" s="36"/>
      <x:c r="H167" s="59"/>
      <x:c r="I167" s="59"/>
      <x:c r="J167" s="61" t="str">
        <x:f>IF(OR($H167="",$I167=""),"",MAX($I167-$H167+1,1))</x:f>
      </x:c>
      <x:c r="K167" s="36"/>
      <x:c r="L167" s="36"/>
      <x:c r="M167" s="63" t="str">
        <x:f>IF($A167="","",SUMIFS('Custos Planejados - Pedro'!$G$6:$G$205,'Custos Planejados - Pedro'!$A$6:$A$205,$A167)+SUMIFS('Custos Planejados - Camilly'!$G$6:$G$205,'Custos Planejados - Camilly'!$A$6:$A$205,$A167))</x:f>
      </x:c>
      <x:c r="N167" s="63" t="str">
        <x:f>IF($A167="","",SUMIFS('Histórico de Gastos'!$J$6:$J$205,'Histórico de Gastos'!$B$6:$B$205,$A167))</x:f>
      </x:c>
      <x:c r="O167" s="63" t="str">
        <x:f>IF($A167="","",$M167-$N167)</x:f>
      </x:c>
      <x:c r="P167" s="65" t="str">
        <x:f>IF($A167="","",IFERROR($N167/$M167,0))</x:f>
      </x:c>
      <x:c r="Q167" s="63" t="str">
        <x:f>IF($A167="","",SUMIFS('Histórico de Gastos'!$W$6:$W$205,'Histórico de Gastos'!$B$6:$B$205,$A167))</x:f>
      </x:c>
      <x:c r="R167" s="63" t="str">
        <x:f>IF($A167="","",SUMIFS('Histórico de Gastos'!$X$6:$X$205,'Histórico de Gastos'!$B$6:$B$205,$A167))</x:f>
      </x:c>
      <x:c r="S167" s="63" t="str">
        <x:f>IF($A167="","",ABS($Q167-SUMIFS('Histórico de Gastos'!$U$6:$U$205,'Histórico de Gastos'!$B$6:$B$205,$A167)))</x:f>
      </x:c>
      <x:c r="T167" s="67" t="str">
        <x:f>IF($A167="","",IF(ABS($Q167-SUMIFS('Histórico de Gastos'!$U$6:$U$205,'Histórico de Gastos'!$B$6:$B$205,$A167))&lt;0.01,"Tudo certo",IF($Q167&gt;SUMIFS('Histórico de Gastos'!$U$6:$U$205,'Histórico de Gastos'!$B$6:$B$205,$A167),"Camilly deve para Pedro","Pedro deve para Camilly")))</x:f>
      </x:c>
      <x:c r="U167" s="36"/>
      <x:c r="V167" s="67" t="str">
        <x:f>IF($A167="","",IF(COUNTIFS('Checklist de Viagem'!$A$6:$A$205,$A167)=0,"Não",IF(COUNTIFS('Checklist de Viagem'!$A$6:$A$205,$A167,'Checklist de Viagem'!$H$6:$H$205,"Não")=0,"Sim","Não")))</x:f>
      </x:c>
      <x:c r="W167" s="36"/>
      <x:c r="X167" s="36"/>
      <x:c r="Y167" s="36"/>
      <x:c r="Z167" s="59"/>
      <x:c r="AA167" s="59"/>
      <x:c r="AB167" s="67" t="str">
        <x:f>IF($A167="","",IF($P167&gt;1,"Viagem acima do orçamento",IF(AND($K167&lt;&gt;"Concluída",$V167&lt;&gt;"Sim",$H167-TODAY()&lt;=15),"Viagem próxima sem checklist completo",IF($W167="","Passagem ainda não comprada",IF($X167="","Falta reservar hospedagem",IF($S167&gt;0,"Existe valor pendente de compensação","Tudo certo"))))))</x:f>
      </x:c>
      <x:c r="AC167" s="36"/>
    </x:row>
    <x:row r="168">
      <x:c r="A168" s="36"/>
      <x:c r="B168" s="36"/>
      <x:c r="C168" s="36"/>
      <x:c r="D168" s="36"/>
      <x:c r="E168" s="36"/>
      <x:c r="F168" s="36"/>
      <x:c r="G168" s="36"/>
      <x:c r="H168" s="59"/>
      <x:c r="I168" s="59"/>
      <x:c r="J168" s="61" t="str">
        <x:f>IF(OR($H168="",$I168=""),"",MAX($I168-$H168+1,1))</x:f>
      </x:c>
      <x:c r="K168" s="36"/>
      <x:c r="L168" s="36"/>
      <x:c r="M168" s="63" t="str">
        <x:f>IF($A168="","",SUMIFS('Custos Planejados - Pedro'!$G$6:$G$205,'Custos Planejados - Pedro'!$A$6:$A$205,$A168)+SUMIFS('Custos Planejados - Camilly'!$G$6:$G$205,'Custos Planejados - Camilly'!$A$6:$A$205,$A168))</x:f>
      </x:c>
      <x:c r="N168" s="63" t="str">
        <x:f>IF($A168="","",SUMIFS('Histórico de Gastos'!$J$6:$J$205,'Histórico de Gastos'!$B$6:$B$205,$A168))</x:f>
      </x:c>
      <x:c r="O168" s="63" t="str">
        <x:f>IF($A168="","",$M168-$N168)</x:f>
      </x:c>
      <x:c r="P168" s="65" t="str">
        <x:f>IF($A168="","",IFERROR($N168/$M168,0))</x:f>
      </x:c>
      <x:c r="Q168" s="63" t="str">
        <x:f>IF($A168="","",SUMIFS('Histórico de Gastos'!$W$6:$W$205,'Histórico de Gastos'!$B$6:$B$205,$A168))</x:f>
      </x:c>
      <x:c r="R168" s="63" t="str">
        <x:f>IF($A168="","",SUMIFS('Histórico de Gastos'!$X$6:$X$205,'Histórico de Gastos'!$B$6:$B$205,$A168))</x:f>
      </x:c>
      <x:c r="S168" s="63" t="str">
        <x:f>IF($A168="","",ABS($Q168-SUMIFS('Histórico de Gastos'!$U$6:$U$205,'Histórico de Gastos'!$B$6:$B$205,$A168)))</x:f>
      </x:c>
      <x:c r="T168" s="67" t="str">
        <x:f>IF($A168="","",IF(ABS($Q168-SUMIFS('Histórico de Gastos'!$U$6:$U$205,'Histórico de Gastos'!$B$6:$B$205,$A168))&lt;0.01,"Tudo certo",IF($Q168&gt;SUMIFS('Histórico de Gastos'!$U$6:$U$205,'Histórico de Gastos'!$B$6:$B$205,$A168),"Camilly deve para Pedro","Pedro deve para Camilly")))</x:f>
      </x:c>
      <x:c r="U168" s="36"/>
      <x:c r="V168" s="67" t="str">
        <x:f>IF($A168="","",IF(COUNTIFS('Checklist de Viagem'!$A$6:$A$205,$A168)=0,"Não",IF(COUNTIFS('Checklist de Viagem'!$A$6:$A$205,$A168,'Checklist de Viagem'!$H$6:$H$205,"Não")=0,"Sim","Não")))</x:f>
      </x:c>
      <x:c r="W168" s="36"/>
      <x:c r="X168" s="36"/>
      <x:c r="Y168" s="36"/>
      <x:c r="Z168" s="59"/>
      <x:c r="AA168" s="59"/>
      <x:c r="AB168" s="67" t="str">
        <x:f>IF($A168="","",IF($P168&gt;1,"Viagem acima do orçamento",IF(AND($K168&lt;&gt;"Concluída",$V168&lt;&gt;"Sim",$H168-TODAY()&lt;=15),"Viagem próxima sem checklist completo",IF($W168="","Passagem ainda não comprada",IF($X168="","Falta reservar hospedagem",IF($S168&gt;0,"Existe valor pendente de compensação","Tudo certo"))))))</x:f>
      </x:c>
      <x:c r="AC168" s="36"/>
    </x:row>
    <x:row r="169">
      <x:c r="A169" s="36"/>
      <x:c r="B169" s="36"/>
      <x:c r="C169" s="36"/>
      <x:c r="D169" s="36"/>
      <x:c r="E169" s="36"/>
      <x:c r="F169" s="36"/>
      <x:c r="G169" s="36"/>
      <x:c r="H169" s="59"/>
      <x:c r="I169" s="59"/>
      <x:c r="J169" s="61" t="str">
        <x:f>IF(OR($H169="",$I169=""),"",MAX($I169-$H169+1,1))</x:f>
      </x:c>
      <x:c r="K169" s="36"/>
      <x:c r="L169" s="36"/>
      <x:c r="M169" s="63" t="str">
        <x:f>IF($A169="","",SUMIFS('Custos Planejados - Pedro'!$G$6:$G$205,'Custos Planejados - Pedro'!$A$6:$A$205,$A169)+SUMIFS('Custos Planejados - Camilly'!$G$6:$G$205,'Custos Planejados - Camilly'!$A$6:$A$205,$A169))</x:f>
      </x:c>
      <x:c r="N169" s="63" t="str">
        <x:f>IF($A169="","",SUMIFS('Histórico de Gastos'!$J$6:$J$205,'Histórico de Gastos'!$B$6:$B$205,$A169))</x:f>
      </x:c>
      <x:c r="O169" s="63" t="str">
        <x:f>IF($A169="","",$M169-$N169)</x:f>
      </x:c>
      <x:c r="P169" s="65" t="str">
        <x:f>IF($A169="","",IFERROR($N169/$M169,0))</x:f>
      </x:c>
      <x:c r="Q169" s="63" t="str">
        <x:f>IF($A169="","",SUMIFS('Histórico de Gastos'!$W$6:$W$205,'Histórico de Gastos'!$B$6:$B$205,$A169))</x:f>
      </x:c>
      <x:c r="R169" s="63" t="str">
        <x:f>IF($A169="","",SUMIFS('Histórico de Gastos'!$X$6:$X$205,'Histórico de Gastos'!$B$6:$B$205,$A169))</x:f>
      </x:c>
      <x:c r="S169" s="63" t="str">
        <x:f>IF($A169="","",ABS($Q169-SUMIFS('Histórico de Gastos'!$U$6:$U$205,'Histórico de Gastos'!$B$6:$B$205,$A169)))</x:f>
      </x:c>
      <x:c r="T169" s="67" t="str">
        <x:f>IF($A169="","",IF(ABS($Q169-SUMIFS('Histórico de Gastos'!$U$6:$U$205,'Histórico de Gastos'!$B$6:$B$205,$A169))&lt;0.01,"Tudo certo",IF($Q169&gt;SUMIFS('Histórico de Gastos'!$U$6:$U$205,'Histórico de Gastos'!$B$6:$B$205,$A169),"Camilly deve para Pedro","Pedro deve para Camilly")))</x:f>
      </x:c>
      <x:c r="U169" s="36"/>
      <x:c r="V169" s="67" t="str">
        <x:f>IF($A169="","",IF(COUNTIFS('Checklist de Viagem'!$A$6:$A$205,$A169)=0,"Não",IF(COUNTIFS('Checklist de Viagem'!$A$6:$A$205,$A169,'Checklist de Viagem'!$H$6:$H$205,"Não")=0,"Sim","Não")))</x:f>
      </x:c>
      <x:c r="W169" s="36"/>
      <x:c r="X169" s="36"/>
      <x:c r="Y169" s="36"/>
      <x:c r="Z169" s="59"/>
      <x:c r="AA169" s="59"/>
      <x:c r="AB169" s="67" t="str">
        <x:f>IF($A169="","",IF($P169&gt;1,"Viagem acima do orçamento",IF(AND($K169&lt;&gt;"Concluída",$V169&lt;&gt;"Sim",$H169-TODAY()&lt;=15),"Viagem próxima sem checklist completo",IF($W169="","Passagem ainda não comprada",IF($X169="","Falta reservar hospedagem",IF($S169&gt;0,"Existe valor pendente de compensação","Tudo certo"))))))</x:f>
      </x:c>
      <x:c r="AC169" s="36"/>
    </x:row>
    <x:row r="170">
      <x:c r="A170" s="36"/>
      <x:c r="B170" s="36"/>
      <x:c r="C170" s="36"/>
      <x:c r="D170" s="36"/>
      <x:c r="E170" s="36"/>
      <x:c r="F170" s="36"/>
      <x:c r="G170" s="36"/>
      <x:c r="H170" s="59"/>
      <x:c r="I170" s="59"/>
      <x:c r="J170" s="61" t="str">
        <x:f>IF(OR($H170="",$I170=""),"",MAX($I170-$H170+1,1))</x:f>
      </x:c>
      <x:c r="K170" s="36"/>
      <x:c r="L170" s="36"/>
      <x:c r="M170" s="63" t="str">
        <x:f>IF($A170="","",SUMIFS('Custos Planejados - Pedro'!$G$6:$G$205,'Custos Planejados - Pedro'!$A$6:$A$205,$A170)+SUMIFS('Custos Planejados - Camilly'!$G$6:$G$205,'Custos Planejados - Camilly'!$A$6:$A$205,$A170))</x:f>
      </x:c>
      <x:c r="N170" s="63" t="str">
        <x:f>IF($A170="","",SUMIFS('Histórico de Gastos'!$J$6:$J$205,'Histórico de Gastos'!$B$6:$B$205,$A170))</x:f>
      </x:c>
      <x:c r="O170" s="63" t="str">
        <x:f>IF($A170="","",$M170-$N170)</x:f>
      </x:c>
      <x:c r="P170" s="65" t="str">
        <x:f>IF($A170="","",IFERROR($N170/$M170,0))</x:f>
      </x:c>
      <x:c r="Q170" s="63" t="str">
        <x:f>IF($A170="","",SUMIFS('Histórico de Gastos'!$W$6:$W$205,'Histórico de Gastos'!$B$6:$B$205,$A170))</x:f>
      </x:c>
      <x:c r="R170" s="63" t="str">
        <x:f>IF($A170="","",SUMIFS('Histórico de Gastos'!$X$6:$X$205,'Histórico de Gastos'!$B$6:$B$205,$A170))</x:f>
      </x:c>
      <x:c r="S170" s="63" t="str">
        <x:f>IF($A170="","",ABS($Q170-SUMIFS('Histórico de Gastos'!$U$6:$U$205,'Histórico de Gastos'!$B$6:$B$205,$A170)))</x:f>
      </x:c>
      <x:c r="T170" s="67" t="str">
        <x:f>IF($A170="","",IF(ABS($Q170-SUMIFS('Histórico de Gastos'!$U$6:$U$205,'Histórico de Gastos'!$B$6:$B$205,$A170))&lt;0.01,"Tudo certo",IF($Q170&gt;SUMIFS('Histórico de Gastos'!$U$6:$U$205,'Histórico de Gastos'!$B$6:$B$205,$A170),"Camilly deve para Pedro","Pedro deve para Camilly")))</x:f>
      </x:c>
      <x:c r="U170" s="36"/>
      <x:c r="V170" s="67" t="str">
        <x:f>IF($A170="","",IF(COUNTIFS('Checklist de Viagem'!$A$6:$A$205,$A170)=0,"Não",IF(COUNTIFS('Checklist de Viagem'!$A$6:$A$205,$A170,'Checklist de Viagem'!$H$6:$H$205,"Não")=0,"Sim","Não")))</x:f>
      </x:c>
      <x:c r="W170" s="36"/>
      <x:c r="X170" s="36"/>
      <x:c r="Y170" s="36"/>
      <x:c r="Z170" s="59"/>
      <x:c r="AA170" s="59"/>
      <x:c r="AB170" s="67" t="str">
        <x:f>IF($A170="","",IF($P170&gt;1,"Viagem acima do orçamento",IF(AND($K170&lt;&gt;"Concluída",$V170&lt;&gt;"Sim",$H170-TODAY()&lt;=15),"Viagem próxima sem checklist completo",IF($W170="","Passagem ainda não comprada",IF($X170="","Falta reservar hospedagem",IF($S170&gt;0,"Existe valor pendente de compensação","Tudo certo"))))))</x:f>
      </x:c>
      <x:c r="AC170" s="36"/>
    </x:row>
    <x:row r="171">
      <x:c r="A171" s="36"/>
      <x:c r="B171" s="36"/>
      <x:c r="C171" s="36"/>
      <x:c r="D171" s="36"/>
      <x:c r="E171" s="36"/>
      <x:c r="F171" s="36"/>
      <x:c r="G171" s="36"/>
      <x:c r="H171" s="59"/>
      <x:c r="I171" s="59"/>
      <x:c r="J171" s="61" t="str">
        <x:f>IF(OR($H171="",$I171=""),"",MAX($I171-$H171+1,1))</x:f>
      </x:c>
      <x:c r="K171" s="36"/>
      <x:c r="L171" s="36"/>
      <x:c r="M171" s="63" t="str">
        <x:f>IF($A171="","",SUMIFS('Custos Planejados - Pedro'!$G$6:$G$205,'Custos Planejados - Pedro'!$A$6:$A$205,$A171)+SUMIFS('Custos Planejados - Camilly'!$G$6:$G$205,'Custos Planejados - Camilly'!$A$6:$A$205,$A171))</x:f>
      </x:c>
      <x:c r="N171" s="63" t="str">
        <x:f>IF($A171="","",SUMIFS('Histórico de Gastos'!$J$6:$J$205,'Histórico de Gastos'!$B$6:$B$205,$A171))</x:f>
      </x:c>
      <x:c r="O171" s="63" t="str">
        <x:f>IF($A171="","",$M171-$N171)</x:f>
      </x:c>
      <x:c r="P171" s="65" t="str">
        <x:f>IF($A171="","",IFERROR($N171/$M171,0))</x:f>
      </x:c>
      <x:c r="Q171" s="63" t="str">
        <x:f>IF($A171="","",SUMIFS('Histórico de Gastos'!$W$6:$W$205,'Histórico de Gastos'!$B$6:$B$205,$A171))</x:f>
      </x:c>
      <x:c r="R171" s="63" t="str">
        <x:f>IF($A171="","",SUMIFS('Histórico de Gastos'!$X$6:$X$205,'Histórico de Gastos'!$B$6:$B$205,$A171))</x:f>
      </x:c>
      <x:c r="S171" s="63" t="str">
        <x:f>IF($A171="","",ABS($Q171-SUMIFS('Histórico de Gastos'!$U$6:$U$205,'Histórico de Gastos'!$B$6:$B$205,$A171)))</x:f>
      </x:c>
      <x:c r="T171" s="67" t="str">
        <x:f>IF($A171="","",IF(ABS($Q171-SUMIFS('Histórico de Gastos'!$U$6:$U$205,'Histórico de Gastos'!$B$6:$B$205,$A171))&lt;0.01,"Tudo certo",IF($Q171&gt;SUMIFS('Histórico de Gastos'!$U$6:$U$205,'Histórico de Gastos'!$B$6:$B$205,$A171),"Camilly deve para Pedro","Pedro deve para Camilly")))</x:f>
      </x:c>
      <x:c r="U171" s="36"/>
      <x:c r="V171" s="67" t="str">
        <x:f>IF($A171="","",IF(COUNTIFS('Checklist de Viagem'!$A$6:$A$205,$A171)=0,"Não",IF(COUNTIFS('Checklist de Viagem'!$A$6:$A$205,$A171,'Checklist de Viagem'!$H$6:$H$205,"Não")=0,"Sim","Não")))</x:f>
      </x:c>
      <x:c r="W171" s="36"/>
      <x:c r="X171" s="36"/>
      <x:c r="Y171" s="36"/>
      <x:c r="Z171" s="59"/>
      <x:c r="AA171" s="59"/>
      <x:c r="AB171" s="67" t="str">
        <x:f>IF($A171="","",IF($P171&gt;1,"Viagem acima do orçamento",IF(AND($K171&lt;&gt;"Concluída",$V171&lt;&gt;"Sim",$H171-TODAY()&lt;=15),"Viagem próxima sem checklist completo",IF($W171="","Passagem ainda não comprada",IF($X171="","Falta reservar hospedagem",IF($S171&gt;0,"Existe valor pendente de compensação","Tudo certo"))))))</x:f>
      </x:c>
      <x:c r="AC171" s="36"/>
    </x:row>
    <x:row r="172">
      <x:c r="A172" s="36"/>
      <x:c r="B172" s="36"/>
      <x:c r="C172" s="36"/>
      <x:c r="D172" s="36"/>
      <x:c r="E172" s="36"/>
      <x:c r="F172" s="36"/>
      <x:c r="G172" s="36"/>
      <x:c r="H172" s="59"/>
      <x:c r="I172" s="59"/>
      <x:c r="J172" s="61" t="str">
        <x:f>IF(OR($H172="",$I172=""),"",MAX($I172-$H172+1,1))</x:f>
      </x:c>
      <x:c r="K172" s="36"/>
      <x:c r="L172" s="36"/>
      <x:c r="M172" s="63" t="str">
        <x:f>IF($A172="","",SUMIFS('Custos Planejados - Pedro'!$G$6:$G$205,'Custos Planejados - Pedro'!$A$6:$A$205,$A172)+SUMIFS('Custos Planejados - Camilly'!$G$6:$G$205,'Custos Planejados - Camilly'!$A$6:$A$205,$A172))</x:f>
      </x:c>
      <x:c r="N172" s="63" t="str">
        <x:f>IF($A172="","",SUMIFS('Histórico de Gastos'!$J$6:$J$205,'Histórico de Gastos'!$B$6:$B$205,$A172))</x:f>
      </x:c>
      <x:c r="O172" s="63" t="str">
        <x:f>IF($A172="","",$M172-$N172)</x:f>
      </x:c>
      <x:c r="P172" s="65" t="str">
        <x:f>IF($A172="","",IFERROR($N172/$M172,0))</x:f>
      </x:c>
      <x:c r="Q172" s="63" t="str">
        <x:f>IF($A172="","",SUMIFS('Histórico de Gastos'!$W$6:$W$205,'Histórico de Gastos'!$B$6:$B$205,$A172))</x:f>
      </x:c>
      <x:c r="R172" s="63" t="str">
        <x:f>IF($A172="","",SUMIFS('Histórico de Gastos'!$X$6:$X$205,'Histórico de Gastos'!$B$6:$B$205,$A172))</x:f>
      </x:c>
      <x:c r="S172" s="63" t="str">
        <x:f>IF($A172="","",ABS($Q172-SUMIFS('Histórico de Gastos'!$U$6:$U$205,'Histórico de Gastos'!$B$6:$B$205,$A172)))</x:f>
      </x:c>
      <x:c r="T172" s="67" t="str">
        <x:f>IF($A172="","",IF(ABS($Q172-SUMIFS('Histórico de Gastos'!$U$6:$U$205,'Histórico de Gastos'!$B$6:$B$205,$A172))&lt;0.01,"Tudo certo",IF($Q172&gt;SUMIFS('Histórico de Gastos'!$U$6:$U$205,'Histórico de Gastos'!$B$6:$B$205,$A172),"Camilly deve para Pedro","Pedro deve para Camilly")))</x:f>
      </x:c>
      <x:c r="U172" s="36"/>
      <x:c r="V172" s="67" t="str">
        <x:f>IF($A172="","",IF(COUNTIFS('Checklist de Viagem'!$A$6:$A$205,$A172)=0,"Não",IF(COUNTIFS('Checklist de Viagem'!$A$6:$A$205,$A172,'Checklist de Viagem'!$H$6:$H$205,"Não")=0,"Sim","Não")))</x:f>
      </x:c>
      <x:c r="W172" s="36"/>
      <x:c r="X172" s="36"/>
      <x:c r="Y172" s="36"/>
      <x:c r="Z172" s="59"/>
      <x:c r="AA172" s="59"/>
      <x:c r="AB172" s="67" t="str">
        <x:f>IF($A172="","",IF($P172&gt;1,"Viagem acima do orçamento",IF(AND($K172&lt;&gt;"Concluída",$V172&lt;&gt;"Sim",$H172-TODAY()&lt;=15),"Viagem próxima sem checklist completo",IF($W172="","Passagem ainda não comprada",IF($X172="","Falta reservar hospedagem",IF($S172&gt;0,"Existe valor pendente de compensação","Tudo certo"))))))</x:f>
      </x:c>
      <x:c r="AC172" s="36"/>
    </x:row>
    <x:row r="173">
      <x:c r="A173" s="36"/>
      <x:c r="B173" s="36"/>
      <x:c r="C173" s="36"/>
      <x:c r="D173" s="36"/>
      <x:c r="E173" s="36"/>
      <x:c r="F173" s="36"/>
      <x:c r="G173" s="36"/>
      <x:c r="H173" s="59"/>
      <x:c r="I173" s="59"/>
      <x:c r="J173" s="61" t="str">
        <x:f>IF(OR($H173="",$I173=""),"",MAX($I173-$H173+1,1))</x:f>
      </x:c>
      <x:c r="K173" s="36"/>
      <x:c r="L173" s="36"/>
      <x:c r="M173" s="63" t="str">
        <x:f>IF($A173="","",SUMIFS('Custos Planejados - Pedro'!$G$6:$G$205,'Custos Planejados - Pedro'!$A$6:$A$205,$A173)+SUMIFS('Custos Planejados - Camilly'!$G$6:$G$205,'Custos Planejados - Camilly'!$A$6:$A$205,$A173))</x:f>
      </x:c>
      <x:c r="N173" s="63" t="str">
        <x:f>IF($A173="","",SUMIFS('Histórico de Gastos'!$J$6:$J$205,'Histórico de Gastos'!$B$6:$B$205,$A173))</x:f>
      </x:c>
      <x:c r="O173" s="63" t="str">
        <x:f>IF($A173="","",$M173-$N173)</x:f>
      </x:c>
      <x:c r="P173" s="65" t="str">
        <x:f>IF($A173="","",IFERROR($N173/$M173,0))</x:f>
      </x:c>
      <x:c r="Q173" s="63" t="str">
        <x:f>IF($A173="","",SUMIFS('Histórico de Gastos'!$W$6:$W$205,'Histórico de Gastos'!$B$6:$B$205,$A173))</x:f>
      </x:c>
      <x:c r="R173" s="63" t="str">
        <x:f>IF($A173="","",SUMIFS('Histórico de Gastos'!$X$6:$X$205,'Histórico de Gastos'!$B$6:$B$205,$A173))</x:f>
      </x:c>
      <x:c r="S173" s="63" t="str">
        <x:f>IF($A173="","",ABS($Q173-SUMIFS('Histórico de Gastos'!$U$6:$U$205,'Histórico de Gastos'!$B$6:$B$205,$A173)))</x:f>
      </x:c>
      <x:c r="T173" s="67" t="str">
        <x:f>IF($A173="","",IF(ABS($Q173-SUMIFS('Histórico de Gastos'!$U$6:$U$205,'Histórico de Gastos'!$B$6:$B$205,$A173))&lt;0.01,"Tudo certo",IF($Q173&gt;SUMIFS('Histórico de Gastos'!$U$6:$U$205,'Histórico de Gastos'!$B$6:$B$205,$A173),"Camilly deve para Pedro","Pedro deve para Camilly")))</x:f>
      </x:c>
      <x:c r="U173" s="36"/>
      <x:c r="V173" s="67" t="str">
        <x:f>IF($A173="","",IF(COUNTIFS('Checklist de Viagem'!$A$6:$A$205,$A173)=0,"Não",IF(COUNTIFS('Checklist de Viagem'!$A$6:$A$205,$A173,'Checklist de Viagem'!$H$6:$H$205,"Não")=0,"Sim","Não")))</x:f>
      </x:c>
      <x:c r="W173" s="36"/>
      <x:c r="X173" s="36"/>
      <x:c r="Y173" s="36"/>
      <x:c r="Z173" s="59"/>
      <x:c r="AA173" s="59"/>
      <x:c r="AB173" s="67" t="str">
        <x:f>IF($A173="","",IF($P173&gt;1,"Viagem acima do orçamento",IF(AND($K173&lt;&gt;"Concluída",$V173&lt;&gt;"Sim",$H173-TODAY()&lt;=15),"Viagem próxima sem checklist completo",IF($W173="","Passagem ainda não comprada",IF($X173="","Falta reservar hospedagem",IF($S173&gt;0,"Existe valor pendente de compensação","Tudo certo"))))))</x:f>
      </x:c>
      <x:c r="AC173" s="36"/>
    </x:row>
    <x:row r="174">
      <x:c r="A174" s="36"/>
      <x:c r="B174" s="36"/>
      <x:c r="C174" s="36"/>
      <x:c r="D174" s="36"/>
      <x:c r="E174" s="36"/>
      <x:c r="F174" s="36"/>
      <x:c r="G174" s="36"/>
      <x:c r="H174" s="59"/>
      <x:c r="I174" s="59"/>
      <x:c r="J174" s="61" t="str">
        <x:f>IF(OR($H174="",$I174=""),"",MAX($I174-$H174+1,1))</x:f>
      </x:c>
      <x:c r="K174" s="36"/>
      <x:c r="L174" s="36"/>
      <x:c r="M174" s="63" t="str">
        <x:f>IF($A174="","",SUMIFS('Custos Planejados - Pedro'!$G$6:$G$205,'Custos Planejados - Pedro'!$A$6:$A$205,$A174)+SUMIFS('Custos Planejados - Camilly'!$G$6:$G$205,'Custos Planejados - Camilly'!$A$6:$A$205,$A174))</x:f>
      </x:c>
      <x:c r="N174" s="63" t="str">
        <x:f>IF($A174="","",SUMIFS('Histórico de Gastos'!$J$6:$J$205,'Histórico de Gastos'!$B$6:$B$205,$A174))</x:f>
      </x:c>
      <x:c r="O174" s="63" t="str">
        <x:f>IF($A174="","",$M174-$N174)</x:f>
      </x:c>
      <x:c r="P174" s="65" t="str">
        <x:f>IF($A174="","",IFERROR($N174/$M174,0))</x:f>
      </x:c>
      <x:c r="Q174" s="63" t="str">
        <x:f>IF($A174="","",SUMIFS('Histórico de Gastos'!$W$6:$W$205,'Histórico de Gastos'!$B$6:$B$205,$A174))</x:f>
      </x:c>
      <x:c r="R174" s="63" t="str">
        <x:f>IF($A174="","",SUMIFS('Histórico de Gastos'!$X$6:$X$205,'Histórico de Gastos'!$B$6:$B$205,$A174))</x:f>
      </x:c>
      <x:c r="S174" s="63" t="str">
        <x:f>IF($A174="","",ABS($Q174-SUMIFS('Histórico de Gastos'!$U$6:$U$205,'Histórico de Gastos'!$B$6:$B$205,$A174)))</x:f>
      </x:c>
      <x:c r="T174" s="67" t="str">
        <x:f>IF($A174="","",IF(ABS($Q174-SUMIFS('Histórico de Gastos'!$U$6:$U$205,'Histórico de Gastos'!$B$6:$B$205,$A174))&lt;0.01,"Tudo certo",IF($Q174&gt;SUMIFS('Histórico de Gastos'!$U$6:$U$205,'Histórico de Gastos'!$B$6:$B$205,$A174),"Camilly deve para Pedro","Pedro deve para Camilly")))</x:f>
      </x:c>
      <x:c r="U174" s="36"/>
      <x:c r="V174" s="67" t="str">
        <x:f>IF($A174="","",IF(COUNTIFS('Checklist de Viagem'!$A$6:$A$205,$A174)=0,"Não",IF(COUNTIFS('Checklist de Viagem'!$A$6:$A$205,$A174,'Checklist de Viagem'!$H$6:$H$205,"Não")=0,"Sim","Não")))</x:f>
      </x:c>
      <x:c r="W174" s="36"/>
      <x:c r="X174" s="36"/>
      <x:c r="Y174" s="36"/>
      <x:c r="Z174" s="59"/>
      <x:c r="AA174" s="59"/>
      <x:c r="AB174" s="67" t="str">
        <x:f>IF($A174="","",IF($P174&gt;1,"Viagem acima do orçamento",IF(AND($K174&lt;&gt;"Concluída",$V174&lt;&gt;"Sim",$H174-TODAY()&lt;=15),"Viagem próxima sem checklist completo",IF($W174="","Passagem ainda não comprada",IF($X174="","Falta reservar hospedagem",IF($S174&gt;0,"Existe valor pendente de compensação","Tudo certo"))))))</x:f>
      </x:c>
      <x:c r="AC174" s="36"/>
    </x:row>
    <x:row r="175">
      <x:c r="A175" s="36"/>
      <x:c r="B175" s="36"/>
      <x:c r="C175" s="36"/>
      <x:c r="D175" s="36"/>
      <x:c r="E175" s="36"/>
      <x:c r="F175" s="36"/>
      <x:c r="G175" s="36"/>
      <x:c r="H175" s="59"/>
      <x:c r="I175" s="59"/>
      <x:c r="J175" s="61" t="str">
        <x:f>IF(OR($H175="",$I175=""),"",MAX($I175-$H175+1,1))</x:f>
      </x:c>
      <x:c r="K175" s="36"/>
      <x:c r="L175" s="36"/>
      <x:c r="M175" s="63" t="str">
        <x:f>IF($A175="","",SUMIFS('Custos Planejados - Pedro'!$G$6:$G$205,'Custos Planejados - Pedro'!$A$6:$A$205,$A175)+SUMIFS('Custos Planejados - Camilly'!$G$6:$G$205,'Custos Planejados - Camilly'!$A$6:$A$205,$A175))</x:f>
      </x:c>
      <x:c r="N175" s="63" t="str">
        <x:f>IF($A175="","",SUMIFS('Histórico de Gastos'!$J$6:$J$205,'Histórico de Gastos'!$B$6:$B$205,$A175))</x:f>
      </x:c>
      <x:c r="O175" s="63" t="str">
        <x:f>IF($A175="","",$M175-$N175)</x:f>
      </x:c>
      <x:c r="P175" s="65" t="str">
        <x:f>IF($A175="","",IFERROR($N175/$M175,0))</x:f>
      </x:c>
      <x:c r="Q175" s="63" t="str">
        <x:f>IF($A175="","",SUMIFS('Histórico de Gastos'!$W$6:$W$205,'Histórico de Gastos'!$B$6:$B$205,$A175))</x:f>
      </x:c>
      <x:c r="R175" s="63" t="str">
        <x:f>IF($A175="","",SUMIFS('Histórico de Gastos'!$X$6:$X$205,'Histórico de Gastos'!$B$6:$B$205,$A175))</x:f>
      </x:c>
      <x:c r="S175" s="63" t="str">
        <x:f>IF($A175="","",ABS($Q175-SUMIFS('Histórico de Gastos'!$U$6:$U$205,'Histórico de Gastos'!$B$6:$B$205,$A175)))</x:f>
      </x:c>
      <x:c r="T175" s="67" t="str">
        <x:f>IF($A175="","",IF(ABS($Q175-SUMIFS('Histórico de Gastos'!$U$6:$U$205,'Histórico de Gastos'!$B$6:$B$205,$A175))&lt;0.01,"Tudo certo",IF($Q175&gt;SUMIFS('Histórico de Gastos'!$U$6:$U$205,'Histórico de Gastos'!$B$6:$B$205,$A175),"Camilly deve para Pedro","Pedro deve para Camilly")))</x:f>
      </x:c>
      <x:c r="U175" s="36"/>
      <x:c r="V175" s="67" t="str">
        <x:f>IF($A175="","",IF(COUNTIFS('Checklist de Viagem'!$A$6:$A$205,$A175)=0,"Não",IF(COUNTIFS('Checklist de Viagem'!$A$6:$A$205,$A175,'Checklist de Viagem'!$H$6:$H$205,"Não")=0,"Sim","Não")))</x:f>
      </x:c>
      <x:c r="W175" s="36"/>
      <x:c r="X175" s="36"/>
      <x:c r="Y175" s="36"/>
      <x:c r="Z175" s="59"/>
      <x:c r="AA175" s="59"/>
      <x:c r="AB175" s="67" t="str">
        <x:f>IF($A175="","",IF($P175&gt;1,"Viagem acima do orçamento",IF(AND($K175&lt;&gt;"Concluída",$V175&lt;&gt;"Sim",$H175-TODAY()&lt;=15),"Viagem próxima sem checklist completo",IF($W175="","Passagem ainda não comprada",IF($X175="","Falta reservar hospedagem",IF($S175&gt;0,"Existe valor pendente de compensação","Tudo certo"))))))</x:f>
      </x:c>
      <x:c r="AC175" s="36"/>
    </x:row>
    <x:row r="176">
      <x:c r="A176" s="36"/>
      <x:c r="B176" s="36"/>
      <x:c r="C176" s="36"/>
      <x:c r="D176" s="36"/>
      <x:c r="E176" s="36"/>
      <x:c r="F176" s="36"/>
      <x:c r="G176" s="36"/>
      <x:c r="H176" s="59"/>
      <x:c r="I176" s="59"/>
      <x:c r="J176" s="61" t="str">
        <x:f>IF(OR($H176="",$I176=""),"",MAX($I176-$H176+1,1))</x:f>
      </x:c>
      <x:c r="K176" s="36"/>
      <x:c r="L176" s="36"/>
      <x:c r="M176" s="63" t="str">
        <x:f>IF($A176="","",SUMIFS('Custos Planejados - Pedro'!$G$6:$G$205,'Custos Planejados - Pedro'!$A$6:$A$205,$A176)+SUMIFS('Custos Planejados - Camilly'!$G$6:$G$205,'Custos Planejados - Camilly'!$A$6:$A$205,$A176))</x:f>
      </x:c>
      <x:c r="N176" s="63" t="str">
        <x:f>IF($A176="","",SUMIFS('Histórico de Gastos'!$J$6:$J$205,'Histórico de Gastos'!$B$6:$B$205,$A176))</x:f>
      </x:c>
      <x:c r="O176" s="63" t="str">
        <x:f>IF($A176="","",$M176-$N176)</x:f>
      </x:c>
      <x:c r="P176" s="65" t="str">
        <x:f>IF($A176="","",IFERROR($N176/$M176,0))</x:f>
      </x:c>
      <x:c r="Q176" s="63" t="str">
        <x:f>IF($A176="","",SUMIFS('Histórico de Gastos'!$W$6:$W$205,'Histórico de Gastos'!$B$6:$B$205,$A176))</x:f>
      </x:c>
      <x:c r="R176" s="63" t="str">
        <x:f>IF($A176="","",SUMIFS('Histórico de Gastos'!$X$6:$X$205,'Histórico de Gastos'!$B$6:$B$205,$A176))</x:f>
      </x:c>
      <x:c r="S176" s="63" t="str">
        <x:f>IF($A176="","",ABS($Q176-SUMIFS('Histórico de Gastos'!$U$6:$U$205,'Histórico de Gastos'!$B$6:$B$205,$A176)))</x:f>
      </x:c>
      <x:c r="T176" s="67" t="str">
        <x:f>IF($A176="","",IF(ABS($Q176-SUMIFS('Histórico de Gastos'!$U$6:$U$205,'Histórico de Gastos'!$B$6:$B$205,$A176))&lt;0.01,"Tudo certo",IF($Q176&gt;SUMIFS('Histórico de Gastos'!$U$6:$U$205,'Histórico de Gastos'!$B$6:$B$205,$A176),"Camilly deve para Pedro","Pedro deve para Camilly")))</x:f>
      </x:c>
      <x:c r="U176" s="36"/>
      <x:c r="V176" s="67" t="str">
        <x:f>IF($A176="","",IF(COUNTIFS('Checklist de Viagem'!$A$6:$A$205,$A176)=0,"Não",IF(COUNTIFS('Checklist de Viagem'!$A$6:$A$205,$A176,'Checklist de Viagem'!$H$6:$H$205,"Não")=0,"Sim","Não")))</x:f>
      </x:c>
      <x:c r="W176" s="36"/>
      <x:c r="X176" s="36"/>
      <x:c r="Y176" s="36"/>
      <x:c r="Z176" s="59"/>
      <x:c r="AA176" s="59"/>
      <x:c r="AB176" s="67" t="str">
        <x:f>IF($A176="","",IF($P176&gt;1,"Viagem acima do orçamento",IF(AND($K176&lt;&gt;"Concluída",$V176&lt;&gt;"Sim",$H176-TODAY()&lt;=15),"Viagem próxima sem checklist completo",IF($W176="","Passagem ainda não comprada",IF($X176="","Falta reservar hospedagem",IF($S176&gt;0,"Existe valor pendente de compensação","Tudo certo"))))))</x:f>
      </x:c>
      <x:c r="AC176" s="36"/>
    </x:row>
    <x:row r="177">
      <x:c r="A177" s="36"/>
      <x:c r="B177" s="36"/>
      <x:c r="C177" s="36"/>
      <x:c r="D177" s="36"/>
      <x:c r="E177" s="36"/>
      <x:c r="F177" s="36"/>
      <x:c r="G177" s="36"/>
      <x:c r="H177" s="59"/>
      <x:c r="I177" s="59"/>
      <x:c r="J177" s="61" t="str">
        <x:f>IF(OR($H177="",$I177=""),"",MAX($I177-$H177+1,1))</x:f>
      </x:c>
      <x:c r="K177" s="36"/>
      <x:c r="L177" s="36"/>
      <x:c r="M177" s="63" t="str">
        <x:f>IF($A177="","",SUMIFS('Custos Planejados - Pedro'!$G$6:$G$205,'Custos Planejados - Pedro'!$A$6:$A$205,$A177)+SUMIFS('Custos Planejados - Camilly'!$G$6:$G$205,'Custos Planejados - Camilly'!$A$6:$A$205,$A177))</x:f>
      </x:c>
      <x:c r="N177" s="63" t="str">
        <x:f>IF($A177="","",SUMIFS('Histórico de Gastos'!$J$6:$J$205,'Histórico de Gastos'!$B$6:$B$205,$A177))</x:f>
      </x:c>
      <x:c r="O177" s="63" t="str">
        <x:f>IF($A177="","",$M177-$N177)</x:f>
      </x:c>
      <x:c r="P177" s="65" t="str">
        <x:f>IF($A177="","",IFERROR($N177/$M177,0))</x:f>
      </x:c>
      <x:c r="Q177" s="63" t="str">
        <x:f>IF($A177="","",SUMIFS('Histórico de Gastos'!$W$6:$W$205,'Histórico de Gastos'!$B$6:$B$205,$A177))</x:f>
      </x:c>
      <x:c r="R177" s="63" t="str">
        <x:f>IF($A177="","",SUMIFS('Histórico de Gastos'!$X$6:$X$205,'Histórico de Gastos'!$B$6:$B$205,$A177))</x:f>
      </x:c>
      <x:c r="S177" s="63" t="str">
        <x:f>IF($A177="","",ABS($Q177-SUMIFS('Histórico de Gastos'!$U$6:$U$205,'Histórico de Gastos'!$B$6:$B$205,$A177)))</x:f>
      </x:c>
      <x:c r="T177" s="67" t="str">
        <x:f>IF($A177="","",IF(ABS($Q177-SUMIFS('Histórico de Gastos'!$U$6:$U$205,'Histórico de Gastos'!$B$6:$B$205,$A177))&lt;0.01,"Tudo certo",IF($Q177&gt;SUMIFS('Histórico de Gastos'!$U$6:$U$205,'Histórico de Gastos'!$B$6:$B$205,$A177),"Camilly deve para Pedro","Pedro deve para Camilly")))</x:f>
      </x:c>
      <x:c r="U177" s="36"/>
      <x:c r="V177" s="67" t="str">
        <x:f>IF($A177="","",IF(COUNTIFS('Checklist de Viagem'!$A$6:$A$205,$A177)=0,"Não",IF(COUNTIFS('Checklist de Viagem'!$A$6:$A$205,$A177,'Checklist de Viagem'!$H$6:$H$205,"Não")=0,"Sim","Não")))</x:f>
      </x:c>
      <x:c r="W177" s="36"/>
      <x:c r="X177" s="36"/>
      <x:c r="Y177" s="36"/>
      <x:c r="Z177" s="59"/>
      <x:c r="AA177" s="59"/>
      <x:c r="AB177" s="67" t="str">
        <x:f>IF($A177="","",IF($P177&gt;1,"Viagem acima do orçamento",IF(AND($K177&lt;&gt;"Concluída",$V177&lt;&gt;"Sim",$H177-TODAY()&lt;=15),"Viagem próxima sem checklist completo",IF($W177="","Passagem ainda não comprada",IF($X177="","Falta reservar hospedagem",IF($S177&gt;0,"Existe valor pendente de compensação","Tudo certo"))))))</x:f>
      </x:c>
      <x:c r="AC177" s="36"/>
    </x:row>
    <x:row r="178">
      <x:c r="A178" s="36"/>
      <x:c r="B178" s="36"/>
      <x:c r="C178" s="36"/>
      <x:c r="D178" s="36"/>
      <x:c r="E178" s="36"/>
      <x:c r="F178" s="36"/>
      <x:c r="G178" s="36"/>
      <x:c r="H178" s="59"/>
      <x:c r="I178" s="59"/>
      <x:c r="J178" s="61" t="str">
        <x:f>IF(OR($H178="",$I178=""),"",MAX($I178-$H178+1,1))</x:f>
      </x:c>
      <x:c r="K178" s="36"/>
      <x:c r="L178" s="36"/>
      <x:c r="M178" s="63" t="str">
        <x:f>IF($A178="","",SUMIFS('Custos Planejados - Pedro'!$G$6:$G$205,'Custos Planejados - Pedro'!$A$6:$A$205,$A178)+SUMIFS('Custos Planejados - Camilly'!$G$6:$G$205,'Custos Planejados - Camilly'!$A$6:$A$205,$A178))</x:f>
      </x:c>
      <x:c r="N178" s="63" t="str">
        <x:f>IF($A178="","",SUMIFS('Histórico de Gastos'!$J$6:$J$205,'Histórico de Gastos'!$B$6:$B$205,$A178))</x:f>
      </x:c>
      <x:c r="O178" s="63" t="str">
        <x:f>IF($A178="","",$M178-$N178)</x:f>
      </x:c>
      <x:c r="P178" s="65" t="str">
        <x:f>IF($A178="","",IFERROR($N178/$M178,0))</x:f>
      </x:c>
      <x:c r="Q178" s="63" t="str">
        <x:f>IF($A178="","",SUMIFS('Histórico de Gastos'!$W$6:$W$205,'Histórico de Gastos'!$B$6:$B$205,$A178))</x:f>
      </x:c>
      <x:c r="R178" s="63" t="str">
        <x:f>IF($A178="","",SUMIFS('Histórico de Gastos'!$X$6:$X$205,'Histórico de Gastos'!$B$6:$B$205,$A178))</x:f>
      </x:c>
      <x:c r="S178" s="63" t="str">
        <x:f>IF($A178="","",ABS($Q178-SUMIFS('Histórico de Gastos'!$U$6:$U$205,'Histórico de Gastos'!$B$6:$B$205,$A178)))</x:f>
      </x:c>
      <x:c r="T178" s="67" t="str">
        <x:f>IF($A178="","",IF(ABS($Q178-SUMIFS('Histórico de Gastos'!$U$6:$U$205,'Histórico de Gastos'!$B$6:$B$205,$A178))&lt;0.01,"Tudo certo",IF($Q178&gt;SUMIFS('Histórico de Gastos'!$U$6:$U$205,'Histórico de Gastos'!$B$6:$B$205,$A178),"Camilly deve para Pedro","Pedro deve para Camilly")))</x:f>
      </x:c>
      <x:c r="U178" s="36"/>
      <x:c r="V178" s="67" t="str">
        <x:f>IF($A178="","",IF(COUNTIFS('Checklist de Viagem'!$A$6:$A$205,$A178)=0,"Não",IF(COUNTIFS('Checklist de Viagem'!$A$6:$A$205,$A178,'Checklist de Viagem'!$H$6:$H$205,"Não")=0,"Sim","Não")))</x:f>
      </x:c>
      <x:c r="W178" s="36"/>
      <x:c r="X178" s="36"/>
      <x:c r="Y178" s="36"/>
      <x:c r="Z178" s="59"/>
      <x:c r="AA178" s="59"/>
      <x:c r="AB178" s="67" t="str">
        <x:f>IF($A178="","",IF($P178&gt;1,"Viagem acima do orçamento",IF(AND($K178&lt;&gt;"Concluída",$V178&lt;&gt;"Sim",$H178-TODAY()&lt;=15),"Viagem próxima sem checklist completo",IF($W178="","Passagem ainda não comprada",IF($X178="","Falta reservar hospedagem",IF($S178&gt;0,"Existe valor pendente de compensação","Tudo certo"))))))</x:f>
      </x:c>
      <x:c r="AC178" s="36"/>
    </x:row>
    <x:row r="179">
      <x:c r="A179" s="36"/>
      <x:c r="B179" s="36"/>
      <x:c r="C179" s="36"/>
      <x:c r="D179" s="36"/>
      <x:c r="E179" s="36"/>
      <x:c r="F179" s="36"/>
      <x:c r="G179" s="36"/>
      <x:c r="H179" s="59"/>
      <x:c r="I179" s="59"/>
      <x:c r="J179" s="61" t="str">
        <x:f>IF(OR($H179="",$I179=""),"",MAX($I179-$H179+1,1))</x:f>
      </x:c>
      <x:c r="K179" s="36"/>
      <x:c r="L179" s="36"/>
      <x:c r="M179" s="63" t="str">
        <x:f>IF($A179="","",SUMIFS('Custos Planejados - Pedro'!$G$6:$G$205,'Custos Planejados - Pedro'!$A$6:$A$205,$A179)+SUMIFS('Custos Planejados - Camilly'!$G$6:$G$205,'Custos Planejados - Camilly'!$A$6:$A$205,$A179))</x:f>
      </x:c>
      <x:c r="N179" s="63" t="str">
        <x:f>IF($A179="","",SUMIFS('Histórico de Gastos'!$J$6:$J$205,'Histórico de Gastos'!$B$6:$B$205,$A179))</x:f>
      </x:c>
      <x:c r="O179" s="63" t="str">
        <x:f>IF($A179="","",$M179-$N179)</x:f>
      </x:c>
      <x:c r="P179" s="65" t="str">
        <x:f>IF($A179="","",IFERROR($N179/$M179,0))</x:f>
      </x:c>
      <x:c r="Q179" s="63" t="str">
        <x:f>IF($A179="","",SUMIFS('Histórico de Gastos'!$W$6:$W$205,'Histórico de Gastos'!$B$6:$B$205,$A179))</x:f>
      </x:c>
      <x:c r="R179" s="63" t="str">
        <x:f>IF($A179="","",SUMIFS('Histórico de Gastos'!$X$6:$X$205,'Histórico de Gastos'!$B$6:$B$205,$A179))</x:f>
      </x:c>
      <x:c r="S179" s="63" t="str">
        <x:f>IF($A179="","",ABS($Q179-SUMIFS('Histórico de Gastos'!$U$6:$U$205,'Histórico de Gastos'!$B$6:$B$205,$A179)))</x:f>
      </x:c>
      <x:c r="T179" s="67" t="str">
        <x:f>IF($A179="","",IF(ABS($Q179-SUMIFS('Histórico de Gastos'!$U$6:$U$205,'Histórico de Gastos'!$B$6:$B$205,$A179))&lt;0.01,"Tudo certo",IF($Q179&gt;SUMIFS('Histórico de Gastos'!$U$6:$U$205,'Histórico de Gastos'!$B$6:$B$205,$A179),"Camilly deve para Pedro","Pedro deve para Camilly")))</x:f>
      </x:c>
      <x:c r="U179" s="36"/>
      <x:c r="V179" s="67" t="str">
        <x:f>IF($A179="","",IF(COUNTIFS('Checklist de Viagem'!$A$6:$A$205,$A179)=0,"Não",IF(COUNTIFS('Checklist de Viagem'!$A$6:$A$205,$A179,'Checklist de Viagem'!$H$6:$H$205,"Não")=0,"Sim","Não")))</x:f>
      </x:c>
      <x:c r="W179" s="36"/>
      <x:c r="X179" s="36"/>
      <x:c r="Y179" s="36"/>
      <x:c r="Z179" s="59"/>
      <x:c r="AA179" s="59"/>
      <x:c r="AB179" s="67" t="str">
        <x:f>IF($A179="","",IF($P179&gt;1,"Viagem acima do orçamento",IF(AND($K179&lt;&gt;"Concluída",$V179&lt;&gt;"Sim",$H179-TODAY()&lt;=15),"Viagem próxima sem checklist completo",IF($W179="","Passagem ainda não comprada",IF($X179="","Falta reservar hospedagem",IF($S179&gt;0,"Existe valor pendente de compensação","Tudo certo"))))))</x:f>
      </x:c>
      <x:c r="AC179" s="36"/>
    </x:row>
    <x:row r="180">
      <x:c r="A180" s="36"/>
      <x:c r="B180" s="36"/>
      <x:c r="C180" s="36"/>
      <x:c r="D180" s="36"/>
      <x:c r="E180" s="36"/>
      <x:c r="F180" s="36"/>
      <x:c r="G180" s="36"/>
      <x:c r="H180" s="59"/>
      <x:c r="I180" s="59"/>
      <x:c r="J180" s="61" t="str">
        <x:f>IF(OR($H180="",$I180=""),"",MAX($I180-$H180+1,1))</x:f>
      </x:c>
      <x:c r="K180" s="36"/>
      <x:c r="L180" s="36"/>
      <x:c r="M180" s="63" t="str">
        <x:f>IF($A180="","",SUMIFS('Custos Planejados - Pedro'!$G$6:$G$205,'Custos Planejados - Pedro'!$A$6:$A$205,$A180)+SUMIFS('Custos Planejados - Camilly'!$G$6:$G$205,'Custos Planejados - Camilly'!$A$6:$A$205,$A180))</x:f>
      </x:c>
      <x:c r="N180" s="63" t="str">
        <x:f>IF($A180="","",SUMIFS('Histórico de Gastos'!$J$6:$J$205,'Histórico de Gastos'!$B$6:$B$205,$A180))</x:f>
      </x:c>
      <x:c r="O180" s="63" t="str">
        <x:f>IF($A180="","",$M180-$N180)</x:f>
      </x:c>
      <x:c r="P180" s="65" t="str">
        <x:f>IF($A180="","",IFERROR($N180/$M180,0))</x:f>
      </x:c>
      <x:c r="Q180" s="63" t="str">
        <x:f>IF($A180="","",SUMIFS('Histórico de Gastos'!$W$6:$W$205,'Histórico de Gastos'!$B$6:$B$205,$A180))</x:f>
      </x:c>
      <x:c r="R180" s="63" t="str">
        <x:f>IF($A180="","",SUMIFS('Histórico de Gastos'!$X$6:$X$205,'Histórico de Gastos'!$B$6:$B$205,$A180))</x:f>
      </x:c>
      <x:c r="S180" s="63" t="str">
        <x:f>IF($A180="","",ABS($Q180-SUMIFS('Histórico de Gastos'!$U$6:$U$205,'Histórico de Gastos'!$B$6:$B$205,$A180)))</x:f>
      </x:c>
      <x:c r="T180" s="67" t="str">
        <x:f>IF($A180="","",IF(ABS($Q180-SUMIFS('Histórico de Gastos'!$U$6:$U$205,'Histórico de Gastos'!$B$6:$B$205,$A180))&lt;0.01,"Tudo certo",IF($Q180&gt;SUMIFS('Histórico de Gastos'!$U$6:$U$205,'Histórico de Gastos'!$B$6:$B$205,$A180),"Camilly deve para Pedro","Pedro deve para Camilly")))</x:f>
      </x:c>
      <x:c r="U180" s="36"/>
      <x:c r="V180" s="67" t="str">
        <x:f>IF($A180="","",IF(COUNTIFS('Checklist de Viagem'!$A$6:$A$205,$A180)=0,"Não",IF(COUNTIFS('Checklist de Viagem'!$A$6:$A$205,$A180,'Checklist de Viagem'!$H$6:$H$205,"Não")=0,"Sim","Não")))</x:f>
      </x:c>
      <x:c r="W180" s="36"/>
      <x:c r="X180" s="36"/>
      <x:c r="Y180" s="36"/>
      <x:c r="Z180" s="59"/>
      <x:c r="AA180" s="59"/>
      <x:c r="AB180" s="67" t="str">
        <x:f>IF($A180="","",IF($P180&gt;1,"Viagem acima do orçamento",IF(AND($K180&lt;&gt;"Concluída",$V180&lt;&gt;"Sim",$H180-TODAY()&lt;=15),"Viagem próxima sem checklist completo",IF($W180="","Passagem ainda não comprada",IF($X180="","Falta reservar hospedagem",IF($S180&gt;0,"Existe valor pendente de compensação","Tudo certo"))))))</x:f>
      </x:c>
      <x:c r="AC180" s="36"/>
    </x:row>
    <x:row r="181">
      <x:c r="A181" s="36"/>
      <x:c r="B181" s="36"/>
      <x:c r="C181" s="36"/>
      <x:c r="D181" s="36"/>
      <x:c r="E181" s="36"/>
      <x:c r="F181" s="36"/>
      <x:c r="G181" s="36"/>
      <x:c r="H181" s="59"/>
      <x:c r="I181" s="59"/>
      <x:c r="J181" s="61" t="str">
        <x:f>IF(OR($H181="",$I181=""),"",MAX($I181-$H181+1,1))</x:f>
      </x:c>
      <x:c r="K181" s="36"/>
      <x:c r="L181" s="36"/>
      <x:c r="M181" s="63" t="str">
        <x:f>IF($A181="","",SUMIFS('Custos Planejados - Pedro'!$G$6:$G$205,'Custos Planejados - Pedro'!$A$6:$A$205,$A181)+SUMIFS('Custos Planejados - Camilly'!$G$6:$G$205,'Custos Planejados - Camilly'!$A$6:$A$205,$A181))</x:f>
      </x:c>
      <x:c r="N181" s="63" t="str">
        <x:f>IF($A181="","",SUMIFS('Histórico de Gastos'!$J$6:$J$205,'Histórico de Gastos'!$B$6:$B$205,$A181))</x:f>
      </x:c>
      <x:c r="O181" s="63" t="str">
        <x:f>IF($A181="","",$M181-$N181)</x:f>
      </x:c>
      <x:c r="P181" s="65" t="str">
        <x:f>IF($A181="","",IFERROR($N181/$M181,0))</x:f>
      </x:c>
      <x:c r="Q181" s="63" t="str">
        <x:f>IF($A181="","",SUMIFS('Histórico de Gastos'!$W$6:$W$205,'Histórico de Gastos'!$B$6:$B$205,$A181))</x:f>
      </x:c>
      <x:c r="R181" s="63" t="str">
        <x:f>IF($A181="","",SUMIFS('Histórico de Gastos'!$X$6:$X$205,'Histórico de Gastos'!$B$6:$B$205,$A181))</x:f>
      </x:c>
      <x:c r="S181" s="63" t="str">
        <x:f>IF($A181="","",ABS($Q181-SUMIFS('Histórico de Gastos'!$U$6:$U$205,'Histórico de Gastos'!$B$6:$B$205,$A181)))</x:f>
      </x:c>
      <x:c r="T181" s="67" t="str">
        <x:f>IF($A181="","",IF(ABS($Q181-SUMIFS('Histórico de Gastos'!$U$6:$U$205,'Histórico de Gastos'!$B$6:$B$205,$A181))&lt;0.01,"Tudo certo",IF($Q181&gt;SUMIFS('Histórico de Gastos'!$U$6:$U$205,'Histórico de Gastos'!$B$6:$B$205,$A181),"Camilly deve para Pedro","Pedro deve para Camilly")))</x:f>
      </x:c>
      <x:c r="U181" s="36"/>
      <x:c r="V181" s="67" t="str">
        <x:f>IF($A181="","",IF(COUNTIFS('Checklist de Viagem'!$A$6:$A$205,$A181)=0,"Não",IF(COUNTIFS('Checklist de Viagem'!$A$6:$A$205,$A181,'Checklist de Viagem'!$H$6:$H$205,"Não")=0,"Sim","Não")))</x:f>
      </x:c>
      <x:c r="W181" s="36"/>
      <x:c r="X181" s="36"/>
      <x:c r="Y181" s="36"/>
      <x:c r="Z181" s="59"/>
      <x:c r="AA181" s="59"/>
      <x:c r="AB181" s="67" t="str">
        <x:f>IF($A181="","",IF($P181&gt;1,"Viagem acima do orçamento",IF(AND($K181&lt;&gt;"Concluída",$V181&lt;&gt;"Sim",$H181-TODAY()&lt;=15),"Viagem próxima sem checklist completo",IF($W181="","Passagem ainda não comprada",IF($X181="","Falta reservar hospedagem",IF($S181&gt;0,"Existe valor pendente de compensação","Tudo certo"))))))</x:f>
      </x:c>
      <x:c r="AC181" s="36"/>
    </x:row>
    <x:row r="182">
      <x:c r="A182" s="36"/>
      <x:c r="B182" s="36"/>
      <x:c r="C182" s="36"/>
      <x:c r="D182" s="36"/>
      <x:c r="E182" s="36"/>
      <x:c r="F182" s="36"/>
      <x:c r="G182" s="36"/>
      <x:c r="H182" s="59"/>
      <x:c r="I182" s="59"/>
      <x:c r="J182" s="61" t="str">
        <x:f>IF(OR($H182="",$I182=""),"",MAX($I182-$H182+1,1))</x:f>
      </x:c>
      <x:c r="K182" s="36"/>
      <x:c r="L182" s="36"/>
      <x:c r="M182" s="63" t="str">
        <x:f>IF($A182="","",SUMIFS('Custos Planejados - Pedro'!$G$6:$G$205,'Custos Planejados - Pedro'!$A$6:$A$205,$A182)+SUMIFS('Custos Planejados - Camilly'!$G$6:$G$205,'Custos Planejados - Camilly'!$A$6:$A$205,$A182))</x:f>
      </x:c>
      <x:c r="N182" s="63" t="str">
        <x:f>IF($A182="","",SUMIFS('Histórico de Gastos'!$J$6:$J$205,'Histórico de Gastos'!$B$6:$B$205,$A182))</x:f>
      </x:c>
      <x:c r="O182" s="63" t="str">
        <x:f>IF($A182="","",$M182-$N182)</x:f>
      </x:c>
      <x:c r="P182" s="65" t="str">
        <x:f>IF($A182="","",IFERROR($N182/$M182,0))</x:f>
      </x:c>
      <x:c r="Q182" s="63" t="str">
        <x:f>IF($A182="","",SUMIFS('Histórico de Gastos'!$W$6:$W$205,'Histórico de Gastos'!$B$6:$B$205,$A182))</x:f>
      </x:c>
      <x:c r="R182" s="63" t="str">
        <x:f>IF($A182="","",SUMIFS('Histórico de Gastos'!$X$6:$X$205,'Histórico de Gastos'!$B$6:$B$205,$A182))</x:f>
      </x:c>
      <x:c r="S182" s="63" t="str">
        <x:f>IF($A182="","",ABS($Q182-SUMIFS('Histórico de Gastos'!$U$6:$U$205,'Histórico de Gastos'!$B$6:$B$205,$A182)))</x:f>
      </x:c>
      <x:c r="T182" s="67" t="str">
        <x:f>IF($A182="","",IF(ABS($Q182-SUMIFS('Histórico de Gastos'!$U$6:$U$205,'Histórico de Gastos'!$B$6:$B$205,$A182))&lt;0.01,"Tudo certo",IF($Q182&gt;SUMIFS('Histórico de Gastos'!$U$6:$U$205,'Histórico de Gastos'!$B$6:$B$205,$A182),"Camilly deve para Pedro","Pedro deve para Camilly")))</x:f>
      </x:c>
      <x:c r="U182" s="36"/>
      <x:c r="V182" s="67" t="str">
        <x:f>IF($A182="","",IF(COUNTIFS('Checklist de Viagem'!$A$6:$A$205,$A182)=0,"Não",IF(COUNTIFS('Checklist de Viagem'!$A$6:$A$205,$A182,'Checklist de Viagem'!$H$6:$H$205,"Não")=0,"Sim","Não")))</x:f>
      </x:c>
      <x:c r="W182" s="36"/>
      <x:c r="X182" s="36"/>
      <x:c r="Y182" s="36"/>
      <x:c r="Z182" s="59"/>
      <x:c r="AA182" s="59"/>
      <x:c r="AB182" s="67" t="str">
        <x:f>IF($A182="","",IF($P182&gt;1,"Viagem acima do orçamento",IF(AND($K182&lt;&gt;"Concluída",$V182&lt;&gt;"Sim",$H182-TODAY()&lt;=15),"Viagem próxima sem checklist completo",IF($W182="","Passagem ainda não comprada",IF($X182="","Falta reservar hospedagem",IF($S182&gt;0,"Existe valor pendente de compensação","Tudo certo"))))))</x:f>
      </x:c>
      <x:c r="AC182" s="36"/>
    </x:row>
    <x:row r="183">
      <x:c r="A183" s="36"/>
      <x:c r="B183" s="36"/>
      <x:c r="C183" s="36"/>
      <x:c r="D183" s="36"/>
      <x:c r="E183" s="36"/>
      <x:c r="F183" s="36"/>
      <x:c r="G183" s="36"/>
      <x:c r="H183" s="59"/>
      <x:c r="I183" s="59"/>
      <x:c r="J183" s="61" t="str">
        <x:f>IF(OR($H183="",$I183=""),"",MAX($I183-$H183+1,1))</x:f>
      </x:c>
      <x:c r="K183" s="36"/>
      <x:c r="L183" s="36"/>
      <x:c r="M183" s="63" t="str">
        <x:f>IF($A183="","",SUMIFS('Custos Planejados - Pedro'!$G$6:$G$205,'Custos Planejados - Pedro'!$A$6:$A$205,$A183)+SUMIFS('Custos Planejados - Camilly'!$G$6:$G$205,'Custos Planejados - Camilly'!$A$6:$A$205,$A183))</x:f>
      </x:c>
      <x:c r="N183" s="63" t="str">
        <x:f>IF($A183="","",SUMIFS('Histórico de Gastos'!$J$6:$J$205,'Histórico de Gastos'!$B$6:$B$205,$A183))</x:f>
      </x:c>
      <x:c r="O183" s="63" t="str">
        <x:f>IF($A183="","",$M183-$N183)</x:f>
      </x:c>
      <x:c r="P183" s="65" t="str">
        <x:f>IF($A183="","",IFERROR($N183/$M183,0))</x:f>
      </x:c>
      <x:c r="Q183" s="63" t="str">
        <x:f>IF($A183="","",SUMIFS('Histórico de Gastos'!$W$6:$W$205,'Histórico de Gastos'!$B$6:$B$205,$A183))</x:f>
      </x:c>
      <x:c r="R183" s="63" t="str">
        <x:f>IF($A183="","",SUMIFS('Histórico de Gastos'!$X$6:$X$205,'Histórico de Gastos'!$B$6:$B$205,$A183))</x:f>
      </x:c>
      <x:c r="S183" s="63" t="str">
        <x:f>IF($A183="","",ABS($Q183-SUMIFS('Histórico de Gastos'!$U$6:$U$205,'Histórico de Gastos'!$B$6:$B$205,$A183)))</x:f>
      </x:c>
      <x:c r="T183" s="67" t="str">
        <x:f>IF($A183="","",IF(ABS($Q183-SUMIFS('Histórico de Gastos'!$U$6:$U$205,'Histórico de Gastos'!$B$6:$B$205,$A183))&lt;0.01,"Tudo certo",IF($Q183&gt;SUMIFS('Histórico de Gastos'!$U$6:$U$205,'Histórico de Gastos'!$B$6:$B$205,$A183),"Camilly deve para Pedro","Pedro deve para Camilly")))</x:f>
      </x:c>
      <x:c r="U183" s="36"/>
      <x:c r="V183" s="67" t="str">
        <x:f>IF($A183="","",IF(COUNTIFS('Checklist de Viagem'!$A$6:$A$205,$A183)=0,"Não",IF(COUNTIFS('Checklist de Viagem'!$A$6:$A$205,$A183,'Checklist de Viagem'!$H$6:$H$205,"Não")=0,"Sim","Não")))</x:f>
      </x:c>
      <x:c r="W183" s="36"/>
      <x:c r="X183" s="36"/>
      <x:c r="Y183" s="36"/>
      <x:c r="Z183" s="59"/>
      <x:c r="AA183" s="59"/>
      <x:c r="AB183" s="67" t="str">
        <x:f>IF($A183="","",IF($P183&gt;1,"Viagem acima do orçamento",IF(AND($K183&lt;&gt;"Concluída",$V183&lt;&gt;"Sim",$H183-TODAY()&lt;=15),"Viagem próxima sem checklist completo",IF($W183="","Passagem ainda não comprada",IF($X183="","Falta reservar hospedagem",IF($S183&gt;0,"Existe valor pendente de compensação","Tudo certo"))))))</x:f>
      </x:c>
      <x:c r="AC183" s="36"/>
    </x:row>
    <x:row r="184">
      <x:c r="A184" s="36"/>
      <x:c r="B184" s="36"/>
      <x:c r="C184" s="36"/>
      <x:c r="D184" s="36"/>
      <x:c r="E184" s="36"/>
      <x:c r="F184" s="36"/>
      <x:c r="G184" s="36"/>
      <x:c r="H184" s="59"/>
      <x:c r="I184" s="59"/>
      <x:c r="J184" s="61" t="str">
        <x:f>IF(OR($H184="",$I184=""),"",MAX($I184-$H184+1,1))</x:f>
      </x:c>
      <x:c r="K184" s="36"/>
      <x:c r="L184" s="36"/>
      <x:c r="M184" s="63" t="str">
        <x:f>IF($A184="","",SUMIFS('Custos Planejados - Pedro'!$G$6:$G$205,'Custos Planejados - Pedro'!$A$6:$A$205,$A184)+SUMIFS('Custos Planejados - Camilly'!$G$6:$G$205,'Custos Planejados - Camilly'!$A$6:$A$205,$A184))</x:f>
      </x:c>
      <x:c r="N184" s="63" t="str">
        <x:f>IF($A184="","",SUMIFS('Histórico de Gastos'!$J$6:$J$205,'Histórico de Gastos'!$B$6:$B$205,$A184))</x:f>
      </x:c>
      <x:c r="O184" s="63" t="str">
        <x:f>IF($A184="","",$M184-$N184)</x:f>
      </x:c>
      <x:c r="P184" s="65" t="str">
        <x:f>IF($A184="","",IFERROR($N184/$M184,0))</x:f>
      </x:c>
      <x:c r="Q184" s="63" t="str">
        <x:f>IF($A184="","",SUMIFS('Histórico de Gastos'!$W$6:$W$205,'Histórico de Gastos'!$B$6:$B$205,$A184))</x:f>
      </x:c>
      <x:c r="R184" s="63" t="str">
        <x:f>IF($A184="","",SUMIFS('Histórico de Gastos'!$X$6:$X$205,'Histórico de Gastos'!$B$6:$B$205,$A184))</x:f>
      </x:c>
      <x:c r="S184" s="63" t="str">
        <x:f>IF($A184="","",ABS($Q184-SUMIFS('Histórico de Gastos'!$U$6:$U$205,'Histórico de Gastos'!$B$6:$B$205,$A184)))</x:f>
      </x:c>
      <x:c r="T184" s="67" t="str">
        <x:f>IF($A184="","",IF(ABS($Q184-SUMIFS('Histórico de Gastos'!$U$6:$U$205,'Histórico de Gastos'!$B$6:$B$205,$A184))&lt;0.01,"Tudo certo",IF($Q184&gt;SUMIFS('Histórico de Gastos'!$U$6:$U$205,'Histórico de Gastos'!$B$6:$B$205,$A184),"Camilly deve para Pedro","Pedro deve para Camilly")))</x:f>
      </x:c>
      <x:c r="U184" s="36"/>
      <x:c r="V184" s="67" t="str">
        <x:f>IF($A184="","",IF(COUNTIFS('Checklist de Viagem'!$A$6:$A$205,$A184)=0,"Não",IF(COUNTIFS('Checklist de Viagem'!$A$6:$A$205,$A184,'Checklist de Viagem'!$H$6:$H$205,"Não")=0,"Sim","Não")))</x:f>
      </x:c>
      <x:c r="W184" s="36"/>
      <x:c r="X184" s="36"/>
      <x:c r="Y184" s="36"/>
      <x:c r="Z184" s="59"/>
      <x:c r="AA184" s="59"/>
      <x:c r="AB184" s="67" t="str">
        <x:f>IF($A184="","",IF($P184&gt;1,"Viagem acima do orçamento",IF(AND($K184&lt;&gt;"Concluída",$V184&lt;&gt;"Sim",$H184-TODAY()&lt;=15),"Viagem próxima sem checklist completo",IF($W184="","Passagem ainda não comprada",IF($X184="","Falta reservar hospedagem",IF($S184&gt;0,"Existe valor pendente de compensação","Tudo certo"))))))</x:f>
      </x:c>
      <x:c r="AC184" s="36"/>
    </x:row>
    <x:row r="185">
      <x:c r="A185" s="36"/>
      <x:c r="B185" s="36"/>
      <x:c r="C185" s="36"/>
      <x:c r="D185" s="36"/>
      <x:c r="E185" s="36"/>
      <x:c r="F185" s="36"/>
      <x:c r="G185" s="36"/>
      <x:c r="H185" s="59"/>
      <x:c r="I185" s="59"/>
      <x:c r="J185" s="61" t="str">
        <x:f>IF(OR($H185="",$I185=""),"",MAX($I185-$H185+1,1))</x:f>
      </x:c>
      <x:c r="K185" s="36"/>
      <x:c r="L185" s="36"/>
      <x:c r="M185" s="63" t="str">
        <x:f>IF($A185="","",SUMIFS('Custos Planejados - Pedro'!$G$6:$G$205,'Custos Planejados - Pedro'!$A$6:$A$205,$A185)+SUMIFS('Custos Planejados - Camilly'!$G$6:$G$205,'Custos Planejados - Camilly'!$A$6:$A$205,$A185))</x:f>
      </x:c>
      <x:c r="N185" s="63" t="str">
        <x:f>IF($A185="","",SUMIFS('Histórico de Gastos'!$J$6:$J$205,'Histórico de Gastos'!$B$6:$B$205,$A185))</x:f>
      </x:c>
      <x:c r="O185" s="63" t="str">
        <x:f>IF($A185="","",$M185-$N185)</x:f>
      </x:c>
      <x:c r="P185" s="65" t="str">
        <x:f>IF($A185="","",IFERROR($N185/$M185,0))</x:f>
      </x:c>
      <x:c r="Q185" s="63" t="str">
        <x:f>IF($A185="","",SUMIFS('Histórico de Gastos'!$W$6:$W$205,'Histórico de Gastos'!$B$6:$B$205,$A185))</x:f>
      </x:c>
      <x:c r="R185" s="63" t="str">
        <x:f>IF($A185="","",SUMIFS('Histórico de Gastos'!$X$6:$X$205,'Histórico de Gastos'!$B$6:$B$205,$A185))</x:f>
      </x:c>
      <x:c r="S185" s="63" t="str">
        <x:f>IF($A185="","",ABS($Q185-SUMIFS('Histórico de Gastos'!$U$6:$U$205,'Histórico de Gastos'!$B$6:$B$205,$A185)))</x:f>
      </x:c>
      <x:c r="T185" s="67" t="str">
        <x:f>IF($A185="","",IF(ABS($Q185-SUMIFS('Histórico de Gastos'!$U$6:$U$205,'Histórico de Gastos'!$B$6:$B$205,$A185))&lt;0.01,"Tudo certo",IF($Q185&gt;SUMIFS('Histórico de Gastos'!$U$6:$U$205,'Histórico de Gastos'!$B$6:$B$205,$A185),"Camilly deve para Pedro","Pedro deve para Camilly")))</x:f>
      </x:c>
      <x:c r="U185" s="36"/>
      <x:c r="V185" s="67" t="str">
        <x:f>IF($A185="","",IF(COUNTIFS('Checklist de Viagem'!$A$6:$A$205,$A185)=0,"Não",IF(COUNTIFS('Checklist de Viagem'!$A$6:$A$205,$A185,'Checklist de Viagem'!$H$6:$H$205,"Não")=0,"Sim","Não")))</x:f>
      </x:c>
      <x:c r="W185" s="36"/>
      <x:c r="X185" s="36"/>
      <x:c r="Y185" s="36"/>
      <x:c r="Z185" s="59"/>
      <x:c r="AA185" s="59"/>
      <x:c r="AB185" s="67" t="str">
        <x:f>IF($A185="","",IF($P185&gt;1,"Viagem acima do orçamento",IF(AND($K185&lt;&gt;"Concluída",$V185&lt;&gt;"Sim",$H185-TODAY()&lt;=15),"Viagem próxima sem checklist completo",IF($W185="","Passagem ainda não comprada",IF($X185="","Falta reservar hospedagem",IF($S185&gt;0,"Existe valor pendente de compensação","Tudo certo"))))))</x:f>
      </x:c>
      <x:c r="AC185" s="36"/>
    </x:row>
    <x:row r="186">
      <x:c r="A186" s="36"/>
      <x:c r="B186" s="36"/>
      <x:c r="C186" s="36"/>
      <x:c r="D186" s="36"/>
      <x:c r="E186" s="36"/>
      <x:c r="F186" s="36"/>
      <x:c r="G186" s="36"/>
      <x:c r="H186" s="59"/>
      <x:c r="I186" s="59"/>
      <x:c r="J186" s="61" t="str">
        <x:f>IF(OR($H186="",$I186=""),"",MAX($I186-$H186+1,1))</x:f>
      </x:c>
      <x:c r="K186" s="36"/>
      <x:c r="L186" s="36"/>
      <x:c r="M186" s="63" t="str">
        <x:f>IF($A186="","",SUMIFS('Custos Planejados - Pedro'!$G$6:$G$205,'Custos Planejados - Pedro'!$A$6:$A$205,$A186)+SUMIFS('Custos Planejados - Camilly'!$G$6:$G$205,'Custos Planejados - Camilly'!$A$6:$A$205,$A186))</x:f>
      </x:c>
      <x:c r="N186" s="63" t="str">
        <x:f>IF($A186="","",SUMIFS('Histórico de Gastos'!$J$6:$J$205,'Histórico de Gastos'!$B$6:$B$205,$A186))</x:f>
      </x:c>
      <x:c r="O186" s="63" t="str">
        <x:f>IF($A186="","",$M186-$N186)</x:f>
      </x:c>
      <x:c r="P186" s="65" t="str">
        <x:f>IF($A186="","",IFERROR($N186/$M186,0))</x:f>
      </x:c>
      <x:c r="Q186" s="63" t="str">
        <x:f>IF($A186="","",SUMIFS('Histórico de Gastos'!$W$6:$W$205,'Histórico de Gastos'!$B$6:$B$205,$A186))</x:f>
      </x:c>
      <x:c r="R186" s="63" t="str">
        <x:f>IF($A186="","",SUMIFS('Histórico de Gastos'!$X$6:$X$205,'Histórico de Gastos'!$B$6:$B$205,$A186))</x:f>
      </x:c>
      <x:c r="S186" s="63" t="str">
        <x:f>IF($A186="","",ABS($Q186-SUMIFS('Histórico de Gastos'!$U$6:$U$205,'Histórico de Gastos'!$B$6:$B$205,$A186)))</x:f>
      </x:c>
      <x:c r="T186" s="67" t="str">
        <x:f>IF($A186="","",IF(ABS($Q186-SUMIFS('Histórico de Gastos'!$U$6:$U$205,'Histórico de Gastos'!$B$6:$B$205,$A186))&lt;0.01,"Tudo certo",IF($Q186&gt;SUMIFS('Histórico de Gastos'!$U$6:$U$205,'Histórico de Gastos'!$B$6:$B$205,$A186),"Camilly deve para Pedro","Pedro deve para Camilly")))</x:f>
      </x:c>
      <x:c r="U186" s="36"/>
      <x:c r="V186" s="67" t="str">
        <x:f>IF($A186="","",IF(COUNTIFS('Checklist de Viagem'!$A$6:$A$205,$A186)=0,"Não",IF(COUNTIFS('Checklist de Viagem'!$A$6:$A$205,$A186,'Checklist de Viagem'!$H$6:$H$205,"Não")=0,"Sim","Não")))</x:f>
      </x:c>
      <x:c r="W186" s="36"/>
      <x:c r="X186" s="36"/>
      <x:c r="Y186" s="36"/>
      <x:c r="Z186" s="59"/>
      <x:c r="AA186" s="59"/>
      <x:c r="AB186" s="67" t="str">
        <x:f>IF($A186="","",IF($P186&gt;1,"Viagem acima do orçamento",IF(AND($K186&lt;&gt;"Concluída",$V186&lt;&gt;"Sim",$H186-TODAY()&lt;=15),"Viagem próxima sem checklist completo",IF($W186="","Passagem ainda não comprada",IF($X186="","Falta reservar hospedagem",IF($S186&gt;0,"Existe valor pendente de compensação","Tudo certo"))))))</x:f>
      </x:c>
      <x:c r="AC186" s="36"/>
    </x:row>
    <x:row r="187">
      <x:c r="A187" s="36"/>
      <x:c r="B187" s="36"/>
      <x:c r="C187" s="36"/>
      <x:c r="D187" s="36"/>
      <x:c r="E187" s="36"/>
      <x:c r="F187" s="36"/>
      <x:c r="G187" s="36"/>
      <x:c r="H187" s="59"/>
      <x:c r="I187" s="59"/>
      <x:c r="J187" s="61" t="str">
        <x:f>IF(OR($H187="",$I187=""),"",MAX($I187-$H187+1,1))</x:f>
      </x:c>
      <x:c r="K187" s="36"/>
      <x:c r="L187" s="36"/>
      <x:c r="M187" s="63" t="str">
        <x:f>IF($A187="","",SUMIFS('Custos Planejados - Pedro'!$G$6:$G$205,'Custos Planejados - Pedro'!$A$6:$A$205,$A187)+SUMIFS('Custos Planejados - Camilly'!$G$6:$G$205,'Custos Planejados - Camilly'!$A$6:$A$205,$A187))</x:f>
      </x:c>
      <x:c r="N187" s="63" t="str">
        <x:f>IF($A187="","",SUMIFS('Histórico de Gastos'!$J$6:$J$205,'Histórico de Gastos'!$B$6:$B$205,$A187))</x:f>
      </x:c>
      <x:c r="O187" s="63" t="str">
        <x:f>IF($A187="","",$M187-$N187)</x:f>
      </x:c>
      <x:c r="P187" s="65" t="str">
        <x:f>IF($A187="","",IFERROR($N187/$M187,0))</x:f>
      </x:c>
      <x:c r="Q187" s="63" t="str">
        <x:f>IF($A187="","",SUMIFS('Histórico de Gastos'!$W$6:$W$205,'Histórico de Gastos'!$B$6:$B$205,$A187))</x:f>
      </x:c>
      <x:c r="R187" s="63" t="str">
        <x:f>IF($A187="","",SUMIFS('Histórico de Gastos'!$X$6:$X$205,'Histórico de Gastos'!$B$6:$B$205,$A187))</x:f>
      </x:c>
      <x:c r="S187" s="63" t="str">
        <x:f>IF($A187="","",ABS($Q187-SUMIFS('Histórico de Gastos'!$U$6:$U$205,'Histórico de Gastos'!$B$6:$B$205,$A187)))</x:f>
      </x:c>
      <x:c r="T187" s="67" t="str">
        <x:f>IF($A187="","",IF(ABS($Q187-SUMIFS('Histórico de Gastos'!$U$6:$U$205,'Histórico de Gastos'!$B$6:$B$205,$A187))&lt;0.01,"Tudo certo",IF($Q187&gt;SUMIFS('Histórico de Gastos'!$U$6:$U$205,'Histórico de Gastos'!$B$6:$B$205,$A187),"Camilly deve para Pedro","Pedro deve para Camilly")))</x:f>
      </x:c>
      <x:c r="U187" s="36"/>
      <x:c r="V187" s="67" t="str">
        <x:f>IF($A187="","",IF(COUNTIFS('Checklist de Viagem'!$A$6:$A$205,$A187)=0,"Não",IF(COUNTIFS('Checklist de Viagem'!$A$6:$A$205,$A187,'Checklist de Viagem'!$H$6:$H$205,"Não")=0,"Sim","Não")))</x:f>
      </x:c>
      <x:c r="W187" s="36"/>
      <x:c r="X187" s="36"/>
      <x:c r="Y187" s="36"/>
      <x:c r="Z187" s="59"/>
      <x:c r="AA187" s="59"/>
      <x:c r="AB187" s="67" t="str">
        <x:f>IF($A187="","",IF($P187&gt;1,"Viagem acima do orçamento",IF(AND($K187&lt;&gt;"Concluída",$V187&lt;&gt;"Sim",$H187-TODAY()&lt;=15),"Viagem próxima sem checklist completo",IF($W187="","Passagem ainda não comprada",IF($X187="","Falta reservar hospedagem",IF($S187&gt;0,"Existe valor pendente de compensação","Tudo certo"))))))</x:f>
      </x:c>
      <x:c r="AC187" s="36"/>
    </x:row>
    <x:row r="188">
      <x:c r="A188" s="36"/>
      <x:c r="B188" s="36"/>
      <x:c r="C188" s="36"/>
      <x:c r="D188" s="36"/>
      <x:c r="E188" s="36"/>
      <x:c r="F188" s="36"/>
      <x:c r="G188" s="36"/>
      <x:c r="H188" s="59"/>
      <x:c r="I188" s="59"/>
      <x:c r="J188" s="61" t="str">
        <x:f>IF(OR($H188="",$I188=""),"",MAX($I188-$H188+1,1))</x:f>
      </x:c>
      <x:c r="K188" s="36"/>
      <x:c r="L188" s="36"/>
      <x:c r="M188" s="63" t="str">
        <x:f>IF($A188="","",SUMIFS('Custos Planejados - Pedro'!$G$6:$G$205,'Custos Planejados - Pedro'!$A$6:$A$205,$A188)+SUMIFS('Custos Planejados - Camilly'!$G$6:$G$205,'Custos Planejados - Camilly'!$A$6:$A$205,$A188))</x:f>
      </x:c>
      <x:c r="N188" s="63" t="str">
        <x:f>IF($A188="","",SUMIFS('Histórico de Gastos'!$J$6:$J$205,'Histórico de Gastos'!$B$6:$B$205,$A188))</x:f>
      </x:c>
      <x:c r="O188" s="63" t="str">
        <x:f>IF($A188="","",$M188-$N188)</x:f>
      </x:c>
      <x:c r="P188" s="65" t="str">
        <x:f>IF($A188="","",IFERROR($N188/$M188,0))</x:f>
      </x:c>
      <x:c r="Q188" s="63" t="str">
        <x:f>IF($A188="","",SUMIFS('Histórico de Gastos'!$W$6:$W$205,'Histórico de Gastos'!$B$6:$B$205,$A188))</x:f>
      </x:c>
      <x:c r="R188" s="63" t="str">
        <x:f>IF($A188="","",SUMIFS('Histórico de Gastos'!$X$6:$X$205,'Histórico de Gastos'!$B$6:$B$205,$A188))</x:f>
      </x:c>
      <x:c r="S188" s="63" t="str">
        <x:f>IF($A188="","",ABS($Q188-SUMIFS('Histórico de Gastos'!$U$6:$U$205,'Histórico de Gastos'!$B$6:$B$205,$A188)))</x:f>
      </x:c>
      <x:c r="T188" s="67" t="str">
        <x:f>IF($A188="","",IF(ABS($Q188-SUMIFS('Histórico de Gastos'!$U$6:$U$205,'Histórico de Gastos'!$B$6:$B$205,$A188))&lt;0.01,"Tudo certo",IF($Q188&gt;SUMIFS('Histórico de Gastos'!$U$6:$U$205,'Histórico de Gastos'!$B$6:$B$205,$A188),"Camilly deve para Pedro","Pedro deve para Camilly")))</x:f>
      </x:c>
      <x:c r="U188" s="36"/>
      <x:c r="V188" s="67" t="str">
        <x:f>IF($A188="","",IF(COUNTIFS('Checklist de Viagem'!$A$6:$A$205,$A188)=0,"Não",IF(COUNTIFS('Checklist de Viagem'!$A$6:$A$205,$A188,'Checklist de Viagem'!$H$6:$H$205,"Não")=0,"Sim","Não")))</x:f>
      </x:c>
      <x:c r="W188" s="36"/>
      <x:c r="X188" s="36"/>
      <x:c r="Y188" s="36"/>
      <x:c r="Z188" s="59"/>
      <x:c r="AA188" s="59"/>
      <x:c r="AB188" s="67" t="str">
        <x:f>IF($A188="","",IF($P188&gt;1,"Viagem acima do orçamento",IF(AND($K188&lt;&gt;"Concluída",$V188&lt;&gt;"Sim",$H188-TODAY()&lt;=15),"Viagem próxima sem checklist completo",IF($W188="","Passagem ainda não comprada",IF($X188="","Falta reservar hospedagem",IF($S188&gt;0,"Existe valor pendente de compensação","Tudo certo"))))))</x:f>
      </x:c>
      <x:c r="AC188" s="36"/>
    </x:row>
    <x:row r="189">
      <x:c r="A189" s="36"/>
      <x:c r="B189" s="36"/>
      <x:c r="C189" s="36"/>
      <x:c r="D189" s="36"/>
      <x:c r="E189" s="36"/>
      <x:c r="F189" s="36"/>
      <x:c r="G189" s="36"/>
      <x:c r="H189" s="59"/>
      <x:c r="I189" s="59"/>
      <x:c r="J189" s="61" t="str">
        <x:f>IF(OR($H189="",$I189=""),"",MAX($I189-$H189+1,1))</x:f>
      </x:c>
      <x:c r="K189" s="36"/>
      <x:c r="L189" s="36"/>
      <x:c r="M189" s="63" t="str">
        <x:f>IF($A189="","",SUMIFS('Custos Planejados - Pedro'!$G$6:$G$205,'Custos Planejados - Pedro'!$A$6:$A$205,$A189)+SUMIFS('Custos Planejados - Camilly'!$G$6:$G$205,'Custos Planejados - Camilly'!$A$6:$A$205,$A189))</x:f>
      </x:c>
      <x:c r="N189" s="63" t="str">
        <x:f>IF($A189="","",SUMIFS('Histórico de Gastos'!$J$6:$J$205,'Histórico de Gastos'!$B$6:$B$205,$A189))</x:f>
      </x:c>
      <x:c r="O189" s="63" t="str">
        <x:f>IF($A189="","",$M189-$N189)</x:f>
      </x:c>
      <x:c r="P189" s="65" t="str">
        <x:f>IF($A189="","",IFERROR($N189/$M189,0))</x:f>
      </x:c>
      <x:c r="Q189" s="63" t="str">
        <x:f>IF($A189="","",SUMIFS('Histórico de Gastos'!$W$6:$W$205,'Histórico de Gastos'!$B$6:$B$205,$A189))</x:f>
      </x:c>
      <x:c r="R189" s="63" t="str">
        <x:f>IF($A189="","",SUMIFS('Histórico de Gastos'!$X$6:$X$205,'Histórico de Gastos'!$B$6:$B$205,$A189))</x:f>
      </x:c>
      <x:c r="S189" s="63" t="str">
        <x:f>IF($A189="","",ABS($Q189-SUMIFS('Histórico de Gastos'!$U$6:$U$205,'Histórico de Gastos'!$B$6:$B$205,$A189)))</x:f>
      </x:c>
      <x:c r="T189" s="67" t="str">
        <x:f>IF($A189="","",IF(ABS($Q189-SUMIFS('Histórico de Gastos'!$U$6:$U$205,'Histórico de Gastos'!$B$6:$B$205,$A189))&lt;0.01,"Tudo certo",IF($Q189&gt;SUMIFS('Histórico de Gastos'!$U$6:$U$205,'Histórico de Gastos'!$B$6:$B$205,$A189),"Camilly deve para Pedro","Pedro deve para Camilly")))</x:f>
      </x:c>
      <x:c r="U189" s="36"/>
      <x:c r="V189" s="67" t="str">
        <x:f>IF($A189="","",IF(COUNTIFS('Checklist de Viagem'!$A$6:$A$205,$A189)=0,"Não",IF(COUNTIFS('Checklist de Viagem'!$A$6:$A$205,$A189,'Checklist de Viagem'!$H$6:$H$205,"Não")=0,"Sim","Não")))</x:f>
      </x:c>
      <x:c r="W189" s="36"/>
      <x:c r="X189" s="36"/>
      <x:c r="Y189" s="36"/>
      <x:c r="Z189" s="59"/>
      <x:c r="AA189" s="59"/>
      <x:c r="AB189" s="67" t="str">
        <x:f>IF($A189="","",IF($P189&gt;1,"Viagem acima do orçamento",IF(AND($K189&lt;&gt;"Concluída",$V189&lt;&gt;"Sim",$H189-TODAY()&lt;=15),"Viagem próxima sem checklist completo",IF($W189="","Passagem ainda não comprada",IF($X189="","Falta reservar hospedagem",IF($S189&gt;0,"Existe valor pendente de compensação","Tudo certo"))))))</x:f>
      </x:c>
      <x:c r="AC189" s="36"/>
    </x:row>
    <x:row r="190">
      <x:c r="A190" s="36"/>
      <x:c r="B190" s="36"/>
      <x:c r="C190" s="36"/>
      <x:c r="D190" s="36"/>
      <x:c r="E190" s="36"/>
      <x:c r="F190" s="36"/>
      <x:c r="G190" s="36"/>
      <x:c r="H190" s="59"/>
      <x:c r="I190" s="59"/>
      <x:c r="J190" s="61" t="str">
        <x:f>IF(OR($H190="",$I190=""),"",MAX($I190-$H190+1,1))</x:f>
      </x:c>
      <x:c r="K190" s="36"/>
      <x:c r="L190" s="36"/>
      <x:c r="M190" s="63" t="str">
        <x:f>IF($A190="","",SUMIFS('Custos Planejados - Pedro'!$G$6:$G$205,'Custos Planejados - Pedro'!$A$6:$A$205,$A190)+SUMIFS('Custos Planejados - Camilly'!$G$6:$G$205,'Custos Planejados - Camilly'!$A$6:$A$205,$A190))</x:f>
      </x:c>
      <x:c r="N190" s="63" t="str">
        <x:f>IF($A190="","",SUMIFS('Histórico de Gastos'!$J$6:$J$205,'Histórico de Gastos'!$B$6:$B$205,$A190))</x:f>
      </x:c>
      <x:c r="O190" s="63" t="str">
        <x:f>IF($A190="","",$M190-$N190)</x:f>
      </x:c>
      <x:c r="P190" s="65" t="str">
        <x:f>IF($A190="","",IFERROR($N190/$M190,0))</x:f>
      </x:c>
      <x:c r="Q190" s="63" t="str">
        <x:f>IF($A190="","",SUMIFS('Histórico de Gastos'!$W$6:$W$205,'Histórico de Gastos'!$B$6:$B$205,$A190))</x:f>
      </x:c>
      <x:c r="R190" s="63" t="str">
        <x:f>IF($A190="","",SUMIFS('Histórico de Gastos'!$X$6:$X$205,'Histórico de Gastos'!$B$6:$B$205,$A190))</x:f>
      </x:c>
      <x:c r="S190" s="63" t="str">
        <x:f>IF($A190="","",ABS($Q190-SUMIFS('Histórico de Gastos'!$U$6:$U$205,'Histórico de Gastos'!$B$6:$B$205,$A190)))</x:f>
      </x:c>
      <x:c r="T190" s="67" t="str">
        <x:f>IF($A190="","",IF(ABS($Q190-SUMIFS('Histórico de Gastos'!$U$6:$U$205,'Histórico de Gastos'!$B$6:$B$205,$A190))&lt;0.01,"Tudo certo",IF($Q190&gt;SUMIFS('Histórico de Gastos'!$U$6:$U$205,'Histórico de Gastos'!$B$6:$B$205,$A190),"Camilly deve para Pedro","Pedro deve para Camilly")))</x:f>
      </x:c>
      <x:c r="U190" s="36"/>
      <x:c r="V190" s="67" t="str">
        <x:f>IF($A190="","",IF(COUNTIFS('Checklist de Viagem'!$A$6:$A$205,$A190)=0,"Não",IF(COUNTIFS('Checklist de Viagem'!$A$6:$A$205,$A190,'Checklist de Viagem'!$H$6:$H$205,"Não")=0,"Sim","Não")))</x:f>
      </x:c>
      <x:c r="W190" s="36"/>
      <x:c r="X190" s="36"/>
      <x:c r="Y190" s="36"/>
      <x:c r="Z190" s="59"/>
      <x:c r="AA190" s="59"/>
      <x:c r="AB190" s="67" t="str">
        <x:f>IF($A190="","",IF($P190&gt;1,"Viagem acima do orçamento",IF(AND($K190&lt;&gt;"Concluída",$V190&lt;&gt;"Sim",$H190-TODAY()&lt;=15),"Viagem próxima sem checklist completo",IF($W190="","Passagem ainda não comprada",IF($X190="","Falta reservar hospedagem",IF($S190&gt;0,"Existe valor pendente de compensação","Tudo certo"))))))</x:f>
      </x:c>
      <x:c r="AC190" s="36"/>
    </x:row>
    <x:row r="191">
      <x:c r="A191" s="36"/>
      <x:c r="B191" s="36"/>
      <x:c r="C191" s="36"/>
      <x:c r="D191" s="36"/>
      <x:c r="E191" s="36"/>
      <x:c r="F191" s="36"/>
      <x:c r="G191" s="36"/>
      <x:c r="H191" s="59"/>
      <x:c r="I191" s="59"/>
      <x:c r="J191" s="61" t="str">
        <x:f>IF(OR($H191="",$I191=""),"",MAX($I191-$H191+1,1))</x:f>
      </x:c>
      <x:c r="K191" s="36"/>
      <x:c r="L191" s="36"/>
      <x:c r="M191" s="63" t="str">
        <x:f>IF($A191="","",SUMIFS('Custos Planejados - Pedro'!$G$6:$G$205,'Custos Planejados - Pedro'!$A$6:$A$205,$A191)+SUMIFS('Custos Planejados - Camilly'!$G$6:$G$205,'Custos Planejados - Camilly'!$A$6:$A$205,$A191))</x:f>
      </x:c>
      <x:c r="N191" s="63" t="str">
        <x:f>IF($A191="","",SUMIFS('Histórico de Gastos'!$J$6:$J$205,'Histórico de Gastos'!$B$6:$B$205,$A191))</x:f>
      </x:c>
      <x:c r="O191" s="63" t="str">
        <x:f>IF($A191="","",$M191-$N191)</x:f>
      </x:c>
      <x:c r="P191" s="65" t="str">
        <x:f>IF($A191="","",IFERROR($N191/$M191,0))</x:f>
      </x:c>
      <x:c r="Q191" s="63" t="str">
        <x:f>IF($A191="","",SUMIFS('Histórico de Gastos'!$W$6:$W$205,'Histórico de Gastos'!$B$6:$B$205,$A191))</x:f>
      </x:c>
      <x:c r="R191" s="63" t="str">
        <x:f>IF($A191="","",SUMIFS('Histórico de Gastos'!$X$6:$X$205,'Histórico de Gastos'!$B$6:$B$205,$A191))</x:f>
      </x:c>
      <x:c r="S191" s="63" t="str">
        <x:f>IF($A191="","",ABS($Q191-SUMIFS('Histórico de Gastos'!$U$6:$U$205,'Histórico de Gastos'!$B$6:$B$205,$A191)))</x:f>
      </x:c>
      <x:c r="T191" s="67" t="str">
        <x:f>IF($A191="","",IF(ABS($Q191-SUMIFS('Histórico de Gastos'!$U$6:$U$205,'Histórico de Gastos'!$B$6:$B$205,$A191))&lt;0.01,"Tudo certo",IF($Q191&gt;SUMIFS('Histórico de Gastos'!$U$6:$U$205,'Histórico de Gastos'!$B$6:$B$205,$A191),"Camilly deve para Pedro","Pedro deve para Camilly")))</x:f>
      </x:c>
      <x:c r="U191" s="36"/>
      <x:c r="V191" s="67" t="str">
        <x:f>IF($A191="","",IF(COUNTIFS('Checklist de Viagem'!$A$6:$A$205,$A191)=0,"Não",IF(COUNTIFS('Checklist de Viagem'!$A$6:$A$205,$A191,'Checklist de Viagem'!$H$6:$H$205,"Não")=0,"Sim","Não")))</x:f>
      </x:c>
      <x:c r="W191" s="36"/>
      <x:c r="X191" s="36"/>
      <x:c r="Y191" s="36"/>
      <x:c r="Z191" s="59"/>
      <x:c r="AA191" s="59"/>
      <x:c r="AB191" s="67" t="str">
        <x:f>IF($A191="","",IF($P191&gt;1,"Viagem acima do orçamento",IF(AND($K191&lt;&gt;"Concluída",$V191&lt;&gt;"Sim",$H191-TODAY()&lt;=15),"Viagem próxima sem checklist completo",IF($W191="","Passagem ainda não comprada",IF($X191="","Falta reservar hospedagem",IF($S191&gt;0,"Existe valor pendente de compensação","Tudo certo"))))))</x:f>
      </x:c>
      <x:c r="AC191" s="36"/>
    </x:row>
    <x:row r="192">
      <x:c r="A192" s="36"/>
      <x:c r="B192" s="36"/>
      <x:c r="C192" s="36"/>
      <x:c r="D192" s="36"/>
      <x:c r="E192" s="36"/>
      <x:c r="F192" s="36"/>
      <x:c r="G192" s="36"/>
      <x:c r="H192" s="59"/>
      <x:c r="I192" s="59"/>
      <x:c r="J192" s="61" t="str">
        <x:f>IF(OR($H192="",$I192=""),"",MAX($I192-$H192+1,1))</x:f>
      </x:c>
      <x:c r="K192" s="36"/>
      <x:c r="L192" s="36"/>
      <x:c r="M192" s="63" t="str">
        <x:f>IF($A192="","",SUMIFS('Custos Planejados - Pedro'!$G$6:$G$205,'Custos Planejados - Pedro'!$A$6:$A$205,$A192)+SUMIFS('Custos Planejados - Camilly'!$G$6:$G$205,'Custos Planejados - Camilly'!$A$6:$A$205,$A192))</x:f>
      </x:c>
      <x:c r="N192" s="63" t="str">
        <x:f>IF($A192="","",SUMIFS('Histórico de Gastos'!$J$6:$J$205,'Histórico de Gastos'!$B$6:$B$205,$A192))</x:f>
      </x:c>
      <x:c r="O192" s="63" t="str">
        <x:f>IF($A192="","",$M192-$N192)</x:f>
      </x:c>
      <x:c r="P192" s="65" t="str">
        <x:f>IF($A192="","",IFERROR($N192/$M192,0))</x:f>
      </x:c>
      <x:c r="Q192" s="63" t="str">
        <x:f>IF($A192="","",SUMIFS('Histórico de Gastos'!$W$6:$W$205,'Histórico de Gastos'!$B$6:$B$205,$A192))</x:f>
      </x:c>
      <x:c r="R192" s="63" t="str">
        <x:f>IF($A192="","",SUMIFS('Histórico de Gastos'!$X$6:$X$205,'Histórico de Gastos'!$B$6:$B$205,$A192))</x:f>
      </x:c>
      <x:c r="S192" s="63" t="str">
        <x:f>IF($A192="","",ABS($Q192-SUMIFS('Histórico de Gastos'!$U$6:$U$205,'Histórico de Gastos'!$B$6:$B$205,$A192)))</x:f>
      </x:c>
      <x:c r="T192" s="67" t="str">
        <x:f>IF($A192="","",IF(ABS($Q192-SUMIFS('Histórico de Gastos'!$U$6:$U$205,'Histórico de Gastos'!$B$6:$B$205,$A192))&lt;0.01,"Tudo certo",IF($Q192&gt;SUMIFS('Histórico de Gastos'!$U$6:$U$205,'Histórico de Gastos'!$B$6:$B$205,$A192),"Camilly deve para Pedro","Pedro deve para Camilly")))</x:f>
      </x:c>
      <x:c r="U192" s="36"/>
      <x:c r="V192" s="67" t="str">
        <x:f>IF($A192="","",IF(COUNTIFS('Checklist de Viagem'!$A$6:$A$205,$A192)=0,"Não",IF(COUNTIFS('Checklist de Viagem'!$A$6:$A$205,$A192,'Checklist de Viagem'!$H$6:$H$205,"Não")=0,"Sim","Não")))</x:f>
      </x:c>
      <x:c r="W192" s="36"/>
      <x:c r="X192" s="36"/>
      <x:c r="Y192" s="36"/>
      <x:c r="Z192" s="59"/>
      <x:c r="AA192" s="59"/>
      <x:c r="AB192" s="67" t="str">
        <x:f>IF($A192="","",IF($P192&gt;1,"Viagem acima do orçamento",IF(AND($K192&lt;&gt;"Concluída",$V192&lt;&gt;"Sim",$H192-TODAY()&lt;=15),"Viagem próxima sem checklist completo",IF($W192="","Passagem ainda não comprada",IF($X192="","Falta reservar hospedagem",IF($S192&gt;0,"Existe valor pendente de compensação","Tudo certo"))))))</x:f>
      </x:c>
      <x:c r="AC192" s="36"/>
    </x:row>
    <x:row r="193">
      <x:c r="A193" s="36"/>
      <x:c r="B193" s="36"/>
      <x:c r="C193" s="36"/>
      <x:c r="D193" s="36"/>
      <x:c r="E193" s="36"/>
      <x:c r="F193" s="36"/>
      <x:c r="G193" s="36"/>
      <x:c r="H193" s="59"/>
      <x:c r="I193" s="59"/>
      <x:c r="J193" s="61" t="str">
        <x:f>IF(OR($H193="",$I193=""),"",MAX($I193-$H193+1,1))</x:f>
      </x:c>
      <x:c r="K193" s="36"/>
      <x:c r="L193" s="36"/>
      <x:c r="M193" s="63" t="str">
        <x:f>IF($A193="","",SUMIFS('Custos Planejados - Pedro'!$G$6:$G$205,'Custos Planejados - Pedro'!$A$6:$A$205,$A193)+SUMIFS('Custos Planejados - Camilly'!$G$6:$G$205,'Custos Planejados - Camilly'!$A$6:$A$205,$A193))</x:f>
      </x:c>
      <x:c r="N193" s="63" t="str">
        <x:f>IF($A193="","",SUMIFS('Histórico de Gastos'!$J$6:$J$205,'Histórico de Gastos'!$B$6:$B$205,$A193))</x:f>
      </x:c>
      <x:c r="O193" s="63" t="str">
        <x:f>IF($A193="","",$M193-$N193)</x:f>
      </x:c>
      <x:c r="P193" s="65" t="str">
        <x:f>IF($A193="","",IFERROR($N193/$M193,0))</x:f>
      </x:c>
      <x:c r="Q193" s="63" t="str">
        <x:f>IF($A193="","",SUMIFS('Histórico de Gastos'!$W$6:$W$205,'Histórico de Gastos'!$B$6:$B$205,$A193))</x:f>
      </x:c>
      <x:c r="R193" s="63" t="str">
        <x:f>IF($A193="","",SUMIFS('Histórico de Gastos'!$X$6:$X$205,'Histórico de Gastos'!$B$6:$B$205,$A193))</x:f>
      </x:c>
      <x:c r="S193" s="63" t="str">
        <x:f>IF($A193="","",ABS($Q193-SUMIFS('Histórico de Gastos'!$U$6:$U$205,'Histórico de Gastos'!$B$6:$B$205,$A193)))</x:f>
      </x:c>
      <x:c r="T193" s="67" t="str">
        <x:f>IF($A193="","",IF(ABS($Q193-SUMIFS('Histórico de Gastos'!$U$6:$U$205,'Histórico de Gastos'!$B$6:$B$205,$A193))&lt;0.01,"Tudo certo",IF($Q193&gt;SUMIFS('Histórico de Gastos'!$U$6:$U$205,'Histórico de Gastos'!$B$6:$B$205,$A193),"Camilly deve para Pedro","Pedro deve para Camilly")))</x:f>
      </x:c>
      <x:c r="U193" s="36"/>
      <x:c r="V193" s="67" t="str">
        <x:f>IF($A193="","",IF(COUNTIFS('Checklist de Viagem'!$A$6:$A$205,$A193)=0,"Não",IF(COUNTIFS('Checklist de Viagem'!$A$6:$A$205,$A193,'Checklist de Viagem'!$H$6:$H$205,"Não")=0,"Sim","Não")))</x:f>
      </x:c>
      <x:c r="W193" s="36"/>
      <x:c r="X193" s="36"/>
      <x:c r="Y193" s="36"/>
      <x:c r="Z193" s="59"/>
      <x:c r="AA193" s="59"/>
      <x:c r="AB193" s="67" t="str">
        <x:f>IF($A193="","",IF($P193&gt;1,"Viagem acima do orçamento",IF(AND($K193&lt;&gt;"Concluída",$V193&lt;&gt;"Sim",$H193-TODAY()&lt;=15),"Viagem próxima sem checklist completo",IF($W193="","Passagem ainda não comprada",IF($X193="","Falta reservar hospedagem",IF($S193&gt;0,"Existe valor pendente de compensação","Tudo certo"))))))</x:f>
      </x:c>
      <x:c r="AC193" s="36"/>
    </x:row>
    <x:row r="194">
      <x:c r="A194" s="36"/>
      <x:c r="B194" s="36"/>
      <x:c r="C194" s="36"/>
      <x:c r="D194" s="36"/>
      <x:c r="E194" s="36"/>
      <x:c r="F194" s="36"/>
      <x:c r="G194" s="36"/>
      <x:c r="H194" s="59"/>
      <x:c r="I194" s="59"/>
      <x:c r="J194" s="61" t="str">
        <x:f>IF(OR($H194="",$I194=""),"",MAX($I194-$H194+1,1))</x:f>
      </x:c>
      <x:c r="K194" s="36"/>
      <x:c r="L194" s="36"/>
      <x:c r="M194" s="63" t="str">
        <x:f>IF($A194="","",SUMIFS('Custos Planejados - Pedro'!$G$6:$G$205,'Custos Planejados - Pedro'!$A$6:$A$205,$A194)+SUMIFS('Custos Planejados - Camilly'!$G$6:$G$205,'Custos Planejados - Camilly'!$A$6:$A$205,$A194))</x:f>
      </x:c>
      <x:c r="N194" s="63" t="str">
        <x:f>IF($A194="","",SUMIFS('Histórico de Gastos'!$J$6:$J$205,'Histórico de Gastos'!$B$6:$B$205,$A194))</x:f>
      </x:c>
      <x:c r="O194" s="63" t="str">
        <x:f>IF($A194="","",$M194-$N194)</x:f>
      </x:c>
      <x:c r="P194" s="65" t="str">
        <x:f>IF($A194="","",IFERROR($N194/$M194,0))</x:f>
      </x:c>
      <x:c r="Q194" s="63" t="str">
        <x:f>IF($A194="","",SUMIFS('Histórico de Gastos'!$W$6:$W$205,'Histórico de Gastos'!$B$6:$B$205,$A194))</x:f>
      </x:c>
      <x:c r="R194" s="63" t="str">
        <x:f>IF($A194="","",SUMIFS('Histórico de Gastos'!$X$6:$X$205,'Histórico de Gastos'!$B$6:$B$205,$A194))</x:f>
      </x:c>
      <x:c r="S194" s="63" t="str">
        <x:f>IF($A194="","",ABS($Q194-SUMIFS('Histórico de Gastos'!$U$6:$U$205,'Histórico de Gastos'!$B$6:$B$205,$A194)))</x:f>
      </x:c>
      <x:c r="T194" s="67" t="str">
        <x:f>IF($A194="","",IF(ABS($Q194-SUMIFS('Histórico de Gastos'!$U$6:$U$205,'Histórico de Gastos'!$B$6:$B$205,$A194))&lt;0.01,"Tudo certo",IF($Q194&gt;SUMIFS('Histórico de Gastos'!$U$6:$U$205,'Histórico de Gastos'!$B$6:$B$205,$A194),"Camilly deve para Pedro","Pedro deve para Camilly")))</x:f>
      </x:c>
      <x:c r="U194" s="36"/>
      <x:c r="V194" s="67" t="str">
        <x:f>IF($A194="","",IF(COUNTIFS('Checklist de Viagem'!$A$6:$A$205,$A194)=0,"Não",IF(COUNTIFS('Checklist de Viagem'!$A$6:$A$205,$A194,'Checklist de Viagem'!$H$6:$H$205,"Não")=0,"Sim","Não")))</x:f>
      </x:c>
      <x:c r="W194" s="36"/>
      <x:c r="X194" s="36"/>
      <x:c r="Y194" s="36"/>
      <x:c r="Z194" s="59"/>
      <x:c r="AA194" s="59"/>
      <x:c r="AB194" s="67" t="str">
        <x:f>IF($A194="","",IF($P194&gt;1,"Viagem acima do orçamento",IF(AND($K194&lt;&gt;"Concluída",$V194&lt;&gt;"Sim",$H194-TODAY()&lt;=15),"Viagem próxima sem checklist completo",IF($W194="","Passagem ainda não comprada",IF($X194="","Falta reservar hospedagem",IF($S194&gt;0,"Existe valor pendente de compensação","Tudo certo"))))))</x:f>
      </x:c>
      <x:c r="AC194" s="36"/>
    </x:row>
    <x:row r="195">
      <x:c r="A195" s="36"/>
      <x:c r="B195" s="36"/>
      <x:c r="C195" s="36"/>
      <x:c r="D195" s="36"/>
      <x:c r="E195" s="36"/>
      <x:c r="F195" s="36"/>
      <x:c r="G195" s="36"/>
      <x:c r="H195" s="59"/>
      <x:c r="I195" s="59"/>
      <x:c r="J195" s="61" t="str">
        <x:f>IF(OR($H195="",$I195=""),"",MAX($I195-$H195+1,1))</x:f>
      </x:c>
      <x:c r="K195" s="36"/>
      <x:c r="L195" s="36"/>
      <x:c r="M195" s="63" t="str">
        <x:f>IF($A195="","",SUMIFS('Custos Planejados - Pedro'!$G$6:$G$205,'Custos Planejados - Pedro'!$A$6:$A$205,$A195)+SUMIFS('Custos Planejados - Camilly'!$G$6:$G$205,'Custos Planejados - Camilly'!$A$6:$A$205,$A195))</x:f>
      </x:c>
      <x:c r="N195" s="63" t="str">
        <x:f>IF($A195="","",SUMIFS('Histórico de Gastos'!$J$6:$J$205,'Histórico de Gastos'!$B$6:$B$205,$A195))</x:f>
      </x:c>
      <x:c r="O195" s="63" t="str">
        <x:f>IF($A195="","",$M195-$N195)</x:f>
      </x:c>
      <x:c r="P195" s="65" t="str">
        <x:f>IF($A195="","",IFERROR($N195/$M195,0))</x:f>
      </x:c>
      <x:c r="Q195" s="63" t="str">
        <x:f>IF($A195="","",SUMIFS('Histórico de Gastos'!$W$6:$W$205,'Histórico de Gastos'!$B$6:$B$205,$A195))</x:f>
      </x:c>
      <x:c r="R195" s="63" t="str">
        <x:f>IF($A195="","",SUMIFS('Histórico de Gastos'!$X$6:$X$205,'Histórico de Gastos'!$B$6:$B$205,$A195))</x:f>
      </x:c>
      <x:c r="S195" s="63" t="str">
        <x:f>IF($A195="","",ABS($Q195-SUMIFS('Histórico de Gastos'!$U$6:$U$205,'Histórico de Gastos'!$B$6:$B$205,$A195)))</x:f>
      </x:c>
      <x:c r="T195" s="67" t="str">
        <x:f>IF($A195="","",IF(ABS($Q195-SUMIFS('Histórico de Gastos'!$U$6:$U$205,'Histórico de Gastos'!$B$6:$B$205,$A195))&lt;0.01,"Tudo certo",IF($Q195&gt;SUMIFS('Histórico de Gastos'!$U$6:$U$205,'Histórico de Gastos'!$B$6:$B$205,$A195),"Camilly deve para Pedro","Pedro deve para Camilly")))</x:f>
      </x:c>
      <x:c r="U195" s="36"/>
      <x:c r="V195" s="67" t="str">
        <x:f>IF($A195="","",IF(COUNTIFS('Checklist de Viagem'!$A$6:$A$205,$A195)=0,"Não",IF(COUNTIFS('Checklist de Viagem'!$A$6:$A$205,$A195,'Checklist de Viagem'!$H$6:$H$205,"Não")=0,"Sim","Não")))</x:f>
      </x:c>
      <x:c r="W195" s="36"/>
      <x:c r="X195" s="36"/>
      <x:c r="Y195" s="36"/>
      <x:c r="Z195" s="59"/>
      <x:c r="AA195" s="59"/>
      <x:c r="AB195" s="67" t="str">
        <x:f>IF($A195="","",IF($P195&gt;1,"Viagem acima do orçamento",IF(AND($K195&lt;&gt;"Concluída",$V195&lt;&gt;"Sim",$H195-TODAY()&lt;=15),"Viagem próxima sem checklist completo",IF($W195="","Passagem ainda não comprada",IF($X195="","Falta reservar hospedagem",IF($S195&gt;0,"Existe valor pendente de compensação","Tudo certo"))))))</x:f>
      </x:c>
      <x:c r="AC195" s="36"/>
    </x:row>
    <x:row r="196">
      <x:c r="A196" s="36"/>
      <x:c r="B196" s="36"/>
      <x:c r="C196" s="36"/>
      <x:c r="D196" s="36"/>
      <x:c r="E196" s="36"/>
      <x:c r="F196" s="36"/>
      <x:c r="G196" s="36"/>
      <x:c r="H196" s="59"/>
      <x:c r="I196" s="59"/>
      <x:c r="J196" s="61" t="str">
        <x:f>IF(OR($H196="",$I196=""),"",MAX($I196-$H196+1,1))</x:f>
      </x:c>
      <x:c r="K196" s="36"/>
      <x:c r="L196" s="36"/>
      <x:c r="M196" s="63" t="str">
        <x:f>IF($A196="","",SUMIFS('Custos Planejados - Pedro'!$G$6:$G$205,'Custos Planejados - Pedro'!$A$6:$A$205,$A196)+SUMIFS('Custos Planejados - Camilly'!$G$6:$G$205,'Custos Planejados - Camilly'!$A$6:$A$205,$A196))</x:f>
      </x:c>
      <x:c r="N196" s="63" t="str">
        <x:f>IF($A196="","",SUMIFS('Histórico de Gastos'!$J$6:$J$205,'Histórico de Gastos'!$B$6:$B$205,$A196))</x:f>
      </x:c>
      <x:c r="O196" s="63" t="str">
        <x:f>IF($A196="","",$M196-$N196)</x:f>
      </x:c>
      <x:c r="P196" s="65" t="str">
        <x:f>IF($A196="","",IFERROR($N196/$M196,0))</x:f>
      </x:c>
      <x:c r="Q196" s="63" t="str">
        <x:f>IF($A196="","",SUMIFS('Histórico de Gastos'!$W$6:$W$205,'Histórico de Gastos'!$B$6:$B$205,$A196))</x:f>
      </x:c>
      <x:c r="R196" s="63" t="str">
        <x:f>IF($A196="","",SUMIFS('Histórico de Gastos'!$X$6:$X$205,'Histórico de Gastos'!$B$6:$B$205,$A196))</x:f>
      </x:c>
      <x:c r="S196" s="63" t="str">
        <x:f>IF($A196="","",ABS($Q196-SUMIFS('Histórico de Gastos'!$U$6:$U$205,'Histórico de Gastos'!$B$6:$B$205,$A196)))</x:f>
      </x:c>
      <x:c r="T196" s="67" t="str">
        <x:f>IF($A196="","",IF(ABS($Q196-SUMIFS('Histórico de Gastos'!$U$6:$U$205,'Histórico de Gastos'!$B$6:$B$205,$A196))&lt;0.01,"Tudo certo",IF($Q196&gt;SUMIFS('Histórico de Gastos'!$U$6:$U$205,'Histórico de Gastos'!$B$6:$B$205,$A196),"Camilly deve para Pedro","Pedro deve para Camilly")))</x:f>
      </x:c>
      <x:c r="U196" s="36"/>
      <x:c r="V196" s="67" t="str">
        <x:f>IF($A196="","",IF(COUNTIFS('Checklist de Viagem'!$A$6:$A$205,$A196)=0,"Não",IF(COUNTIFS('Checklist de Viagem'!$A$6:$A$205,$A196,'Checklist de Viagem'!$H$6:$H$205,"Não")=0,"Sim","Não")))</x:f>
      </x:c>
      <x:c r="W196" s="36"/>
      <x:c r="X196" s="36"/>
      <x:c r="Y196" s="36"/>
      <x:c r="Z196" s="59"/>
      <x:c r="AA196" s="59"/>
      <x:c r="AB196" s="67" t="str">
        <x:f>IF($A196="","",IF($P196&gt;1,"Viagem acima do orçamento",IF(AND($K196&lt;&gt;"Concluída",$V196&lt;&gt;"Sim",$H196-TODAY()&lt;=15),"Viagem próxima sem checklist completo",IF($W196="","Passagem ainda não comprada",IF($X196="","Falta reservar hospedagem",IF($S196&gt;0,"Existe valor pendente de compensação","Tudo certo"))))))</x:f>
      </x:c>
      <x:c r="AC196" s="36"/>
    </x:row>
    <x:row r="197">
      <x:c r="A197" s="36"/>
      <x:c r="B197" s="36"/>
      <x:c r="C197" s="36"/>
      <x:c r="D197" s="36"/>
      <x:c r="E197" s="36"/>
      <x:c r="F197" s="36"/>
      <x:c r="G197" s="36"/>
      <x:c r="H197" s="59"/>
      <x:c r="I197" s="59"/>
      <x:c r="J197" s="61" t="str">
        <x:f>IF(OR($H197="",$I197=""),"",MAX($I197-$H197+1,1))</x:f>
      </x:c>
      <x:c r="K197" s="36"/>
      <x:c r="L197" s="36"/>
      <x:c r="M197" s="63" t="str">
        <x:f>IF($A197="","",SUMIFS('Custos Planejados - Pedro'!$G$6:$G$205,'Custos Planejados - Pedro'!$A$6:$A$205,$A197)+SUMIFS('Custos Planejados - Camilly'!$G$6:$G$205,'Custos Planejados - Camilly'!$A$6:$A$205,$A197))</x:f>
      </x:c>
      <x:c r="N197" s="63" t="str">
        <x:f>IF($A197="","",SUMIFS('Histórico de Gastos'!$J$6:$J$205,'Histórico de Gastos'!$B$6:$B$205,$A197))</x:f>
      </x:c>
      <x:c r="O197" s="63" t="str">
        <x:f>IF($A197="","",$M197-$N197)</x:f>
      </x:c>
      <x:c r="P197" s="65" t="str">
        <x:f>IF($A197="","",IFERROR($N197/$M197,0))</x:f>
      </x:c>
      <x:c r="Q197" s="63" t="str">
        <x:f>IF($A197="","",SUMIFS('Histórico de Gastos'!$W$6:$W$205,'Histórico de Gastos'!$B$6:$B$205,$A197))</x:f>
      </x:c>
      <x:c r="R197" s="63" t="str">
        <x:f>IF($A197="","",SUMIFS('Histórico de Gastos'!$X$6:$X$205,'Histórico de Gastos'!$B$6:$B$205,$A197))</x:f>
      </x:c>
      <x:c r="S197" s="63" t="str">
        <x:f>IF($A197="","",ABS($Q197-SUMIFS('Histórico de Gastos'!$U$6:$U$205,'Histórico de Gastos'!$B$6:$B$205,$A197)))</x:f>
      </x:c>
      <x:c r="T197" s="67" t="str">
        <x:f>IF($A197="","",IF(ABS($Q197-SUMIFS('Histórico de Gastos'!$U$6:$U$205,'Histórico de Gastos'!$B$6:$B$205,$A197))&lt;0.01,"Tudo certo",IF($Q197&gt;SUMIFS('Histórico de Gastos'!$U$6:$U$205,'Histórico de Gastos'!$B$6:$B$205,$A197),"Camilly deve para Pedro","Pedro deve para Camilly")))</x:f>
      </x:c>
      <x:c r="U197" s="36"/>
      <x:c r="V197" s="67" t="str">
        <x:f>IF($A197="","",IF(COUNTIFS('Checklist de Viagem'!$A$6:$A$205,$A197)=0,"Não",IF(COUNTIFS('Checklist de Viagem'!$A$6:$A$205,$A197,'Checklist de Viagem'!$H$6:$H$205,"Não")=0,"Sim","Não")))</x:f>
      </x:c>
      <x:c r="W197" s="36"/>
      <x:c r="X197" s="36"/>
      <x:c r="Y197" s="36"/>
      <x:c r="Z197" s="59"/>
      <x:c r="AA197" s="59"/>
      <x:c r="AB197" s="67" t="str">
        <x:f>IF($A197="","",IF($P197&gt;1,"Viagem acima do orçamento",IF(AND($K197&lt;&gt;"Concluída",$V197&lt;&gt;"Sim",$H197-TODAY()&lt;=15),"Viagem próxima sem checklist completo",IF($W197="","Passagem ainda não comprada",IF($X197="","Falta reservar hospedagem",IF($S197&gt;0,"Existe valor pendente de compensação","Tudo certo"))))))</x:f>
      </x:c>
      <x:c r="AC197" s="36"/>
    </x:row>
    <x:row r="198">
      <x:c r="A198" s="36"/>
      <x:c r="B198" s="36"/>
      <x:c r="C198" s="36"/>
      <x:c r="D198" s="36"/>
      <x:c r="E198" s="36"/>
      <x:c r="F198" s="36"/>
      <x:c r="G198" s="36"/>
      <x:c r="H198" s="59"/>
      <x:c r="I198" s="59"/>
      <x:c r="J198" s="61" t="str">
        <x:f>IF(OR($H198="",$I198=""),"",MAX($I198-$H198+1,1))</x:f>
      </x:c>
      <x:c r="K198" s="36"/>
      <x:c r="L198" s="36"/>
      <x:c r="M198" s="63" t="str">
        <x:f>IF($A198="","",SUMIFS('Custos Planejados - Pedro'!$G$6:$G$205,'Custos Planejados - Pedro'!$A$6:$A$205,$A198)+SUMIFS('Custos Planejados - Camilly'!$G$6:$G$205,'Custos Planejados - Camilly'!$A$6:$A$205,$A198))</x:f>
      </x:c>
      <x:c r="N198" s="63" t="str">
        <x:f>IF($A198="","",SUMIFS('Histórico de Gastos'!$J$6:$J$205,'Histórico de Gastos'!$B$6:$B$205,$A198))</x:f>
      </x:c>
      <x:c r="O198" s="63" t="str">
        <x:f>IF($A198="","",$M198-$N198)</x:f>
      </x:c>
      <x:c r="P198" s="65" t="str">
        <x:f>IF($A198="","",IFERROR($N198/$M198,0))</x:f>
      </x:c>
      <x:c r="Q198" s="63" t="str">
        <x:f>IF($A198="","",SUMIFS('Histórico de Gastos'!$W$6:$W$205,'Histórico de Gastos'!$B$6:$B$205,$A198))</x:f>
      </x:c>
      <x:c r="R198" s="63" t="str">
        <x:f>IF($A198="","",SUMIFS('Histórico de Gastos'!$X$6:$X$205,'Histórico de Gastos'!$B$6:$B$205,$A198))</x:f>
      </x:c>
      <x:c r="S198" s="63" t="str">
        <x:f>IF($A198="","",ABS($Q198-SUMIFS('Histórico de Gastos'!$U$6:$U$205,'Histórico de Gastos'!$B$6:$B$205,$A198)))</x:f>
      </x:c>
      <x:c r="T198" s="67" t="str">
        <x:f>IF($A198="","",IF(ABS($Q198-SUMIFS('Histórico de Gastos'!$U$6:$U$205,'Histórico de Gastos'!$B$6:$B$205,$A198))&lt;0.01,"Tudo certo",IF($Q198&gt;SUMIFS('Histórico de Gastos'!$U$6:$U$205,'Histórico de Gastos'!$B$6:$B$205,$A198),"Camilly deve para Pedro","Pedro deve para Camilly")))</x:f>
      </x:c>
      <x:c r="U198" s="36"/>
      <x:c r="V198" s="67" t="str">
        <x:f>IF($A198="","",IF(COUNTIFS('Checklist de Viagem'!$A$6:$A$205,$A198)=0,"Não",IF(COUNTIFS('Checklist de Viagem'!$A$6:$A$205,$A198,'Checklist de Viagem'!$H$6:$H$205,"Não")=0,"Sim","Não")))</x:f>
      </x:c>
      <x:c r="W198" s="36"/>
      <x:c r="X198" s="36"/>
      <x:c r="Y198" s="36"/>
      <x:c r="Z198" s="59"/>
      <x:c r="AA198" s="59"/>
      <x:c r="AB198" s="67" t="str">
        <x:f>IF($A198="","",IF($P198&gt;1,"Viagem acima do orçamento",IF(AND($K198&lt;&gt;"Concluída",$V198&lt;&gt;"Sim",$H198-TODAY()&lt;=15),"Viagem próxima sem checklist completo",IF($W198="","Passagem ainda não comprada",IF($X198="","Falta reservar hospedagem",IF($S198&gt;0,"Existe valor pendente de compensação","Tudo certo"))))))</x:f>
      </x:c>
      <x:c r="AC198" s="36"/>
    </x:row>
    <x:row r="199">
      <x:c r="A199" s="36"/>
      <x:c r="B199" s="36"/>
      <x:c r="C199" s="36"/>
      <x:c r="D199" s="36"/>
      <x:c r="E199" s="36"/>
      <x:c r="F199" s="36"/>
      <x:c r="G199" s="36"/>
      <x:c r="H199" s="59"/>
      <x:c r="I199" s="59"/>
      <x:c r="J199" s="61" t="str">
        <x:f>IF(OR($H199="",$I199=""),"",MAX($I199-$H199+1,1))</x:f>
      </x:c>
      <x:c r="K199" s="36"/>
      <x:c r="L199" s="36"/>
      <x:c r="M199" s="63" t="str">
        <x:f>IF($A199="","",SUMIFS('Custos Planejados - Pedro'!$G$6:$G$205,'Custos Planejados - Pedro'!$A$6:$A$205,$A199)+SUMIFS('Custos Planejados - Camilly'!$G$6:$G$205,'Custos Planejados - Camilly'!$A$6:$A$205,$A199))</x:f>
      </x:c>
      <x:c r="N199" s="63" t="str">
        <x:f>IF($A199="","",SUMIFS('Histórico de Gastos'!$J$6:$J$205,'Histórico de Gastos'!$B$6:$B$205,$A199))</x:f>
      </x:c>
      <x:c r="O199" s="63" t="str">
        <x:f>IF($A199="","",$M199-$N199)</x:f>
      </x:c>
      <x:c r="P199" s="65" t="str">
        <x:f>IF($A199="","",IFERROR($N199/$M199,0))</x:f>
      </x:c>
      <x:c r="Q199" s="63" t="str">
        <x:f>IF($A199="","",SUMIFS('Histórico de Gastos'!$W$6:$W$205,'Histórico de Gastos'!$B$6:$B$205,$A199))</x:f>
      </x:c>
      <x:c r="R199" s="63" t="str">
        <x:f>IF($A199="","",SUMIFS('Histórico de Gastos'!$X$6:$X$205,'Histórico de Gastos'!$B$6:$B$205,$A199))</x:f>
      </x:c>
      <x:c r="S199" s="63" t="str">
        <x:f>IF($A199="","",ABS($Q199-SUMIFS('Histórico de Gastos'!$U$6:$U$205,'Histórico de Gastos'!$B$6:$B$205,$A199)))</x:f>
      </x:c>
      <x:c r="T199" s="67" t="str">
        <x:f>IF($A199="","",IF(ABS($Q199-SUMIFS('Histórico de Gastos'!$U$6:$U$205,'Histórico de Gastos'!$B$6:$B$205,$A199))&lt;0.01,"Tudo certo",IF($Q199&gt;SUMIFS('Histórico de Gastos'!$U$6:$U$205,'Histórico de Gastos'!$B$6:$B$205,$A199),"Camilly deve para Pedro","Pedro deve para Camilly")))</x:f>
      </x:c>
      <x:c r="U199" s="36"/>
      <x:c r="V199" s="67" t="str">
        <x:f>IF($A199="","",IF(COUNTIFS('Checklist de Viagem'!$A$6:$A$205,$A199)=0,"Não",IF(COUNTIFS('Checklist de Viagem'!$A$6:$A$205,$A199,'Checklist de Viagem'!$H$6:$H$205,"Não")=0,"Sim","Não")))</x:f>
      </x:c>
      <x:c r="W199" s="36"/>
      <x:c r="X199" s="36"/>
      <x:c r="Y199" s="36"/>
      <x:c r="Z199" s="59"/>
      <x:c r="AA199" s="59"/>
      <x:c r="AB199" s="67" t="str">
        <x:f>IF($A199="","",IF($P199&gt;1,"Viagem acima do orçamento",IF(AND($K199&lt;&gt;"Concluída",$V199&lt;&gt;"Sim",$H199-TODAY()&lt;=15),"Viagem próxima sem checklist completo",IF($W199="","Passagem ainda não comprada",IF($X199="","Falta reservar hospedagem",IF($S199&gt;0,"Existe valor pendente de compensação","Tudo certo"))))))</x:f>
      </x:c>
      <x:c r="AC199" s="36"/>
    </x:row>
    <x:row r="200">
      <x:c r="A200" s="36"/>
      <x:c r="B200" s="36"/>
      <x:c r="C200" s="36"/>
      <x:c r="D200" s="36"/>
      <x:c r="E200" s="36"/>
      <x:c r="F200" s="36"/>
      <x:c r="G200" s="36"/>
      <x:c r="H200" s="59"/>
      <x:c r="I200" s="59"/>
      <x:c r="J200" s="61" t="str">
        <x:f>IF(OR($H200="",$I200=""),"",MAX($I200-$H200+1,1))</x:f>
      </x:c>
      <x:c r="K200" s="36"/>
      <x:c r="L200" s="36"/>
      <x:c r="M200" s="63" t="str">
        <x:f>IF($A200="","",SUMIFS('Custos Planejados - Pedro'!$G$6:$G$205,'Custos Planejados - Pedro'!$A$6:$A$205,$A200)+SUMIFS('Custos Planejados - Camilly'!$G$6:$G$205,'Custos Planejados - Camilly'!$A$6:$A$205,$A200))</x:f>
      </x:c>
      <x:c r="N200" s="63" t="str">
        <x:f>IF($A200="","",SUMIFS('Histórico de Gastos'!$J$6:$J$205,'Histórico de Gastos'!$B$6:$B$205,$A200))</x:f>
      </x:c>
      <x:c r="O200" s="63" t="str">
        <x:f>IF($A200="","",$M200-$N200)</x:f>
      </x:c>
      <x:c r="P200" s="65" t="str">
        <x:f>IF($A200="","",IFERROR($N200/$M200,0))</x:f>
      </x:c>
      <x:c r="Q200" s="63" t="str">
        <x:f>IF($A200="","",SUMIFS('Histórico de Gastos'!$W$6:$W$205,'Histórico de Gastos'!$B$6:$B$205,$A200))</x:f>
      </x:c>
      <x:c r="R200" s="63" t="str">
        <x:f>IF($A200="","",SUMIFS('Histórico de Gastos'!$X$6:$X$205,'Histórico de Gastos'!$B$6:$B$205,$A200))</x:f>
      </x:c>
      <x:c r="S200" s="63" t="str">
        <x:f>IF($A200="","",ABS($Q200-SUMIFS('Histórico de Gastos'!$U$6:$U$205,'Histórico de Gastos'!$B$6:$B$205,$A200)))</x:f>
      </x:c>
      <x:c r="T200" s="67" t="str">
        <x:f>IF($A200="","",IF(ABS($Q200-SUMIFS('Histórico de Gastos'!$U$6:$U$205,'Histórico de Gastos'!$B$6:$B$205,$A200))&lt;0.01,"Tudo certo",IF($Q200&gt;SUMIFS('Histórico de Gastos'!$U$6:$U$205,'Histórico de Gastos'!$B$6:$B$205,$A200),"Camilly deve para Pedro","Pedro deve para Camilly")))</x:f>
      </x:c>
      <x:c r="U200" s="36"/>
      <x:c r="V200" s="67" t="str">
        <x:f>IF($A200="","",IF(COUNTIFS('Checklist de Viagem'!$A$6:$A$205,$A200)=0,"Não",IF(COUNTIFS('Checklist de Viagem'!$A$6:$A$205,$A200,'Checklist de Viagem'!$H$6:$H$205,"Não")=0,"Sim","Não")))</x:f>
      </x:c>
      <x:c r="W200" s="36"/>
      <x:c r="X200" s="36"/>
      <x:c r="Y200" s="36"/>
      <x:c r="Z200" s="59"/>
      <x:c r="AA200" s="59"/>
      <x:c r="AB200" s="67" t="str">
        <x:f>IF($A200="","",IF($P200&gt;1,"Viagem acima do orçamento",IF(AND($K200&lt;&gt;"Concluída",$V200&lt;&gt;"Sim",$H200-TODAY()&lt;=15),"Viagem próxima sem checklist completo",IF($W200="","Passagem ainda não comprada",IF($X200="","Falta reservar hospedagem",IF($S200&gt;0,"Existe valor pendente de compensação","Tudo certo"))))))</x:f>
      </x:c>
      <x:c r="AC200" s="36"/>
    </x:row>
    <x:row r="201">
      <x:c r="A201" s="36"/>
      <x:c r="B201" s="36"/>
      <x:c r="C201" s="36"/>
      <x:c r="D201" s="36"/>
      <x:c r="E201" s="36"/>
      <x:c r="F201" s="36"/>
      <x:c r="G201" s="36"/>
      <x:c r="H201" s="59"/>
      <x:c r="I201" s="59"/>
      <x:c r="J201" s="61" t="str">
        <x:f>IF(OR($H201="",$I201=""),"",MAX($I201-$H201+1,1))</x:f>
      </x:c>
      <x:c r="K201" s="36"/>
      <x:c r="L201" s="36"/>
      <x:c r="M201" s="63" t="str">
        <x:f>IF($A201="","",SUMIFS('Custos Planejados - Pedro'!$G$6:$G$205,'Custos Planejados - Pedro'!$A$6:$A$205,$A201)+SUMIFS('Custos Planejados - Camilly'!$G$6:$G$205,'Custos Planejados - Camilly'!$A$6:$A$205,$A201))</x:f>
      </x:c>
      <x:c r="N201" s="63" t="str">
        <x:f>IF($A201="","",SUMIFS('Histórico de Gastos'!$J$6:$J$205,'Histórico de Gastos'!$B$6:$B$205,$A201))</x:f>
      </x:c>
      <x:c r="O201" s="63" t="str">
        <x:f>IF($A201="","",$M201-$N201)</x:f>
      </x:c>
      <x:c r="P201" s="65" t="str">
        <x:f>IF($A201="","",IFERROR($N201/$M201,0))</x:f>
      </x:c>
      <x:c r="Q201" s="63" t="str">
        <x:f>IF($A201="","",SUMIFS('Histórico de Gastos'!$W$6:$W$205,'Histórico de Gastos'!$B$6:$B$205,$A201))</x:f>
      </x:c>
      <x:c r="R201" s="63" t="str">
        <x:f>IF($A201="","",SUMIFS('Histórico de Gastos'!$X$6:$X$205,'Histórico de Gastos'!$B$6:$B$205,$A201))</x:f>
      </x:c>
      <x:c r="S201" s="63" t="str">
        <x:f>IF($A201="","",ABS($Q201-SUMIFS('Histórico de Gastos'!$U$6:$U$205,'Histórico de Gastos'!$B$6:$B$205,$A201)))</x:f>
      </x:c>
      <x:c r="T201" s="67" t="str">
        <x:f>IF($A201="","",IF(ABS($Q201-SUMIFS('Histórico de Gastos'!$U$6:$U$205,'Histórico de Gastos'!$B$6:$B$205,$A201))&lt;0.01,"Tudo certo",IF($Q201&gt;SUMIFS('Histórico de Gastos'!$U$6:$U$205,'Histórico de Gastos'!$B$6:$B$205,$A201),"Camilly deve para Pedro","Pedro deve para Camilly")))</x:f>
      </x:c>
      <x:c r="U201" s="36"/>
      <x:c r="V201" s="67" t="str">
        <x:f>IF($A201="","",IF(COUNTIFS('Checklist de Viagem'!$A$6:$A$205,$A201)=0,"Não",IF(COUNTIFS('Checklist de Viagem'!$A$6:$A$205,$A201,'Checklist de Viagem'!$H$6:$H$205,"Não")=0,"Sim","Não")))</x:f>
      </x:c>
      <x:c r="W201" s="36"/>
      <x:c r="X201" s="36"/>
      <x:c r="Y201" s="36"/>
      <x:c r="Z201" s="59"/>
      <x:c r="AA201" s="59"/>
      <x:c r="AB201" s="67" t="str">
        <x:f>IF($A201="","",IF($P201&gt;1,"Viagem acima do orçamento",IF(AND($K201&lt;&gt;"Concluída",$V201&lt;&gt;"Sim",$H201-TODAY()&lt;=15),"Viagem próxima sem checklist completo",IF($W201="","Passagem ainda não comprada",IF($X201="","Falta reservar hospedagem",IF($S201&gt;0,"Existe valor pendente de compensação","Tudo certo"))))))</x:f>
      </x:c>
      <x:c r="AC201" s="36"/>
    </x:row>
    <x:row r="202">
      <x:c r="A202" s="36"/>
      <x:c r="B202" s="36"/>
      <x:c r="C202" s="36"/>
      <x:c r="D202" s="36"/>
      <x:c r="E202" s="36"/>
      <x:c r="F202" s="36"/>
      <x:c r="G202" s="36"/>
      <x:c r="H202" s="59"/>
      <x:c r="I202" s="59"/>
      <x:c r="J202" s="61" t="str">
        <x:f>IF(OR($H202="",$I202=""),"",MAX($I202-$H202+1,1))</x:f>
      </x:c>
      <x:c r="K202" s="36"/>
      <x:c r="L202" s="36"/>
      <x:c r="M202" s="63" t="str">
        <x:f>IF($A202="","",SUMIFS('Custos Planejados - Pedro'!$G$6:$G$205,'Custos Planejados - Pedro'!$A$6:$A$205,$A202)+SUMIFS('Custos Planejados - Camilly'!$G$6:$G$205,'Custos Planejados - Camilly'!$A$6:$A$205,$A202))</x:f>
      </x:c>
      <x:c r="N202" s="63" t="str">
        <x:f>IF($A202="","",SUMIFS('Histórico de Gastos'!$J$6:$J$205,'Histórico de Gastos'!$B$6:$B$205,$A202))</x:f>
      </x:c>
      <x:c r="O202" s="63" t="str">
        <x:f>IF($A202="","",$M202-$N202)</x:f>
      </x:c>
      <x:c r="P202" s="65" t="str">
        <x:f>IF($A202="","",IFERROR($N202/$M202,0))</x:f>
      </x:c>
      <x:c r="Q202" s="63" t="str">
        <x:f>IF($A202="","",SUMIFS('Histórico de Gastos'!$W$6:$W$205,'Histórico de Gastos'!$B$6:$B$205,$A202))</x:f>
      </x:c>
      <x:c r="R202" s="63" t="str">
        <x:f>IF($A202="","",SUMIFS('Histórico de Gastos'!$X$6:$X$205,'Histórico de Gastos'!$B$6:$B$205,$A202))</x:f>
      </x:c>
      <x:c r="S202" s="63" t="str">
        <x:f>IF($A202="","",ABS($Q202-SUMIFS('Histórico de Gastos'!$U$6:$U$205,'Histórico de Gastos'!$B$6:$B$205,$A202)))</x:f>
      </x:c>
      <x:c r="T202" s="67" t="str">
        <x:f>IF($A202="","",IF(ABS($Q202-SUMIFS('Histórico de Gastos'!$U$6:$U$205,'Histórico de Gastos'!$B$6:$B$205,$A202))&lt;0.01,"Tudo certo",IF($Q202&gt;SUMIFS('Histórico de Gastos'!$U$6:$U$205,'Histórico de Gastos'!$B$6:$B$205,$A202),"Camilly deve para Pedro","Pedro deve para Camilly")))</x:f>
      </x:c>
      <x:c r="U202" s="36"/>
      <x:c r="V202" s="67" t="str">
        <x:f>IF($A202="","",IF(COUNTIFS('Checklist de Viagem'!$A$6:$A$205,$A202)=0,"Não",IF(COUNTIFS('Checklist de Viagem'!$A$6:$A$205,$A202,'Checklist de Viagem'!$H$6:$H$205,"Não")=0,"Sim","Não")))</x:f>
      </x:c>
      <x:c r="W202" s="36"/>
      <x:c r="X202" s="36"/>
      <x:c r="Y202" s="36"/>
      <x:c r="Z202" s="59"/>
      <x:c r="AA202" s="59"/>
      <x:c r="AB202" s="67" t="str">
        <x:f>IF($A202="","",IF($P202&gt;1,"Viagem acima do orçamento",IF(AND($K202&lt;&gt;"Concluída",$V202&lt;&gt;"Sim",$H202-TODAY()&lt;=15),"Viagem próxima sem checklist completo",IF($W202="","Passagem ainda não comprada",IF($X202="","Falta reservar hospedagem",IF($S202&gt;0,"Existe valor pendente de compensação","Tudo certo"))))))</x:f>
      </x:c>
      <x:c r="AC202" s="36"/>
    </x:row>
    <x:row r="203">
      <x:c r="A203" s="36"/>
      <x:c r="B203" s="36"/>
      <x:c r="C203" s="36"/>
      <x:c r="D203" s="36"/>
      <x:c r="E203" s="36"/>
      <x:c r="F203" s="36"/>
      <x:c r="G203" s="36"/>
      <x:c r="H203" s="59"/>
      <x:c r="I203" s="59"/>
      <x:c r="J203" s="61" t="str">
        <x:f>IF(OR($H203="",$I203=""),"",MAX($I203-$H203+1,1))</x:f>
      </x:c>
      <x:c r="K203" s="36"/>
      <x:c r="L203" s="36"/>
      <x:c r="M203" s="63" t="str">
        <x:f>IF($A203="","",SUMIFS('Custos Planejados - Pedro'!$G$6:$G$205,'Custos Planejados - Pedro'!$A$6:$A$205,$A203)+SUMIFS('Custos Planejados - Camilly'!$G$6:$G$205,'Custos Planejados - Camilly'!$A$6:$A$205,$A203))</x:f>
      </x:c>
      <x:c r="N203" s="63" t="str">
        <x:f>IF($A203="","",SUMIFS('Histórico de Gastos'!$J$6:$J$205,'Histórico de Gastos'!$B$6:$B$205,$A203))</x:f>
      </x:c>
      <x:c r="O203" s="63" t="str">
        <x:f>IF($A203="","",$M203-$N203)</x:f>
      </x:c>
      <x:c r="P203" s="65" t="str">
        <x:f>IF($A203="","",IFERROR($N203/$M203,0))</x:f>
      </x:c>
      <x:c r="Q203" s="63" t="str">
        <x:f>IF($A203="","",SUMIFS('Histórico de Gastos'!$W$6:$W$205,'Histórico de Gastos'!$B$6:$B$205,$A203))</x:f>
      </x:c>
      <x:c r="R203" s="63" t="str">
        <x:f>IF($A203="","",SUMIFS('Histórico de Gastos'!$X$6:$X$205,'Histórico de Gastos'!$B$6:$B$205,$A203))</x:f>
      </x:c>
      <x:c r="S203" s="63" t="str">
        <x:f>IF($A203="","",ABS($Q203-SUMIFS('Histórico de Gastos'!$U$6:$U$205,'Histórico de Gastos'!$B$6:$B$205,$A203)))</x:f>
      </x:c>
      <x:c r="T203" s="67" t="str">
        <x:f>IF($A203="","",IF(ABS($Q203-SUMIFS('Histórico de Gastos'!$U$6:$U$205,'Histórico de Gastos'!$B$6:$B$205,$A203))&lt;0.01,"Tudo certo",IF($Q203&gt;SUMIFS('Histórico de Gastos'!$U$6:$U$205,'Histórico de Gastos'!$B$6:$B$205,$A203),"Camilly deve para Pedro","Pedro deve para Camilly")))</x:f>
      </x:c>
      <x:c r="U203" s="36"/>
      <x:c r="V203" s="67" t="str">
        <x:f>IF($A203="","",IF(COUNTIFS('Checklist de Viagem'!$A$6:$A$205,$A203)=0,"Não",IF(COUNTIFS('Checklist de Viagem'!$A$6:$A$205,$A203,'Checklist de Viagem'!$H$6:$H$205,"Não")=0,"Sim","Não")))</x:f>
      </x:c>
      <x:c r="W203" s="36"/>
      <x:c r="X203" s="36"/>
      <x:c r="Y203" s="36"/>
      <x:c r="Z203" s="59"/>
      <x:c r="AA203" s="59"/>
      <x:c r="AB203" s="67" t="str">
        <x:f>IF($A203="","",IF($P203&gt;1,"Viagem acima do orçamento",IF(AND($K203&lt;&gt;"Concluída",$V203&lt;&gt;"Sim",$H203-TODAY()&lt;=15),"Viagem próxima sem checklist completo",IF($W203="","Passagem ainda não comprada",IF($X203="","Falta reservar hospedagem",IF($S203&gt;0,"Existe valor pendente de compensação","Tudo certo"))))))</x:f>
      </x:c>
      <x:c r="AC203" s="36"/>
    </x:row>
    <x:row r="204">
      <x:c r="A204" s="36"/>
      <x:c r="B204" s="36"/>
      <x:c r="C204" s="36"/>
      <x:c r="D204" s="36"/>
      <x:c r="E204" s="36"/>
      <x:c r="F204" s="36"/>
      <x:c r="G204" s="36"/>
      <x:c r="H204" s="59"/>
      <x:c r="I204" s="59"/>
      <x:c r="J204" s="61" t="str">
        <x:f>IF(OR($H204="",$I204=""),"",MAX($I204-$H204+1,1))</x:f>
      </x:c>
      <x:c r="K204" s="36"/>
      <x:c r="L204" s="36"/>
      <x:c r="M204" s="63" t="str">
        <x:f>IF($A204="","",SUMIFS('Custos Planejados - Pedro'!$G$6:$G$205,'Custos Planejados - Pedro'!$A$6:$A$205,$A204)+SUMIFS('Custos Planejados - Camilly'!$G$6:$G$205,'Custos Planejados - Camilly'!$A$6:$A$205,$A204))</x:f>
      </x:c>
      <x:c r="N204" s="63" t="str">
        <x:f>IF($A204="","",SUMIFS('Histórico de Gastos'!$J$6:$J$205,'Histórico de Gastos'!$B$6:$B$205,$A204))</x:f>
      </x:c>
      <x:c r="O204" s="63" t="str">
        <x:f>IF($A204="","",$M204-$N204)</x:f>
      </x:c>
      <x:c r="P204" s="65" t="str">
        <x:f>IF($A204="","",IFERROR($N204/$M204,0))</x:f>
      </x:c>
      <x:c r="Q204" s="63" t="str">
        <x:f>IF($A204="","",SUMIFS('Histórico de Gastos'!$W$6:$W$205,'Histórico de Gastos'!$B$6:$B$205,$A204))</x:f>
      </x:c>
      <x:c r="R204" s="63" t="str">
        <x:f>IF($A204="","",SUMIFS('Histórico de Gastos'!$X$6:$X$205,'Histórico de Gastos'!$B$6:$B$205,$A204))</x:f>
      </x:c>
      <x:c r="S204" s="63" t="str">
        <x:f>IF($A204="","",ABS($Q204-SUMIFS('Histórico de Gastos'!$U$6:$U$205,'Histórico de Gastos'!$B$6:$B$205,$A204)))</x:f>
      </x:c>
      <x:c r="T204" s="67" t="str">
        <x:f>IF($A204="","",IF(ABS($Q204-SUMIFS('Histórico de Gastos'!$U$6:$U$205,'Histórico de Gastos'!$B$6:$B$205,$A204))&lt;0.01,"Tudo certo",IF($Q204&gt;SUMIFS('Histórico de Gastos'!$U$6:$U$205,'Histórico de Gastos'!$B$6:$B$205,$A204),"Camilly deve para Pedro","Pedro deve para Camilly")))</x:f>
      </x:c>
      <x:c r="U204" s="36"/>
      <x:c r="V204" s="67" t="str">
        <x:f>IF($A204="","",IF(COUNTIFS('Checklist de Viagem'!$A$6:$A$205,$A204)=0,"Não",IF(COUNTIFS('Checklist de Viagem'!$A$6:$A$205,$A204,'Checklist de Viagem'!$H$6:$H$205,"Não")=0,"Sim","Não")))</x:f>
      </x:c>
      <x:c r="W204" s="36"/>
      <x:c r="X204" s="36"/>
      <x:c r="Y204" s="36"/>
      <x:c r="Z204" s="59"/>
      <x:c r="AA204" s="59"/>
      <x:c r="AB204" s="67" t="str">
        <x:f>IF($A204="","",IF($P204&gt;1,"Viagem acima do orçamento",IF(AND($K204&lt;&gt;"Concluída",$V204&lt;&gt;"Sim",$H204-TODAY()&lt;=15),"Viagem próxima sem checklist completo",IF($W204="","Passagem ainda não comprada",IF($X204="","Falta reservar hospedagem",IF($S204&gt;0,"Existe valor pendente de compensação","Tudo certo"))))))</x:f>
      </x:c>
      <x:c r="AC204" s="36"/>
    </x:row>
    <x:row r="205">
      <x:c r="A205" s="36"/>
      <x:c r="B205" s="36"/>
      <x:c r="C205" s="36"/>
      <x:c r="D205" s="36"/>
      <x:c r="E205" s="36"/>
      <x:c r="F205" s="36"/>
      <x:c r="G205" s="36"/>
      <x:c r="H205" s="59"/>
      <x:c r="I205" s="59"/>
      <x:c r="J205" s="61" t="str">
        <x:f>IF(OR($H205="",$I205=""),"",MAX($I205-$H205+1,1))</x:f>
      </x:c>
      <x:c r="K205" s="36"/>
      <x:c r="L205" s="36"/>
      <x:c r="M205" s="63" t="str">
        <x:f>IF($A205="","",SUMIFS('Custos Planejados - Pedro'!$G$6:$G$205,'Custos Planejados - Pedro'!$A$6:$A$205,$A205)+SUMIFS('Custos Planejados - Camilly'!$G$6:$G$205,'Custos Planejados - Camilly'!$A$6:$A$205,$A205))</x:f>
      </x:c>
      <x:c r="N205" s="63" t="str">
        <x:f>IF($A205="","",SUMIFS('Histórico de Gastos'!$J$6:$J$205,'Histórico de Gastos'!$B$6:$B$205,$A205))</x:f>
      </x:c>
      <x:c r="O205" s="63" t="str">
        <x:f>IF($A205="","",$M205-$N205)</x:f>
      </x:c>
      <x:c r="P205" s="65" t="str">
        <x:f>IF($A205="","",IFERROR($N205/$M205,0))</x:f>
      </x:c>
      <x:c r="Q205" s="63" t="str">
        <x:f>IF($A205="","",SUMIFS('Histórico de Gastos'!$W$6:$W$205,'Histórico de Gastos'!$B$6:$B$205,$A205))</x:f>
      </x:c>
      <x:c r="R205" s="63" t="str">
        <x:f>IF($A205="","",SUMIFS('Histórico de Gastos'!$X$6:$X$205,'Histórico de Gastos'!$B$6:$B$205,$A205))</x:f>
      </x:c>
      <x:c r="S205" s="63" t="str">
        <x:f>IF($A205="","",ABS($Q205-SUMIFS('Histórico de Gastos'!$U$6:$U$205,'Histórico de Gastos'!$B$6:$B$205,$A205)))</x:f>
      </x:c>
      <x:c r="T205" s="67" t="str">
        <x:f>IF($A205="","",IF(ABS($Q205-SUMIFS('Histórico de Gastos'!$U$6:$U$205,'Histórico de Gastos'!$B$6:$B$205,$A205))&lt;0.01,"Tudo certo",IF($Q205&gt;SUMIFS('Histórico de Gastos'!$U$6:$U$205,'Histórico de Gastos'!$B$6:$B$205,$A205),"Camilly deve para Pedro","Pedro deve para Camilly")))</x:f>
      </x:c>
      <x:c r="U205" s="36"/>
      <x:c r="V205" s="67" t="str">
        <x:f>IF($A205="","",IF(COUNTIFS('Checklist de Viagem'!$A$6:$A$205,$A205)=0,"Não",IF(COUNTIFS('Checklist de Viagem'!$A$6:$A$205,$A205,'Checklist de Viagem'!$H$6:$H$205,"Não")=0,"Sim","Não")))</x:f>
      </x:c>
      <x:c r="W205" s="36"/>
      <x:c r="X205" s="36"/>
      <x:c r="Y205" s="36"/>
      <x:c r="Z205" s="59"/>
      <x:c r="AA205" s="59"/>
      <x:c r="AB205" s="67" t="str">
        <x:f>IF($A205="","",IF($P205&gt;1,"Viagem acima do orçamento",IF(AND($K205&lt;&gt;"Concluída",$V205&lt;&gt;"Sim",$H205-TODAY()&lt;=15),"Viagem próxima sem checklist completo",IF($W205="","Passagem ainda não comprada",IF($X205="","Falta reservar hospedagem",IF($S205&gt;0,"Existe valor pendente de compensação","Tudo certo"))))))</x:f>
      </x:c>
      <x:c r="AC205" s="36"/>
    </x:row>
  </x:sheetData>
  <x:mergeCells>
    <x:mergeCell ref="A1:AC1"/>
    <x:mergeCell ref="A2:AC2"/>
    <x:mergeCell ref="A3:AC3"/>
  </x:mergeCells>
  <x:conditionalFormatting sqref="P6:P205">
    <x:cfRule type="cellIs" dxfId="0" priority="1" operator="greaterThan">
      <x:formula>1</x:formula>
    </x:cfRule>
  </x:conditionalFormatting>
  <x:conditionalFormatting sqref="V6:V205">
    <x:cfRule type="containsText" dxfId="1" priority="2" operator="containsText" text="Não"/>
  </x:conditionalFormatting>
  <x:conditionalFormatting sqref="AB6:AB205">
    <x:cfRule type="notContainsText" dxfId="2" priority="3" text="Tudo certo"/>
  </x:conditionalFormatting>
  <x:dataValidations count="4">
    <x:dataValidation type="list" sqref="C6:D205">
      <x:formula1>'Base de Categorias'!$A$2:$A$4</x:formula1>
    </x:dataValidation>
    <x:dataValidation type="list" sqref="F6:G205">
      <x:formula1>'Base de Categorias'!$O$2:$O$30</x:formula1>
    </x:dataValidation>
    <x:dataValidation type="list" sqref="K6:K205">
      <x:formula1>'Base de Categorias'!$E$2:$E$10</x:formula1>
    </x:dataValidation>
    <x:dataValidation type="list" sqref="U6:U205">
      <x:formula1>'Base de Categorias'!$H$2:$H$8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40baca79184a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3.75" hidden="0" customWidth="1"/>
    <x:col min="3" max="3" width="21.25" hidden="0" customWidth="1"/>
    <x:col min="4" max="4" width="26.25" hidden="0" customWidth="1"/>
    <x:col min="5" max="5" width="16.25" hidden="0" customWidth="1"/>
    <x:col min="6" max="6" width="32.5" hidden="0" customWidth="1"/>
    <x:col min="7" max="7" width="16.25" hidden="0" customWidth="1"/>
    <x:col min="8" max="8" width="17.5" hidden="0" customWidth="1"/>
    <x:col min="9" max="9" width="17.5" hidden="0" customWidth="1"/>
    <x:col min="10" max="10" width="18.1299991607666" hidden="0" customWidth="1"/>
    <x:col min="11" max="11" width="13.130000114440918" hidden="0" customWidth="1"/>
    <x:col min="12" max="12" width="21.8799991607666" hidden="0" customWidth="1"/>
    <x:col min="13" max="13" width="20" hidden="0" customWidth="1"/>
    <x:col min="14" max="14" width="21.25" hidden="0" customWidth="1"/>
    <x:col min="15" max="15" width="13.130000114440918" hidden="0" customWidth="1"/>
    <x:col min="16" max="16" width="15" hidden="0" customWidth="1"/>
    <x:col min="17" max="17" width="15.630000114440918" hidden="0" customWidth="1"/>
    <x:col min="18" max="18" width="18.75" hidden="0" customWidth="1"/>
    <x:col min="19" max="19" width="30" hidden="0" customWidth="1"/>
  </x:cols>
  <x:sheetData>
    <x:row r="1" ht="25.5" customHeight="1">
      <x:c r="A1" s="4" t="str">
        <x:v>Custos Planejados - Pedro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21" customHeight="1">
      <x:c r="A2" s="9" t="str">
        <x:v>Planeje custos antes da viagem. As linhas de exemplo podem ser substituídas por gastos reais previstos.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</x:row>
    <x:row r="3" ht="22.5" customHeight="1">
      <x:c r="A3" s="47" t="str">
        <x:v>Células em azul são preenchidas manualmente. Células em cinza são calculadas automaticamente.</x:v>
      </x:c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9"/>
    </x:row>
    <x:row r="5">
      <x:c r="A5" s="25" t="str">
        <x:v>ID da viagem</x:v>
      </x:c>
      <x:c r="B5" s="25" t="str">
        <x:v>Data prevista</x:v>
      </x:c>
      <x:c r="C5" s="25" t="str">
        <x:v>Categoria</x:v>
      </x:c>
      <x:c r="D5" s="25" t="str">
        <x:v>Subcategoria</x:v>
      </x:c>
      <x:c r="E5" s="25" t="str">
        <x:v>Tipo de custo</x:v>
      </x:c>
      <x:c r="F5" s="25" t="str">
        <x:v>Descrição</x:v>
      </x:c>
      <x:c r="G5" s="25" t="str">
        <x:v>Valor planejado</x:v>
      </x:c>
      <x:c r="H5" s="25" t="str">
        <x:v>Valor mínimo estimado</x:v>
      </x:c>
      <x:c r="I5" s="25" t="str">
        <x:v>Valor máximo estimado</x:v>
      </x:c>
      <x:c r="J5" s="25" t="str">
        <x:v>Probabilidade de acontecer</x:v>
      </x:c>
      <x:c r="K5" s="25" t="str">
        <x:v>Obrigatório?</x:v>
      </x:c>
      <x:c r="L5" s="25" t="str">
        <x:v>Pago por</x:v>
      </x:c>
      <x:c r="M5" s="25" t="str">
        <x:v>Beneficiário</x:v>
      </x:c>
      <x:c r="N5" s="25" t="str">
        <x:v>Forma de pagamento prevista</x:v>
      </x:c>
      <x:c r="O5" s="25" t="str">
        <x:v>Parcelado?</x:v>
      </x:c>
      <x:c r="P5" s="25" t="str">
        <x:v>Número de parcelas</x:v>
      </x:c>
      <x:c r="Q5" s="25" t="str">
        <x:v>Valor por parcela</x:v>
      </x:c>
      <x:c r="R5" s="25" t="str">
        <x:v>Status do planejamento</x:v>
      </x:c>
      <x:c r="S5" s="25" t="str">
        <x:v>Observações</x:v>
      </x:c>
    </x:row>
    <x:row r="6">
      <x:c r="A6" s="36" t="str">
        <x:v>V002</x:v>
      </x:c>
      <x:c r="B6" s="59" t="n">
        <x:v>46218</x:v>
      </x:c>
      <x:c r="C6" s="36" t="str">
        <x:v>Transporte principal</x:v>
      </x:c>
      <x:c r="D6" s="36" t="str">
        <x:v>Passagem aérea</x:v>
      </x:c>
      <x:c r="E6" s="36" t="str">
        <x:v>Fixo</x:v>
      </x:c>
      <x:c r="F6" s="36" t="str">
        <x:v>Passagem João Pessoa - Cuiabá</x:v>
      </x:c>
      <x:c r="G6" s="37" t="n">
        <x:v>1180</x:v>
      </x:c>
      <x:c r="H6" s="37" t="n">
        <x:v>950</x:v>
      </x:c>
      <x:c r="I6" s="37" t="n">
        <x:v>1350</x:v>
      </x:c>
      <x:c r="J6" s="38" t="n">
        <x:v>1</x:v>
      </x:c>
      <x:c r="K6" s="36" t="str">
        <x:v>Sim</x:v>
      </x:c>
      <x:c r="L6" s="36" t="str">
        <x:v>Pedro Américo Paletot</x:v>
      </x:c>
      <x:c r="M6" s="36" t="str">
        <x:v>Pedro Américo Paletot</x:v>
      </x:c>
      <x:c r="N6" s="36" t="str">
        <x:v>Cartão de crédito</x:v>
      </x:c>
      <x:c r="O6" s="36" t="str">
        <x:v>Sim</x:v>
      </x:c>
      <x:c r="P6" s="75" t="n">
        <x:v>3</x:v>
      </x:c>
      <x:c r="Q6" s="63" t="n">
        <x:f>IF($A6="","",IF($O6="Sim",IFERROR($G6/MAX($P6,1),$G6),$G6))</x:f>
        <x:v>393.3333333333333</x:v>
      </x:c>
      <x:c r="R6" s="36" t="str">
        <x:v>Orçado</x:v>
      </x:c>
      <x:c r="S6" s="36" t="str">
        <x:v>Exemplo parcelado em 3 vezes.</x:v>
      </x:c>
    </x:row>
    <x:row r="7">
      <x:c r="A7" s="36" t="str">
        <x:v>V002</x:v>
      </x:c>
      <x:c r="B7" s="59" t="n">
        <x:v>46256</x:v>
      </x:c>
      <x:c r="C7" s="36" t="str">
        <x:v>Transporte local</x:v>
      </x:c>
      <x:c r="D7" s="36" t="str">
        <x:v>Uber</x:v>
      </x:c>
      <x:c r="E7" s="36" t="str">
        <x:v>Variável</x:v>
      </x:c>
      <x:c r="F7" s="36" t="str">
        <x:v>Transporte até aeroporto</x:v>
      </x:c>
      <x:c r="G7" s="37" t="n">
        <x:v>85</x:v>
      </x:c>
      <x:c r="H7" s="37" t="n">
        <x:v>60</x:v>
      </x:c>
      <x:c r="I7" s="37" t="n">
        <x:v>110</x:v>
      </x:c>
      <x:c r="J7" s="38" t="n">
        <x:v>1</x:v>
      </x:c>
      <x:c r="K7" s="36" t="str">
        <x:v>Sim</x:v>
      </x:c>
      <x:c r="L7" s="36" t="str">
        <x:v>Pedro Américo Paletot</x:v>
      </x:c>
      <x:c r="M7" s="36" t="str">
        <x:v>Pedro Américo Paletot</x:v>
      </x:c>
      <x:c r="N7" s="36" t="str">
        <x:v>Pix</x:v>
      </x:c>
      <x:c r="O7" s="36" t="str">
        <x:v>Não</x:v>
      </x:c>
      <x:c r="P7" s="75" t="n">
        <x:v>1</x:v>
      </x:c>
      <x:c r="Q7" s="63" t="n">
        <x:f>IF($A7="","",IF($O7="Sim",IFERROR($G7/MAX($P7,1),$G7),$G7))</x:f>
        <x:v>85</x:v>
      </x:c>
      <x:c r="R7" s="36" t="str">
        <x:v>Orçado</x:v>
      </x:c>
      <x:c r="S7" s="36" t="str"/>
    </x:row>
    <x:row r="8">
      <x:c r="A8" s="36" t="str">
        <x:v>V002</x:v>
      </x:c>
      <x:c r="B8" s="59" t="n">
        <x:v>46256</x:v>
      </x:c>
      <x:c r="C8" s="36" t="str">
        <x:v>Hospedagem</x:v>
      </x:c>
      <x:c r="D8" s="36" t="str">
        <x:v>Airbnb</x:v>
      </x:c>
      <x:c r="E8" s="36" t="str">
        <x:v>Fixo</x:v>
      </x:c>
      <x:c r="F8" s="36" t="str">
        <x:v>Airbnb próximo ao centro</x:v>
      </x:c>
      <x:c r="G8" s="37" t="n">
        <x:v>860</x:v>
      </x:c>
      <x:c r="H8" s="37" t="n">
        <x:v>700</x:v>
      </x:c>
      <x:c r="I8" s="37" t="n">
        <x:v>980</x:v>
      </x:c>
      <x:c r="J8" s="38" t="n">
        <x:v>1</x:v>
      </x:c>
      <x:c r="K8" s="36" t="str">
        <x:v>Sim</x:v>
      </x:c>
      <x:c r="L8" s="36" t="str">
        <x:v>Pedro Américo Paletot</x:v>
      </x:c>
      <x:c r="M8" s="36" t="str">
        <x:v>Ambos</x:v>
      </x:c>
      <x:c r="N8" s="36" t="str">
        <x:v>Cartão de crédito</x:v>
      </x:c>
      <x:c r="O8" s="36" t="str">
        <x:v>Sim</x:v>
      </x:c>
      <x:c r="P8" s="75" t="n">
        <x:v>2</x:v>
      </x:c>
      <x:c r="Q8" s="63" t="n">
        <x:f>IF($A8="","",IF($O8="Sim",IFERROR($G8/MAX($P8,1),$G8),$G8))</x:f>
        <x:v>430</x:v>
      </x:c>
      <x:c r="R8" s="36" t="str">
        <x:v>Reservado</x:v>
      </x:c>
      <x:c r="S8" s="36" t="str"/>
    </x:row>
    <x:row r="9">
      <x:c r="A9" s="36" t="str">
        <x:v>V002</x:v>
      </x:c>
      <x:c r="B9" s="59" t="n">
        <x:v>46257</x:v>
      </x:c>
      <x:c r="C9" s="36" t="str">
        <x:v>Alimentação</x:v>
      </x:c>
      <x:c r="D9" s="36" t="str">
        <x:v>Restaurante especial</x:v>
      </x:c>
      <x:c r="E9" s="36" t="str">
        <x:v>Opcional</x:v>
      </x:c>
      <x:c r="F9" s="36" t="str">
        <x:v>Jantar especial</x:v>
      </x:c>
      <x:c r="G9" s="37" t="n">
        <x:v>240</x:v>
      </x:c>
      <x:c r="H9" s="37" t="n">
        <x:v>180</x:v>
      </x:c>
      <x:c r="I9" s="37" t="n">
        <x:v>320</x:v>
      </x:c>
      <x:c r="J9" s="38" t="n">
        <x:v>0.8</x:v>
      </x:c>
      <x:c r="K9" s="36" t="str">
        <x:v>Não</x:v>
      </x:c>
      <x:c r="L9" s="36" t="str">
        <x:v>Pedro Américo Paletot</x:v>
      </x:c>
      <x:c r="M9" s="36" t="str">
        <x:v>Ambos</x:v>
      </x:c>
      <x:c r="N9" s="36" t="str">
        <x:v>Cartão de crédito</x:v>
      </x:c>
      <x:c r="O9" s="36" t="str">
        <x:v>Não</x:v>
      </x:c>
      <x:c r="P9" s="75" t="n">
        <x:v>1</x:v>
      </x:c>
      <x:c r="Q9" s="63" t="n">
        <x:f>IF($A9="","",IF($O9="Sim",IFERROR($G9/MAX($P9,1),$G9),$G9))</x:f>
        <x:v>240</x:v>
      </x:c>
      <x:c r="R9" s="36" t="str">
        <x:v>Ideia</x:v>
      </x:c>
      <x:c r="S9" s="36" t="str"/>
    </x:row>
    <x:row r="10">
      <x:c r="A10" s="36" t="str">
        <x:v>V002</x:v>
      </x:c>
      <x:c r="B10" s="59" t="n">
        <x:v>46258</x:v>
      </x:c>
      <x:c r="C10" s="36" t="str">
        <x:v>Lazer e encontros</x:v>
      </x:c>
      <x:c r="D10" s="36" t="str">
        <x:v>Cinema</x:v>
      </x:c>
      <x:c r="E10" s="36" t="str">
        <x:v>Opcional</x:v>
      </x:c>
      <x:c r="F10" s="36" t="str">
        <x:v>Cinema e lanche</x:v>
      </x:c>
      <x:c r="G10" s="37" t="n">
        <x:v>120</x:v>
      </x:c>
      <x:c r="H10" s="37" t="n">
        <x:v>90</x:v>
      </x:c>
      <x:c r="I10" s="37" t="n">
        <x:v>160</x:v>
      </x:c>
      <x:c r="J10" s="38" t="n">
        <x:v>0.7</x:v>
      </x:c>
      <x:c r="K10" s="36" t="str">
        <x:v>Não</x:v>
      </x:c>
      <x:c r="L10" s="36" t="str">
        <x:v>Camilly Queiroz</x:v>
      </x:c>
      <x:c r="M10" s="36" t="str">
        <x:v>Ambos</x:v>
      </x:c>
      <x:c r="N10" s="36" t="str">
        <x:v>Pix</x:v>
      </x:c>
      <x:c r="O10" s="36" t="str">
        <x:v>Não</x:v>
      </x:c>
      <x:c r="P10" s="75" t="n">
        <x:v>1</x:v>
      </x:c>
      <x:c r="Q10" s="63" t="n">
        <x:f>IF($A10="","",IF($O10="Sim",IFERROR($G10/MAX($P10,1),$G10),$G10))</x:f>
        <x:v>120</x:v>
      </x:c>
      <x:c r="R10" s="36" t="str">
        <x:v>Ideia</x:v>
      </x:c>
      <x:c r="S10" s="36" t="str"/>
    </x:row>
    <x:row r="11">
      <x:c r="A11" s="36" t="str">
        <x:v>V002</x:v>
      </x:c>
      <x:c r="B11" s="59" t="n">
        <x:v>46260</x:v>
      </x:c>
      <x:c r="C11" s="36" t="str">
        <x:v>Presentes e relacionamento</x:v>
      </x:c>
      <x:c r="D11" s="36" t="str">
        <x:v>Mimos</x:v>
      </x:c>
      <x:c r="E11" s="36" t="str">
        <x:v>Opcional</x:v>
      </x:c>
      <x:c r="F11" s="36" t="str">
        <x:v>Mimo surpresa</x:v>
      </x:c>
      <x:c r="G11" s="37" t="n">
        <x:v>150</x:v>
      </x:c>
      <x:c r="H11" s="37" t="n">
        <x:v>80</x:v>
      </x:c>
      <x:c r="I11" s="37" t="n">
        <x:v>220</x:v>
      </x:c>
      <x:c r="J11" s="38" t="n">
        <x:v>0.6</x:v>
      </x:c>
      <x:c r="K11" s="36" t="str">
        <x:v>Não</x:v>
      </x:c>
      <x:c r="L11" s="36" t="str">
        <x:v>Pedro Américo Paletot</x:v>
      </x:c>
      <x:c r="M11" s="36" t="str">
        <x:v>Camilly Queiroz</x:v>
      </x:c>
      <x:c r="N11" s="36" t="str">
        <x:v>Pix</x:v>
      </x:c>
      <x:c r="O11" s="36" t="str">
        <x:v>Não</x:v>
      </x:c>
      <x:c r="P11" s="75" t="n">
        <x:v>1</x:v>
      </x:c>
      <x:c r="Q11" s="63" t="n">
        <x:f>IF($A11="","",IF($O11="Sim",IFERROR($G11/MAX($P11,1),$G11),$G11))</x:f>
        <x:v>150</x:v>
      </x:c>
      <x:c r="R11" s="36" t="str">
        <x:v>Ideia</x:v>
      </x:c>
      <x:c r="S11" s="36" t="str"/>
    </x:row>
    <x:row r="12">
      <x:c r="A12" s="36" t="str">
        <x:v>V002</x:v>
      </x:c>
      <x:c r="B12" s="59" t="n">
        <x:v>46256</x:v>
      </x:c>
      <x:c r="C12" s="36" t="str">
        <x:v>Imprevistos</x:v>
      </x:c>
      <x:c r="D12" s="36" t="str">
        <x:v>Emergência</x:v>
      </x:c>
      <x:c r="E12" s="36" t="str">
        <x:v>Emergencial</x:v>
      </x:c>
      <x:c r="F12" s="36" t="str">
        <x:v>Reserva para imprevistos</x:v>
      </x:c>
      <x:c r="G12" s="37" t="n">
        <x:v>300</x:v>
      </x:c>
      <x:c r="H12" s="37" t="n">
        <x:v>200</x:v>
      </x:c>
      <x:c r="I12" s="37" t="n">
        <x:v>450</x:v>
      </x:c>
      <x:c r="J12" s="38" t="n">
        <x:v>1</x:v>
      </x:c>
      <x:c r="K12" s="36" t="str">
        <x:v>Sim</x:v>
      </x:c>
      <x:c r="L12" s="36" t="str">
        <x:v>Ambos</x:v>
      </x:c>
      <x:c r="M12" s="36" t="str">
        <x:v>Ambos</x:v>
      </x:c>
      <x:c r="N12" s="36" t="str">
        <x:v>Pix</x:v>
      </x:c>
      <x:c r="O12" s="36" t="str">
        <x:v>Não</x:v>
      </x:c>
      <x:c r="P12" s="75" t="n">
        <x:v>1</x:v>
      </x:c>
      <x:c r="Q12" s="63" t="n">
        <x:f>IF($A12="","",IF($O12="Sim",IFERROR($G12/MAX($P12,1),$G12),$G12))</x:f>
        <x:v>300</x:v>
      </x:c>
      <x:c r="R12" s="36" t="str">
        <x:v>Orçado</x:v>
      </x:c>
      <x:c r="S12" s="36" t="str"/>
    </x:row>
    <x:row r="13">
      <x:c r="A13" s="36" t="str">
        <x:v>V003</x:v>
      </x:c>
      <x:c r="B13" s="59" t="n">
        <x:v>46157</x:v>
      </x:c>
      <x:c r="C13" s="36" t="str">
        <x:v>Transporte principal</x:v>
      </x:c>
      <x:c r="D13" s="36" t="str">
        <x:v>Passagem de ônibus</x:v>
      </x:c>
      <x:c r="E13" s="36" t="str">
        <x:v>Fixo</x:v>
      </x:c>
      <x:c r="F13" s="36" t="str">
        <x:v>Ônibus João Pessoa - Recife</x:v>
      </x:c>
      <x:c r="G13" s="37" t="n">
        <x:v>180</x:v>
      </x:c>
      <x:c r="H13" s="37" t="n">
        <x:v>150</x:v>
      </x:c>
      <x:c r="I13" s="37" t="n">
        <x:v>220</x:v>
      </x:c>
      <x:c r="J13" s="38" t="n">
        <x:v>1</x:v>
      </x:c>
      <x:c r="K13" s="36" t="str">
        <x:v>Sim</x:v>
      </x:c>
      <x:c r="L13" s="36" t="str">
        <x:v>Pedro Américo Paletot</x:v>
      </x:c>
      <x:c r="M13" s="36" t="str">
        <x:v>Pedro Américo Paletot</x:v>
      </x:c>
      <x:c r="N13" s="36" t="str">
        <x:v>Cartão de crédito</x:v>
      </x:c>
      <x:c r="O13" s="36" t="str">
        <x:v>Não</x:v>
      </x:c>
      <x:c r="P13" s="75" t="n">
        <x:v>1</x:v>
      </x:c>
      <x:c r="Q13" s="63" t="n">
        <x:f>IF($A13="","",IF($O13="Sim",IFERROR($G13/MAX($P13,1),$G13),$G13))</x:f>
        <x:v>180</x:v>
      </x:c>
      <x:c r="R13" s="36" t="str">
        <x:v>Comprado</x:v>
      </x:c>
      <x:c r="S13" s="36" t="str"/>
    </x:row>
    <x:row r="14">
      <x:c r="A14" s="36" t="str">
        <x:v>V003</x:v>
      </x:c>
      <x:c r="B14" s="59" t="n">
        <x:v>46158</x:v>
      </x:c>
      <x:c r="C14" s="36" t="str">
        <x:v>Alimentação</x:v>
      </x:c>
      <x:c r="D14" s="36" t="str">
        <x:v>Café da manhã</x:v>
      </x:c>
      <x:c r="E14" s="36" t="str">
        <x:v>Variável</x:v>
      </x:c>
      <x:c r="F14" s="36" t="str">
        <x:v>Café do sábado</x:v>
      </x:c>
      <x:c r="G14" s="37" t="n">
        <x:v>70</x:v>
      </x:c>
      <x:c r="H14" s="37" t="n">
        <x:v>50</x:v>
      </x:c>
      <x:c r="I14" s="37" t="n">
        <x:v>90</x:v>
      </x:c>
      <x:c r="J14" s="38" t="n">
        <x:v>1</x:v>
      </x:c>
      <x:c r="K14" s="36" t="str">
        <x:v>Sim</x:v>
      </x:c>
      <x:c r="L14" s="36" t="str">
        <x:v>Pedro Américo Paletot</x:v>
      </x:c>
      <x:c r="M14" s="36" t="str">
        <x:v>Ambos</x:v>
      </x:c>
      <x:c r="N14" s="36" t="str">
        <x:v>Pix</x:v>
      </x:c>
      <x:c r="O14" s="36" t="str">
        <x:v>Não</x:v>
      </x:c>
      <x:c r="P14" s="75" t="n">
        <x:v>1</x:v>
      </x:c>
      <x:c r="Q14" s="63" t="n">
        <x:f>IF($A14="","",IF($O14="Sim",IFERROR($G14/MAX($P14,1),$G14),$G14))</x:f>
        <x:v>70</x:v>
      </x:c>
      <x:c r="R14" s="36" t="str">
        <x:v>Comprado</x:v>
      </x:c>
      <x:c r="S14" s="36" t="str"/>
    </x:row>
    <x:row r="15">
      <x:c r="A15" s="36" t="str">
        <x:v>V003</x:v>
      </x:c>
      <x:c r="B15" s="59" t="n">
        <x:v>46159</x:v>
      </x:c>
      <x:c r="C15" s="36" t="str">
        <x:v>Lazer e encontros</x:v>
      </x:c>
      <x:c r="D15" s="36" t="str">
        <x:v>Passeios</x:v>
      </x:c>
      <x:c r="E15" s="36" t="str">
        <x:v>Opcional</x:v>
      </x:c>
      <x:c r="F15" s="36" t="str">
        <x:v>Passeio pelo centro antigo</x:v>
      </x:c>
      <x:c r="G15" s="37" t="n">
        <x:v>110</x:v>
      </x:c>
      <x:c r="H15" s="37" t="n">
        <x:v>80</x:v>
      </x:c>
      <x:c r="I15" s="37" t="n">
        <x:v>150</x:v>
      </x:c>
      <x:c r="J15" s="38" t="n">
        <x:v>0.9</x:v>
      </x:c>
      <x:c r="K15" s="36" t="str">
        <x:v>Não</x:v>
      </x:c>
      <x:c r="L15" s="36" t="str">
        <x:v>Pedro Américo Paletot</x:v>
      </x:c>
      <x:c r="M15" s="36" t="str">
        <x:v>Ambos</x:v>
      </x:c>
      <x:c r="N15" s="36" t="str">
        <x:v>Pix</x:v>
      </x:c>
      <x:c r="O15" s="36" t="str">
        <x:v>Não</x:v>
      </x:c>
      <x:c r="P15" s="75" t="n">
        <x:v>1</x:v>
      </x:c>
      <x:c r="Q15" s="63" t="n">
        <x:f>IF($A15="","",IF($O15="Sim",IFERROR($G15/MAX($P15,1),$G15),$G15))</x:f>
        <x:v>110</x:v>
      </x:c>
      <x:c r="R15" s="36" t="str">
        <x:v>Comprado</x:v>
      </x:c>
      <x:c r="S15" s="36" t="str"/>
    </x:row>
    <x:row r="16">
      <x:c r="A16" s="36"/>
      <x:c r="B16" s="59"/>
      <x:c r="C16" s="36"/>
      <x:c r="D16" s="36"/>
      <x:c r="E16" s="36"/>
      <x:c r="F16" s="36"/>
      <x:c r="G16" s="37"/>
      <x:c r="H16" s="37"/>
      <x:c r="I16" s="37"/>
      <x:c r="J16" s="38"/>
      <x:c r="K16" s="36"/>
      <x:c r="L16" s="36"/>
      <x:c r="M16" s="36"/>
      <x:c r="N16" s="36"/>
      <x:c r="O16" s="36"/>
      <x:c r="P16" s="75"/>
      <x:c r="Q16" s="63" t="str">
        <x:f>IF($A16="","",IF($O16="Sim",IFERROR($G16/MAX($P16,1),$G16),$G16))</x:f>
      </x:c>
      <x:c r="R16" s="36"/>
      <x:c r="S16" s="36"/>
    </x:row>
    <x:row r="17">
      <x:c r="A17" s="36"/>
      <x:c r="B17" s="59"/>
      <x:c r="C17" s="36"/>
      <x:c r="D17" s="36"/>
      <x:c r="E17" s="36"/>
      <x:c r="F17" s="36"/>
      <x:c r="G17" s="37"/>
      <x:c r="H17" s="37"/>
      <x:c r="I17" s="37"/>
      <x:c r="J17" s="38"/>
      <x:c r="K17" s="36"/>
      <x:c r="L17" s="36"/>
      <x:c r="M17" s="36"/>
      <x:c r="N17" s="36"/>
      <x:c r="O17" s="36"/>
      <x:c r="P17" s="75"/>
      <x:c r="Q17" s="63" t="str">
        <x:f>IF($A17="","",IF($O17="Sim",IFERROR($G17/MAX($P17,1),$G17),$G17))</x:f>
      </x:c>
      <x:c r="R17" s="36"/>
      <x:c r="S17" s="36"/>
    </x:row>
    <x:row r="18">
      <x:c r="A18" s="36"/>
      <x:c r="B18" s="59"/>
      <x:c r="C18" s="36"/>
      <x:c r="D18" s="36"/>
      <x:c r="E18" s="36"/>
      <x:c r="F18" s="36"/>
      <x:c r="G18" s="37"/>
      <x:c r="H18" s="37"/>
      <x:c r="I18" s="37"/>
      <x:c r="J18" s="38"/>
      <x:c r="K18" s="36"/>
      <x:c r="L18" s="36"/>
      <x:c r="M18" s="36"/>
      <x:c r="N18" s="36"/>
      <x:c r="O18" s="36"/>
      <x:c r="P18" s="75"/>
      <x:c r="Q18" s="63" t="str">
        <x:f>IF($A18="","",IF($O18="Sim",IFERROR($G18/MAX($P18,1),$G18),$G18))</x:f>
      </x:c>
      <x:c r="R18" s="36"/>
      <x:c r="S18" s="36"/>
    </x:row>
    <x:row r="19">
      <x:c r="A19" s="36"/>
      <x:c r="B19" s="59"/>
      <x:c r="C19" s="36"/>
      <x:c r="D19" s="36"/>
      <x:c r="E19" s="36"/>
      <x:c r="F19" s="36"/>
      <x:c r="G19" s="37"/>
      <x:c r="H19" s="37"/>
      <x:c r="I19" s="37"/>
      <x:c r="J19" s="38"/>
      <x:c r="K19" s="36"/>
      <x:c r="L19" s="36"/>
      <x:c r="M19" s="36"/>
      <x:c r="N19" s="36"/>
      <x:c r="O19" s="36"/>
      <x:c r="P19" s="75"/>
      <x:c r="Q19" s="63" t="str">
        <x:f>IF($A19="","",IF($O19="Sim",IFERROR($G19/MAX($P19,1),$G19),$G19))</x:f>
      </x:c>
      <x:c r="R19" s="36"/>
      <x:c r="S19" s="36"/>
    </x:row>
    <x:row r="20">
      <x:c r="A20" s="36"/>
      <x:c r="B20" s="59"/>
      <x:c r="C20" s="36"/>
      <x:c r="D20" s="36"/>
      <x:c r="E20" s="36"/>
      <x:c r="F20" s="36"/>
      <x:c r="G20" s="37"/>
      <x:c r="H20" s="37"/>
      <x:c r="I20" s="37"/>
      <x:c r="J20" s="38"/>
      <x:c r="K20" s="36"/>
      <x:c r="L20" s="36"/>
      <x:c r="M20" s="36"/>
      <x:c r="N20" s="36"/>
      <x:c r="O20" s="36"/>
      <x:c r="P20" s="75"/>
      <x:c r="Q20" s="63" t="str">
        <x:f>IF($A20="","",IF($O20="Sim",IFERROR($G20/MAX($P20,1),$G20),$G20))</x:f>
      </x:c>
      <x:c r="R20" s="36"/>
      <x:c r="S20" s="36"/>
    </x:row>
    <x:row r="21">
      <x:c r="A21" s="36"/>
      <x:c r="B21" s="59"/>
      <x:c r="C21" s="36"/>
      <x:c r="D21" s="36"/>
      <x:c r="E21" s="36"/>
      <x:c r="F21" s="36"/>
      <x:c r="G21" s="37"/>
      <x:c r="H21" s="37"/>
      <x:c r="I21" s="37"/>
      <x:c r="J21" s="38"/>
      <x:c r="K21" s="36"/>
      <x:c r="L21" s="36"/>
      <x:c r="M21" s="36"/>
      <x:c r="N21" s="36"/>
      <x:c r="O21" s="36"/>
      <x:c r="P21" s="75"/>
      <x:c r="Q21" s="63" t="str">
        <x:f>IF($A21="","",IF($O21="Sim",IFERROR($G21/MAX($P21,1),$G21),$G21))</x:f>
      </x:c>
      <x:c r="R21" s="36"/>
      <x:c r="S21" s="36"/>
    </x:row>
    <x:row r="22">
      <x:c r="A22" s="36"/>
      <x:c r="B22" s="59"/>
      <x:c r="C22" s="36"/>
      <x:c r="D22" s="36"/>
      <x:c r="E22" s="36"/>
      <x:c r="F22" s="36"/>
      <x:c r="G22" s="37"/>
      <x:c r="H22" s="37"/>
      <x:c r="I22" s="37"/>
      <x:c r="J22" s="38"/>
      <x:c r="K22" s="36"/>
      <x:c r="L22" s="36"/>
      <x:c r="M22" s="36"/>
      <x:c r="N22" s="36"/>
      <x:c r="O22" s="36"/>
      <x:c r="P22" s="75"/>
      <x:c r="Q22" s="63" t="str">
        <x:f>IF($A22="","",IF($O22="Sim",IFERROR($G22/MAX($P22,1),$G22),$G22))</x:f>
      </x:c>
      <x:c r="R22" s="36"/>
      <x:c r="S22" s="36"/>
    </x:row>
    <x:row r="23">
      <x:c r="A23" s="36"/>
      <x:c r="B23" s="59"/>
      <x:c r="C23" s="36"/>
      <x:c r="D23" s="36"/>
      <x:c r="E23" s="36"/>
      <x:c r="F23" s="36"/>
      <x:c r="G23" s="37"/>
      <x:c r="H23" s="37"/>
      <x:c r="I23" s="37"/>
      <x:c r="J23" s="38"/>
      <x:c r="K23" s="36"/>
      <x:c r="L23" s="36"/>
      <x:c r="M23" s="36"/>
      <x:c r="N23" s="36"/>
      <x:c r="O23" s="36"/>
      <x:c r="P23" s="75"/>
      <x:c r="Q23" s="63" t="str">
        <x:f>IF($A23="","",IF($O23="Sim",IFERROR($G23/MAX($P23,1),$G23),$G23))</x:f>
      </x:c>
      <x:c r="R23" s="36"/>
      <x:c r="S23" s="36"/>
    </x:row>
    <x:row r="24">
      <x:c r="A24" s="36"/>
      <x:c r="B24" s="59"/>
      <x:c r="C24" s="36"/>
      <x:c r="D24" s="36"/>
      <x:c r="E24" s="36"/>
      <x:c r="F24" s="36"/>
      <x:c r="G24" s="37"/>
      <x:c r="H24" s="37"/>
      <x:c r="I24" s="37"/>
      <x:c r="J24" s="38"/>
      <x:c r="K24" s="36"/>
      <x:c r="L24" s="36"/>
      <x:c r="M24" s="36"/>
      <x:c r="N24" s="36"/>
      <x:c r="O24" s="36"/>
      <x:c r="P24" s="75"/>
      <x:c r="Q24" s="63" t="str">
        <x:f>IF($A24="","",IF($O24="Sim",IFERROR($G24/MAX($P24,1),$G24),$G24))</x:f>
      </x:c>
      <x:c r="R24" s="36"/>
      <x:c r="S24" s="36"/>
    </x:row>
    <x:row r="25">
      <x:c r="A25" s="36"/>
      <x:c r="B25" s="59"/>
      <x:c r="C25" s="36"/>
      <x:c r="D25" s="36"/>
      <x:c r="E25" s="36"/>
      <x:c r="F25" s="36"/>
      <x:c r="G25" s="37"/>
      <x:c r="H25" s="37"/>
      <x:c r="I25" s="37"/>
      <x:c r="J25" s="38"/>
      <x:c r="K25" s="36"/>
      <x:c r="L25" s="36"/>
      <x:c r="M25" s="36"/>
      <x:c r="N25" s="36"/>
      <x:c r="O25" s="36"/>
      <x:c r="P25" s="75"/>
      <x:c r="Q25" s="63" t="str">
        <x:f>IF($A25="","",IF($O25="Sim",IFERROR($G25/MAX($P25,1),$G25),$G25))</x:f>
      </x:c>
      <x:c r="R25" s="36"/>
      <x:c r="S25" s="36"/>
    </x:row>
    <x:row r="26">
      <x:c r="A26" s="36"/>
      <x:c r="B26" s="59"/>
      <x:c r="C26" s="36"/>
      <x:c r="D26" s="36"/>
      <x:c r="E26" s="36"/>
      <x:c r="F26" s="36"/>
      <x:c r="G26" s="37"/>
      <x:c r="H26" s="37"/>
      <x:c r="I26" s="37"/>
      <x:c r="J26" s="38"/>
      <x:c r="K26" s="36"/>
      <x:c r="L26" s="36"/>
      <x:c r="M26" s="36"/>
      <x:c r="N26" s="36"/>
      <x:c r="O26" s="36"/>
      <x:c r="P26" s="75"/>
      <x:c r="Q26" s="63" t="str">
        <x:f>IF($A26="","",IF($O26="Sim",IFERROR($G26/MAX($P26,1),$G26),$G26))</x:f>
      </x:c>
      <x:c r="R26" s="36"/>
      <x:c r="S26" s="36"/>
    </x:row>
    <x:row r="27">
      <x:c r="A27" s="36"/>
      <x:c r="B27" s="59"/>
      <x:c r="C27" s="36"/>
      <x:c r="D27" s="36"/>
      <x:c r="E27" s="36"/>
      <x:c r="F27" s="36"/>
      <x:c r="G27" s="37"/>
      <x:c r="H27" s="37"/>
      <x:c r="I27" s="37"/>
      <x:c r="J27" s="38"/>
      <x:c r="K27" s="36"/>
      <x:c r="L27" s="36"/>
      <x:c r="M27" s="36"/>
      <x:c r="N27" s="36"/>
      <x:c r="O27" s="36"/>
      <x:c r="P27" s="75"/>
      <x:c r="Q27" s="63" t="str">
        <x:f>IF($A27="","",IF($O27="Sim",IFERROR($G27/MAX($P27,1),$G27),$G27))</x:f>
      </x:c>
      <x:c r="R27" s="36"/>
      <x:c r="S27" s="36"/>
    </x:row>
    <x:row r="28">
      <x:c r="A28" s="36"/>
      <x:c r="B28" s="59"/>
      <x:c r="C28" s="36"/>
      <x:c r="D28" s="36"/>
      <x:c r="E28" s="36"/>
      <x:c r="F28" s="36"/>
      <x:c r="G28" s="37"/>
      <x:c r="H28" s="37"/>
      <x:c r="I28" s="37"/>
      <x:c r="J28" s="38"/>
      <x:c r="K28" s="36"/>
      <x:c r="L28" s="36"/>
      <x:c r="M28" s="36"/>
      <x:c r="N28" s="36"/>
      <x:c r="O28" s="36"/>
      <x:c r="P28" s="75"/>
      <x:c r="Q28" s="63" t="str">
        <x:f>IF($A28="","",IF($O28="Sim",IFERROR($G28/MAX($P28,1),$G28),$G28))</x:f>
      </x:c>
      <x:c r="R28" s="36"/>
      <x:c r="S28" s="36"/>
    </x:row>
    <x:row r="29">
      <x:c r="A29" s="36"/>
      <x:c r="B29" s="59"/>
      <x:c r="C29" s="36"/>
      <x:c r="D29" s="36"/>
      <x:c r="E29" s="36"/>
      <x:c r="F29" s="36"/>
      <x:c r="G29" s="37"/>
      <x:c r="H29" s="37"/>
      <x:c r="I29" s="37"/>
      <x:c r="J29" s="38"/>
      <x:c r="K29" s="36"/>
      <x:c r="L29" s="36"/>
      <x:c r="M29" s="36"/>
      <x:c r="N29" s="36"/>
      <x:c r="O29" s="36"/>
      <x:c r="P29" s="75"/>
      <x:c r="Q29" s="63" t="str">
        <x:f>IF($A29="","",IF($O29="Sim",IFERROR($G29/MAX($P29,1),$G29),$G29))</x:f>
      </x:c>
      <x:c r="R29" s="36"/>
      <x:c r="S29" s="36"/>
    </x:row>
    <x:row r="30">
      <x:c r="A30" s="36"/>
      <x:c r="B30" s="59"/>
      <x:c r="C30" s="36"/>
      <x:c r="D30" s="36"/>
      <x:c r="E30" s="36"/>
      <x:c r="F30" s="36"/>
      <x:c r="G30" s="37"/>
      <x:c r="H30" s="37"/>
      <x:c r="I30" s="37"/>
      <x:c r="J30" s="38"/>
      <x:c r="K30" s="36"/>
      <x:c r="L30" s="36"/>
      <x:c r="M30" s="36"/>
      <x:c r="N30" s="36"/>
      <x:c r="O30" s="36"/>
      <x:c r="P30" s="75"/>
      <x:c r="Q30" s="63" t="str">
        <x:f>IF($A30="","",IF($O30="Sim",IFERROR($G30/MAX($P30,1),$G30),$G30))</x:f>
      </x:c>
      <x:c r="R30" s="36"/>
      <x:c r="S30" s="36"/>
    </x:row>
    <x:row r="31">
      <x:c r="A31" s="36"/>
      <x:c r="B31" s="59"/>
      <x:c r="C31" s="36"/>
      <x:c r="D31" s="36"/>
      <x:c r="E31" s="36"/>
      <x:c r="F31" s="36"/>
      <x:c r="G31" s="37"/>
      <x:c r="H31" s="37"/>
      <x:c r="I31" s="37"/>
      <x:c r="J31" s="38"/>
      <x:c r="K31" s="36"/>
      <x:c r="L31" s="36"/>
      <x:c r="M31" s="36"/>
      <x:c r="N31" s="36"/>
      <x:c r="O31" s="36"/>
      <x:c r="P31" s="75"/>
      <x:c r="Q31" s="63" t="str">
        <x:f>IF($A31="","",IF($O31="Sim",IFERROR($G31/MAX($P31,1),$G31),$G31))</x:f>
      </x:c>
      <x:c r="R31" s="36"/>
      <x:c r="S31" s="36"/>
    </x:row>
    <x:row r="32">
      <x:c r="A32" s="36"/>
      <x:c r="B32" s="59"/>
      <x:c r="C32" s="36"/>
      <x:c r="D32" s="36"/>
      <x:c r="E32" s="36"/>
      <x:c r="F32" s="36"/>
      <x:c r="G32" s="37"/>
      <x:c r="H32" s="37"/>
      <x:c r="I32" s="37"/>
      <x:c r="J32" s="38"/>
      <x:c r="K32" s="36"/>
      <x:c r="L32" s="36"/>
      <x:c r="M32" s="36"/>
      <x:c r="N32" s="36"/>
      <x:c r="O32" s="36"/>
      <x:c r="P32" s="75"/>
      <x:c r="Q32" s="63" t="str">
        <x:f>IF($A32="","",IF($O32="Sim",IFERROR($G32/MAX($P32,1),$G32),$G32))</x:f>
      </x:c>
      <x:c r="R32" s="36"/>
      <x:c r="S32" s="36"/>
    </x:row>
    <x:row r="33">
      <x:c r="A33" s="36"/>
      <x:c r="B33" s="59"/>
      <x:c r="C33" s="36"/>
      <x:c r="D33" s="36"/>
      <x:c r="E33" s="36"/>
      <x:c r="F33" s="36"/>
      <x:c r="G33" s="37"/>
      <x:c r="H33" s="37"/>
      <x:c r="I33" s="37"/>
      <x:c r="J33" s="38"/>
      <x:c r="K33" s="36"/>
      <x:c r="L33" s="36"/>
      <x:c r="M33" s="36"/>
      <x:c r="N33" s="36"/>
      <x:c r="O33" s="36"/>
      <x:c r="P33" s="75"/>
      <x:c r="Q33" s="63" t="str">
        <x:f>IF($A33="","",IF($O33="Sim",IFERROR($G33/MAX($P33,1),$G33),$G33))</x:f>
      </x:c>
      <x:c r="R33" s="36"/>
      <x:c r="S33" s="36"/>
    </x:row>
    <x:row r="34">
      <x:c r="A34" s="36"/>
      <x:c r="B34" s="59"/>
      <x:c r="C34" s="36"/>
      <x:c r="D34" s="36"/>
      <x:c r="E34" s="36"/>
      <x:c r="F34" s="36"/>
      <x:c r="G34" s="37"/>
      <x:c r="H34" s="37"/>
      <x:c r="I34" s="37"/>
      <x:c r="J34" s="38"/>
      <x:c r="K34" s="36"/>
      <x:c r="L34" s="36"/>
      <x:c r="M34" s="36"/>
      <x:c r="N34" s="36"/>
      <x:c r="O34" s="36"/>
      <x:c r="P34" s="75"/>
      <x:c r="Q34" s="63" t="str">
        <x:f>IF($A34="","",IF($O34="Sim",IFERROR($G34/MAX($P34,1),$G34),$G34))</x:f>
      </x:c>
      <x:c r="R34" s="36"/>
      <x:c r="S34" s="36"/>
    </x:row>
    <x:row r="35">
      <x:c r="A35" s="36"/>
      <x:c r="B35" s="59"/>
      <x:c r="C35" s="36"/>
      <x:c r="D35" s="36"/>
      <x:c r="E35" s="36"/>
      <x:c r="F35" s="36"/>
      <x:c r="G35" s="37"/>
      <x:c r="H35" s="37"/>
      <x:c r="I35" s="37"/>
      <x:c r="J35" s="38"/>
      <x:c r="K35" s="36"/>
      <x:c r="L35" s="36"/>
      <x:c r="M35" s="36"/>
      <x:c r="N35" s="36"/>
      <x:c r="O35" s="36"/>
      <x:c r="P35" s="75"/>
      <x:c r="Q35" s="63" t="str">
        <x:f>IF($A35="","",IF($O35="Sim",IFERROR($G35/MAX($P35,1),$G35),$G35))</x:f>
      </x:c>
      <x:c r="R35" s="36"/>
      <x:c r="S35" s="36"/>
    </x:row>
    <x:row r="36">
      <x:c r="A36" s="36"/>
      <x:c r="B36" s="59"/>
      <x:c r="C36" s="36"/>
      <x:c r="D36" s="36"/>
      <x:c r="E36" s="36"/>
      <x:c r="F36" s="36"/>
      <x:c r="G36" s="37"/>
      <x:c r="H36" s="37"/>
      <x:c r="I36" s="37"/>
      <x:c r="J36" s="38"/>
      <x:c r="K36" s="36"/>
      <x:c r="L36" s="36"/>
      <x:c r="M36" s="36"/>
      <x:c r="N36" s="36"/>
      <x:c r="O36" s="36"/>
      <x:c r="P36" s="75"/>
      <x:c r="Q36" s="63" t="str">
        <x:f>IF($A36="","",IF($O36="Sim",IFERROR($G36/MAX($P36,1),$G36),$G36))</x:f>
      </x:c>
      <x:c r="R36" s="36"/>
      <x:c r="S36" s="36"/>
    </x:row>
    <x:row r="37">
      <x:c r="A37" s="36"/>
      <x:c r="B37" s="59"/>
      <x:c r="C37" s="36"/>
      <x:c r="D37" s="36"/>
      <x:c r="E37" s="36"/>
      <x:c r="F37" s="36"/>
      <x:c r="G37" s="37"/>
      <x:c r="H37" s="37"/>
      <x:c r="I37" s="37"/>
      <x:c r="J37" s="38"/>
      <x:c r="K37" s="36"/>
      <x:c r="L37" s="36"/>
      <x:c r="M37" s="36"/>
      <x:c r="N37" s="36"/>
      <x:c r="O37" s="36"/>
      <x:c r="P37" s="75"/>
      <x:c r="Q37" s="63" t="str">
        <x:f>IF($A37="","",IF($O37="Sim",IFERROR($G37/MAX($P37,1),$G37),$G37))</x:f>
      </x:c>
      <x:c r="R37" s="36"/>
      <x:c r="S37" s="36"/>
    </x:row>
    <x:row r="38">
      <x:c r="A38" s="36"/>
      <x:c r="B38" s="59"/>
      <x:c r="C38" s="36"/>
      <x:c r="D38" s="36"/>
      <x:c r="E38" s="36"/>
      <x:c r="F38" s="36"/>
      <x:c r="G38" s="37"/>
      <x:c r="H38" s="37"/>
      <x:c r="I38" s="37"/>
      <x:c r="J38" s="38"/>
      <x:c r="K38" s="36"/>
      <x:c r="L38" s="36"/>
      <x:c r="M38" s="36"/>
      <x:c r="N38" s="36"/>
      <x:c r="O38" s="36"/>
      <x:c r="P38" s="75"/>
      <x:c r="Q38" s="63" t="str">
        <x:f>IF($A38="","",IF($O38="Sim",IFERROR($G38/MAX($P38,1),$G38),$G38))</x:f>
      </x:c>
      <x:c r="R38" s="36"/>
      <x:c r="S38" s="36"/>
    </x:row>
    <x:row r="39">
      <x:c r="A39" s="36"/>
      <x:c r="B39" s="59"/>
      <x:c r="C39" s="36"/>
      <x:c r="D39" s="36"/>
      <x:c r="E39" s="36"/>
      <x:c r="F39" s="36"/>
      <x:c r="G39" s="37"/>
      <x:c r="H39" s="37"/>
      <x:c r="I39" s="37"/>
      <x:c r="J39" s="38"/>
      <x:c r="K39" s="36"/>
      <x:c r="L39" s="36"/>
      <x:c r="M39" s="36"/>
      <x:c r="N39" s="36"/>
      <x:c r="O39" s="36"/>
      <x:c r="P39" s="75"/>
      <x:c r="Q39" s="63" t="str">
        <x:f>IF($A39="","",IF($O39="Sim",IFERROR($G39/MAX($P39,1),$G39),$G39))</x:f>
      </x:c>
      <x:c r="R39" s="36"/>
      <x:c r="S39" s="36"/>
    </x:row>
    <x:row r="40">
      <x:c r="A40" s="36"/>
      <x:c r="B40" s="59"/>
      <x:c r="C40" s="36"/>
      <x:c r="D40" s="36"/>
      <x:c r="E40" s="36"/>
      <x:c r="F40" s="36"/>
      <x:c r="G40" s="37"/>
      <x:c r="H40" s="37"/>
      <x:c r="I40" s="37"/>
      <x:c r="J40" s="38"/>
      <x:c r="K40" s="36"/>
      <x:c r="L40" s="36"/>
      <x:c r="M40" s="36"/>
      <x:c r="N40" s="36"/>
      <x:c r="O40" s="36"/>
      <x:c r="P40" s="75"/>
      <x:c r="Q40" s="63" t="str">
        <x:f>IF($A40="","",IF($O40="Sim",IFERROR($G40/MAX($P40,1),$G40),$G40))</x:f>
      </x:c>
      <x:c r="R40" s="36"/>
      <x:c r="S40" s="36"/>
    </x:row>
    <x:row r="41">
      <x:c r="A41" s="36"/>
      <x:c r="B41" s="59"/>
      <x:c r="C41" s="36"/>
      <x:c r="D41" s="36"/>
      <x:c r="E41" s="36"/>
      <x:c r="F41" s="36"/>
      <x:c r="G41" s="37"/>
      <x:c r="H41" s="37"/>
      <x:c r="I41" s="37"/>
      <x:c r="J41" s="38"/>
      <x:c r="K41" s="36"/>
      <x:c r="L41" s="36"/>
      <x:c r="M41" s="36"/>
      <x:c r="N41" s="36"/>
      <x:c r="O41" s="36"/>
      <x:c r="P41" s="75"/>
      <x:c r="Q41" s="63" t="str">
        <x:f>IF($A41="","",IF($O41="Sim",IFERROR($G41/MAX($P41,1),$G41),$G41))</x:f>
      </x:c>
      <x:c r="R41" s="36"/>
      <x:c r="S41" s="36"/>
    </x:row>
    <x:row r="42">
      <x:c r="A42" s="36"/>
      <x:c r="B42" s="59"/>
      <x:c r="C42" s="36"/>
      <x:c r="D42" s="36"/>
      <x:c r="E42" s="36"/>
      <x:c r="F42" s="36"/>
      <x:c r="G42" s="37"/>
      <x:c r="H42" s="37"/>
      <x:c r="I42" s="37"/>
      <x:c r="J42" s="38"/>
      <x:c r="K42" s="36"/>
      <x:c r="L42" s="36"/>
      <x:c r="M42" s="36"/>
      <x:c r="N42" s="36"/>
      <x:c r="O42" s="36"/>
      <x:c r="P42" s="75"/>
      <x:c r="Q42" s="63" t="str">
        <x:f>IF($A42="","",IF($O42="Sim",IFERROR($G42/MAX($P42,1),$G42),$G42))</x:f>
      </x:c>
      <x:c r="R42" s="36"/>
      <x:c r="S42" s="36"/>
    </x:row>
    <x:row r="43">
      <x:c r="A43" s="36"/>
      <x:c r="B43" s="59"/>
      <x:c r="C43" s="36"/>
      <x:c r="D43" s="36"/>
      <x:c r="E43" s="36"/>
      <x:c r="F43" s="36"/>
      <x:c r="G43" s="37"/>
      <x:c r="H43" s="37"/>
      <x:c r="I43" s="37"/>
      <x:c r="J43" s="38"/>
      <x:c r="K43" s="36"/>
      <x:c r="L43" s="36"/>
      <x:c r="M43" s="36"/>
      <x:c r="N43" s="36"/>
      <x:c r="O43" s="36"/>
      <x:c r="P43" s="75"/>
      <x:c r="Q43" s="63" t="str">
        <x:f>IF($A43="","",IF($O43="Sim",IFERROR($G43/MAX($P43,1),$G43),$G43))</x:f>
      </x:c>
      <x:c r="R43" s="36"/>
      <x:c r="S43" s="36"/>
    </x:row>
    <x:row r="44">
      <x:c r="A44" s="36"/>
      <x:c r="B44" s="59"/>
      <x:c r="C44" s="36"/>
      <x:c r="D44" s="36"/>
      <x:c r="E44" s="36"/>
      <x:c r="F44" s="36"/>
      <x:c r="G44" s="37"/>
      <x:c r="H44" s="37"/>
      <x:c r="I44" s="37"/>
      <x:c r="J44" s="38"/>
      <x:c r="K44" s="36"/>
      <x:c r="L44" s="36"/>
      <x:c r="M44" s="36"/>
      <x:c r="N44" s="36"/>
      <x:c r="O44" s="36"/>
      <x:c r="P44" s="75"/>
      <x:c r="Q44" s="63" t="str">
        <x:f>IF($A44="","",IF($O44="Sim",IFERROR($G44/MAX($P44,1),$G44),$G44))</x:f>
      </x:c>
      <x:c r="R44" s="36"/>
      <x:c r="S44" s="36"/>
    </x:row>
    <x:row r="45">
      <x:c r="A45" s="36"/>
      <x:c r="B45" s="59"/>
      <x:c r="C45" s="36"/>
      <x:c r="D45" s="36"/>
      <x:c r="E45" s="36"/>
      <x:c r="F45" s="36"/>
      <x:c r="G45" s="37"/>
      <x:c r="H45" s="37"/>
      <x:c r="I45" s="37"/>
      <x:c r="J45" s="38"/>
      <x:c r="K45" s="36"/>
      <x:c r="L45" s="36"/>
      <x:c r="M45" s="36"/>
      <x:c r="N45" s="36"/>
      <x:c r="O45" s="36"/>
      <x:c r="P45" s="75"/>
      <x:c r="Q45" s="63" t="str">
        <x:f>IF($A45="","",IF($O45="Sim",IFERROR($G45/MAX($P45,1),$G45),$G45))</x:f>
      </x:c>
      <x:c r="R45" s="36"/>
      <x:c r="S45" s="36"/>
    </x:row>
    <x:row r="46">
      <x:c r="A46" s="36"/>
      <x:c r="B46" s="59"/>
      <x:c r="C46" s="36"/>
      <x:c r="D46" s="36"/>
      <x:c r="E46" s="36"/>
      <x:c r="F46" s="36"/>
      <x:c r="G46" s="37"/>
      <x:c r="H46" s="37"/>
      <x:c r="I46" s="37"/>
      <x:c r="J46" s="38"/>
      <x:c r="K46" s="36"/>
      <x:c r="L46" s="36"/>
      <x:c r="M46" s="36"/>
      <x:c r="N46" s="36"/>
      <x:c r="O46" s="36"/>
      <x:c r="P46" s="75"/>
      <x:c r="Q46" s="63" t="str">
        <x:f>IF($A46="","",IF($O46="Sim",IFERROR($G46/MAX($P46,1),$G46),$G46))</x:f>
      </x:c>
      <x:c r="R46" s="36"/>
      <x:c r="S46" s="36"/>
    </x:row>
    <x:row r="47">
      <x:c r="A47" s="36"/>
      <x:c r="B47" s="59"/>
      <x:c r="C47" s="36"/>
      <x:c r="D47" s="36"/>
      <x:c r="E47" s="36"/>
      <x:c r="F47" s="36"/>
      <x:c r="G47" s="37"/>
      <x:c r="H47" s="37"/>
      <x:c r="I47" s="37"/>
      <x:c r="J47" s="38"/>
      <x:c r="K47" s="36"/>
      <x:c r="L47" s="36"/>
      <x:c r="M47" s="36"/>
      <x:c r="N47" s="36"/>
      <x:c r="O47" s="36"/>
      <x:c r="P47" s="75"/>
      <x:c r="Q47" s="63" t="str">
        <x:f>IF($A47="","",IF($O47="Sim",IFERROR($G47/MAX($P47,1),$G47),$G47))</x:f>
      </x:c>
      <x:c r="R47" s="36"/>
      <x:c r="S47" s="36"/>
    </x:row>
    <x:row r="48">
      <x:c r="A48" s="36"/>
      <x:c r="B48" s="59"/>
      <x:c r="C48" s="36"/>
      <x:c r="D48" s="36"/>
      <x:c r="E48" s="36"/>
      <x:c r="F48" s="36"/>
      <x:c r="G48" s="37"/>
      <x:c r="H48" s="37"/>
      <x:c r="I48" s="37"/>
      <x:c r="J48" s="38"/>
      <x:c r="K48" s="36"/>
      <x:c r="L48" s="36"/>
      <x:c r="M48" s="36"/>
      <x:c r="N48" s="36"/>
      <x:c r="O48" s="36"/>
      <x:c r="P48" s="75"/>
      <x:c r="Q48" s="63" t="str">
        <x:f>IF($A48="","",IF($O48="Sim",IFERROR($G48/MAX($P48,1),$G48),$G48))</x:f>
      </x:c>
      <x:c r="R48" s="36"/>
      <x:c r="S48" s="36"/>
    </x:row>
    <x:row r="49">
      <x:c r="A49" s="36"/>
      <x:c r="B49" s="59"/>
      <x:c r="C49" s="36"/>
      <x:c r="D49" s="36"/>
      <x:c r="E49" s="36"/>
      <x:c r="F49" s="36"/>
      <x:c r="G49" s="37"/>
      <x:c r="H49" s="37"/>
      <x:c r="I49" s="37"/>
      <x:c r="J49" s="38"/>
      <x:c r="K49" s="36"/>
      <x:c r="L49" s="36"/>
      <x:c r="M49" s="36"/>
      <x:c r="N49" s="36"/>
      <x:c r="O49" s="36"/>
      <x:c r="P49" s="75"/>
      <x:c r="Q49" s="63" t="str">
        <x:f>IF($A49="","",IF($O49="Sim",IFERROR($G49/MAX($P49,1),$G49),$G49))</x:f>
      </x:c>
      <x:c r="R49" s="36"/>
      <x:c r="S49" s="36"/>
    </x:row>
    <x:row r="50">
      <x:c r="A50" s="36"/>
      <x:c r="B50" s="59"/>
      <x:c r="C50" s="36"/>
      <x:c r="D50" s="36"/>
      <x:c r="E50" s="36"/>
      <x:c r="F50" s="36"/>
      <x:c r="G50" s="37"/>
      <x:c r="H50" s="37"/>
      <x:c r="I50" s="37"/>
      <x:c r="J50" s="38"/>
      <x:c r="K50" s="36"/>
      <x:c r="L50" s="36"/>
      <x:c r="M50" s="36"/>
      <x:c r="N50" s="36"/>
      <x:c r="O50" s="36"/>
      <x:c r="P50" s="75"/>
      <x:c r="Q50" s="63" t="str">
        <x:f>IF($A50="","",IF($O50="Sim",IFERROR($G50/MAX($P50,1),$G50),$G50))</x:f>
      </x:c>
      <x:c r="R50" s="36"/>
      <x:c r="S50" s="36"/>
    </x:row>
    <x:row r="51">
      <x:c r="A51" s="36"/>
      <x:c r="B51" s="59"/>
      <x:c r="C51" s="36"/>
      <x:c r="D51" s="36"/>
      <x:c r="E51" s="36"/>
      <x:c r="F51" s="36"/>
      <x:c r="G51" s="37"/>
      <x:c r="H51" s="37"/>
      <x:c r="I51" s="37"/>
      <x:c r="J51" s="38"/>
      <x:c r="K51" s="36"/>
      <x:c r="L51" s="36"/>
      <x:c r="M51" s="36"/>
      <x:c r="N51" s="36"/>
      <x:c r="O51" s="36"/>
      <x:c r="P51" s="75"/>
      <x:c r="Q51" s="63" t="str">
        <x:f>IF($A51="","",IF($O51="Sim",IFERROR($G51/MAX($P51,1),$G51),$G51))</x:f>
      </x:c>
      <x:c r="R51" s="36"/>
      <x:c r="S51" s="36"/>
    </x:row>
    <x:row r="52">
      <x:c r="A52" s="36"/>
      <x:c r="B52" s="59"/>
      <x:c r="C52" s="36"/>
      <x:c r="D52" s="36"/>
      <x:c r="E52" s="36"/>
      <x:c r="F52" s="36"/>
      <x:c r="G52" s="37"/>
      <x:c r="H52" s="37"/>
      <x:c r="I52" s="37"/>
      <x:c r="J52" s="38"/>
      <x:c r="K52" s="36"/>
      <x:c r="L52" s="36"/>
      <x:c r="M52" s="36"/>
      <x:c r="N52" s="36"/>
      <x:c r="O52" s="36"/>
      <x:c r="P52" s="75"/>
      <x:c r="Q52" s="63" t="str">
        <x:f>IF($A52="","",IF($O52="Sim",IFERROR($G52/MAX($P52,1),$G52),$G52))</x:f>
      </x:c>
      <x:c r="R52" s="36"/>
      <x:c r="S52" s="36"/>
    </x:row>
    <x:row r="53">
      <x:c r="A53" s="36"/>
      <x:c r="B53" s="59"/>
      <x:c r="C53" s="36"/>
      <x:c r="D53" s="36"/>
      <x:c r="E53" s="36"/>
      <x:c r="F53" s="36"/>
      <x:c r="G53" s="37"/>
      <x:c r="H53" s="37"/>
      <x:c r="I53" s="37"/>
      <x:c r="J53" s="38"/>
      <x:c r="K53" s="36"/>
      <x:c r="L53" s="36"/>
      <x:c r="M53" s="36"/>
      <x:c r="N53" s="36"/>
      <x:c r="O53" s="36"/>
      <x:c r="P53" s="75"/>
      <x:c r="Q53" s="63" t="str">
        <x:f>IF($A53="","",IF($O53="Sim",IFERROR($G53/MAX($P53,1),$G53),$G53))</x:f>
      </x:c>
      <x:c r="R53" s="36"/>
      <x:c r="S53" s="36"/>
    </x:row>
    <x:row r="54">
      <x:c r="A54" s="36"/>
      <x:c r="B54" s="59"/>
      <x:c r="C54" s="36"/>
      <x:c r="D54" s="36"/>
      <x:c r="E54" s="36"/>
      <x:c r="F54" s="36"/>
      <x:c r="G54" s="37"/>
      <x:c r="H54" s="37"/>
      <x:c r="I54" s="37"/>
      <x:c r="J54" s="38"/>
      <x:c r="K54" s="36"/>
      <x:c r="L54" s="36"/>
      <x:c r="M54" s="36"/>
      <x:c r="N54" s="36"/>
      <x:c r="O54" s="36"/>
      <x:c r="P54" s="75"/>
      <x:c r="Q54" s="63" t="str">
        <x:f>IF($A54="","",IF($O54="Sim",IFERROR($G54/MAX($P54,1),$G54),$G54))</x:f>
      </x:c>
      <x:c r="R54" s="36"/>
      <x:c r="S54" s="36"/>
    </x:row>
    <x:row r="55">
      <x:c r="A55" s="36"/>
      <x:c r="B55" s="59"/>
      <x:c r="C55" s="36"/>
      <x:c r="D55" s="36"/>
      <x:c r="E55" s="36"/>
      <x:c r="F55" s="36"/>
      <x:c r="G55" s="37"/>
      <x:c r="H55" s="37"/>
      <x:c r="I55" s="37"/>
      <x:c r="J55" s="38"/>
      <x:c r="K55" s="36"/>
      <x:c r="L55" s="36"/>
      <x:c r="M55" s="36"/>
      <x:c r="N55" s="36"/>
      <x:c r="O55" s="36"/>
      <x:c r="P55" s="75"/>
      <x:c r="Q55" s="63" t="str">
        <x:f>IF($A55="","",IF($O55="Sim",IFERROR($G55/MAX($P55,1),$G55),$G55))</x:f>
      </x:c>
      <x:c r="R55" s="36"/>
      <x:c r="S55" s="36"/>
    </x:row>
    <x:row r="56">
      <x:c r="A56" s="36"/>
      <x:c r="B56" s="59"/>
      <x:c r="C56" s="36"/>
      <x:c r="D56" s="36"/>
      <x:c r="E56" s="36"/>
      <x:c r="F56" s="36"/>
      <x:c r="G56" s="37"/>
      <x:c r="H56" s="37"/>
      <x:c r="I56" s="37"/>
      <x:c r="J56" s="38"/>
      <x:c r="K56" s="36"/>
      <x:c r="L56" s="36"/>
      <x:c r="M56" s="36"/>
      <x:c r="N56" s="36"/>
      <x:c r="O56" s="36"/>
      <x:c r="P56" s="75"/>
      <x:c r="Q56" s="63" t="str">
        <x:f>IF($A56="","",IF($O56="Sim",IFERROR($G56/MAX($P56,1),$G56),$G56))</x:f>
      </x:c>
      <x:c r="R56" s="36"/>
      <x:c r="S56" s="36"/>
    </x:row>
    <x:row r="57">
      <x:c r="A57" s="36"/>
      <x:c r="B57" s="59"/>
      <x:c r="C57" s="36"/>
      <x:c r="D57" s="36"/>
      <x:c r="E57" s="36"/>
      <x:c r="F57" s="36"/>
      <x:c r="G57" s="37"/>
      <x:c r="H57" s="37"/>
      <x:c r="I57" s="37"/>
      <x:c r="J57" s="38"/>
      <x:c r="K57" s="36"/>
      <x:c r="L57" s="36"/>
      <x:c r="M57" s="36"/>
      <x:c r="N57" s="36"/>
      <x:c r="O57" s="36"/>
      <x:c r="P57" s="75"/>
      <x:c r="Q57" s="63" t="str">
        <x:f>IF($A57="","",IF($O57="Sim",IFERROR($G57/MAX($P57,1),$G57),$G57))</x:f>
      </x:c>
      <x:c r="R57" s="36"/>
      <x:c r="S57" s="36"/>
    </x:row>
    <x:row r="58">
      <x:c r="A58" s="36"/>
      <x:c r="B58" s="59"/>
      <x:c r="C58" s="36"/>
      <x:c r="D58" s="36"/>
      <x:c r="E58" s="36"/>
      <x:c r="F58" s="36"/>
      <x:c r="G58" s="37"/>
      <x:c r="H58" s="37"/>
      <x:c r="I58" s="37"/>
      <x:c r="J58" s="38"/>
      <x:c r="K58" s="36"/>
      <x:c r="L58" s="36"/>
      <x:c r="M58" s="36"/>
      <x:c r="N58" s="36"/>
      <x:c r="O58" s="36"/>
      <x:c r="P58" s="75"/>
      <x:c r="Q58" s="63" t="str">
        <x:f>IF($A58="","",IF($O58="Sim",IFERROR($G58/MAX($P58,1),$G58),$G58))</x:f>
      </x:c>
      <x:c r="R58" s="36"/>
      <x:c r="S58" s="36"/>
    </x:row>
    <x:row r="59">
      <x:c r="A59" s="36"/>
      <x:c r="B59" s="59"/>
      <x:c r="C59" s="36"/>
      <x:c r="D59" s="36"/>
      <x:c r="E59" s="36"/>
      <x:c r="F59" s="36"/>
      <x:c r="G59" s="37"/>
      <x:c r="H59" s="37"/>
      <x:c r="I59" s="37"/>
      <x:c r="J59" s="38"/>
      <x:c r="K59" s="36"/>
      <x:c r="L59" s="36"/>
      <x:c r="M59" s="36"/>
      <x:c r="N59" s="36"/>
      <x:c r="O59" s="36"/>
      <x:c r="P59" s="75"/>
      <x:c r="Q59" s="63" t="str">
        <x:f>IF($A59="","",IF($O59="Sim",IFERROR($G59/MAX($P59,1),$G59),$G59))</x:f>
      </x:c>
      <x:c r="R59" s="36"/>
      <x:c r="S59" s="36"/>
    </x:row>
    <x:row r="60">
      <x:c r="A60" s="36"/>
      <x:c r="B60" s="59"/>
      <x:c r="C60" s="36"/>
      <x:c r="D60" s="36"/>
      <x:c r="E60" s="36"/>
      <x:c r="F60" s="36"/>
      <x:c r="G60" s="37"/>
      <x:c r="H60" s="37"/>
      <x:c r="I60" s="37"/>
      <x:c r="J60" s="38"/>
      <x:c r="K60" s="36"/>
      <x:c r="L60" s="36"/>
      <x:c r="M60" s="36"/>
      <x:c r="N60" s="36"/>
      <x:c r="O60" s="36"/>
      <x:c r="P60" s="75"/>
      <x:c r="Q60" s="63" t="str">
        <x:f>IF($A60="","",IF($O60="Sim",IFERROR($G60/MAX($P60,1),$G60),$G60))</x:f>
      </x:c>
      <x:c r="R60" s="36"/>
      <x:c r="S60" s="36"/>
    </x:row>
    <x:row r="61">
      <x:c r="A61" s="36"/>
      <x:c r="B61" s="59"/>
      <x:c r="C61" s="36"/>
      <x:c r="D61" s="36"/>
      <x:c r="E61" s="36"/>
      <x:c r="F61" s="36"/>
      <x:c r="G61" s="37"/>
      <x:c r="H61" s="37"/>
      <x:c r="I61" s="37"/>
      <x:c r="J61" s="38"/>
      <x:c r="K61" s="36"/>
      <x:c r="L61" s="36"/>
      <x:c r="M61" s="36"/>
      <x:c r="N61" s="36"/>
      <x:c r="O61" s="36"/>
      <x:c r="P61" s="75"/>
      <x:c r="Q61" s="63" t="str">
        <x:f>IF($A61="","",IF($O61="Sim",IFERROR($G61/MAX($P61,1),$G61),$G61))</x:f>
      </x:c>
      <x:c r="R61" s="36"/>
      <x:c r="S61" s="36"/>
    </x:row>
    <x:row r="62">
      <x:c r="A62" s="36"/>
      <x:c r="B62" s="59"/>
      <x:c r="C62" s="36"/>
      <x:c r="D62" s="36"/>
      <x:c r="E62" s="36"/>
      <x:c r="F62" s="36"/>
      <x:c r="G62" s="37"/>
      <x:c r="H62" s="37"/>
      <x:c r="I62" s="37"/>
      <x:c r="J62" s="38"/>
      <x:c r="K62" s="36"/>
      <x:c r="L62" s="36"/>
      <x:c r="M62" s="36"/>
      <x:c r="N62" s="36"/>
      <x:c r="O62" s="36"/>
      <x:c r="P62" s="75"/>
      <x:c r="Q62" s="63" t="str">
        <x:f>IF($A62="","",IF($O62="Sim",IFERROR($G62/MAX($P62,1),$G62),$G62))</x:f>
      </x:c>
      <x:c r="R62" s="36"/>
      <x:c r="S62" s="36"/>
    </x:row>
    <x:row r="63">
      <x:c r="A63" s="36"/>
      <x:c r="B63" s="59"/>
      <x:c r="C63" s="36"/>
      <x:c r="D63" s="36"/>
      <x:c r="E63" s="36"/>
      <x:c r="F63" s="36"/>
      <x:c r="G63" s="37"/>
      <x:c r="H63" s="37"/>
      <x:c r="I63" s="37"/>
      <x:c r="J63" s="38"/>
      <x:c r="K63" s="36"/>
      <x:c r="L63" s="36"/>
      <x:c r="M63" s="36"/>
      <x:c r="N63" s="36"/>
      <x:c r="O63" s="36"/>
      <x:c r="P63" s="75"/>
      <x:c r="Q63" s="63" t="str">
        <x:f>IF($A63="","",IF($O63="Sim",IFERROR($G63/MAX($P63,1),$G63),$G63))</x:f>
      </x:c>
      <x:c r="R63" s="36"/>
      <x:c r="S63" s="36"/>
    </x:row>
    <x:row r="64">
      <x:c r="A64" s="36"/>
      <x:c r="B64" s="59"/>
      <x:c r="C64" s="36"/>
      <x:c r="D64" s="36"/>
      <x:c r="E64" s="36"/>
      <x:c r="F64" s="36"/>
      <x:c r="G64" s="37"/>
      <x:c r="H64" s="37"/>
      <x:c r="I64" s="37"/>
      <x:c r="J64" s="38"/>
      <x:c r="K64" s="36"/>
      <x:c r="L64" s="36"/>
      <x:c r="M64" s="36"/>
      <x:c r="N64" s="36"/>
      <x:c r="O64" s="36"/>
      <x:c r="P64" s="75"/>
      <x:c r="Q64" s="63" t="str">
        <x:f>IF($A64="","",IF($O64="Sim",IFERROR($G64/MAX($P64,1),$G64),$G64))</x:f>
      </x:c>
      <x:c r="R64" s="36"/>
      <x:c r="S64" s="36"/>
    </x:row>
    <x:row r="65">
      <x:c r="A65" s="36"/>
      <x:c r="B65" s="59"/>
      <x:c r="C65" s="36"/>
      <x:c r="D65" s="36"/>
      <x:c r="E65" s="36"/>
      <x:c r="F65" s="36"/>
      <x:c r="G65" s="37"/>
      <x:c r="H65" s="37"/>
      <x:c r="I65" s="37"/>
      <x:c r="J65" s="38"/>
      <x:c r="K65" s="36"/>
      <x:c r="L65" s="36"/>
      <x:c r="M65" s="36"/>
      <x:c r="N65" s="36"/>
      <x:c r="O65" s="36"/>
      <x:c r="P65" s="75"/>
      <x:c r="Q65" s="63" t="str">
        <x:f>IF($A65="","",IF($O65="Sim",IFERROR($G65/MAX($P65,1),$G65),$G65))</x:f>
      </x:c>
      <x:c r="R65" s="36"/>
      <x:c r="S65" s="36"/>
    </x:row>
    <x:row r="66">
      <x:c r="A66" s="36"/>
      <x:c r="B66" s="59"/>
      <x:c r="C66" s="36"/>
      <x:c r="D66" s="36"/>
      <x:c r="E66" s="36"/>
      <x:c r="F66" s="36"/>
      <x:c r="G66" s="37"/>
      <x:c r="H66" s="37"/>
      <x:c r="I66" s="37"/>
      <x:c r="J66" s="38"/>
      <x:c r="K66" s="36"/>
      <x:c r="L66" s="36"/>
      <x:c r="M66" s="36"/>
      <x:c r="N66" s="36"/>
      <x:c r="O66" s="36"/>
      <x:c r="P66" s="75"/>
      <x:c r="Q66" s="63" t="str">
        <x:f>IF($A66="","",IF($O66="Sim",IFERROR($G66/MAX($P66,1),$G66),$G66))</x:f>
      </x:c>
      <x:c r="R66" s="36"/>
      <x:c r="S66" s="36"/>
    </x:row>
    <x:row r="67">
      <x:c r="A67" s="36"/>
      <x:c r="B67" s="59"/>
      <x:c r="C67" s="36"/>
      <x:c r="D67" s="36"/>
      <x:c r="E67" s="36"/>
      <x:c r="F67" s="36"/>
      <x:c r="G67" s="37"/>
      <x:c r="H67" s="37"/>
      <x:c r="I67" s="37"/>
      <x:c r="J67" s="38"/>
      <x:c r="K67" s="36"/>
      <x:c r="L67" s="36"/>
      <x:c r="M67" s="36"/>
      <x:c r="N67" s="36"/>
      <x:c r="O67" s="36"/>
      <x:c r="P67" s="75"/>
      <x:c r="Q67" s="63" t="str">
        <x:f>IF($A67="","",IF($O67="Sim",IFERROR($G67/MAX($P67,1),$G67),$G67))</x:f>
      </x:c>
      <x:c r="R67" s="36"/>
      <x:c r="S67" s="36"/>
    </x:row>
    <x:row r="68">
      <x:c r="A68" s="36"/>
      <x:c r="B68" s="59"/>
      <x:c r="C68" s="36"/>
      <x:c r="D68" s="36"/>
      <x:c r="E68" s="36"/>
      <x:c r="F68" s="36"/>
      <x:c r="G68" s="37"/>
      <x:c r="H68" s="37"/>
      <x:c r="I68" s="37"/>
      <x:c r="J68" s="38"/>
      <x:c r="K68" s="36"/>
      <x:c r="L68" s="36"/>
      <x:c r="M68" s="36"/>
      <x:c r="N68" s="36"/>
      <x:c r="O68" s="36"/>
      <x:c r="P68" s="75"/>
      <x:c r="Q68" s="63" t="str">
        <x:f>IF($A68="","",IF($O68="Sim",IFERROR($G68/MAX($P68,1),$G68),$G68))</x:f>
      </x:c>
      <x:c r="R68" s="36"/>
      <x:c r="S68" s="36"/>
    </x:row>
    <x:row r="69">
      <x:c r="A69" s="36"/>
      <x:c r="B69" s="59"/>
      <x:c r="C69" s="36"/>
      <x:c r="D69" s="36"/>
      <x:c r="E69" s="36"/>
      <x:c r="F69" s="36"/>
      <x:c r="G69" s="37"/>
      <x:c r="H69" s="37"/>
      <x:c r="I69" s="37"/>
      <x:c r="J69" s="38"/>
      <x:c r="K69" s="36"/>
      <x:c r="L69" s="36"/>
      <x:c r="M69" s="36"/>
      <x:c r="N69" s="36"/>
      <x:c r="O69" s="36"/>
      <x:c r="P69" s="75"/>
      <x:c r="Q69" s="63" t="str">
        <x:f>IF($A69="","",IF($O69="Sim",IFERROR($G69/MAX($P69,1),$G69),$G69))</x:f>
      </x:c>
      <x:c r="R69" s="36"/>
      <x:c r="S69" s="36"/>
    </x:row>
    <x:row r="70">
      <x:c r="A70" s="36"/>
      <x:c r="B70" s="59"/>
      <x:c r="C70" s="36"/>
      <x:c r="D70" s="36"/>
      <x:c r="E70" s="36"/>
      <x:c r="F70" s="36"/>
      <x:c r="G70" s="37"/>
      <x:c r="H70" s="37"/>
      <x:c r="I70" s="37"/>
      <x:c r="J70" s="38"/>
      <x:c r="K70" s="36"/>
      <x:c r="L70" s="36"/>
      <x:c r="M70" s="36"/>
      <x:c r="N70" s="36"/>
      <x:c r="O70" s="36"/>
      <x:c r="P70" s="75"/>
      <x:c r="Q70" s="63" t="str">
        <x:f>IF($A70="","",IF($O70="Sim",IFERROR($G70/MAX($P70,1),$G70),$G70))</x:f>
      </x:c>
      <x:c r="R70" s="36"/>
      <x:c r="S70" s="36"/>
    </x:row>
    <x:row r="71">
      <x:c r="A71" s="36"/>
      <x:c r="B71" s="59"/>
      <x:c r="C71" s="36"/>
      <x:c r="D71" s="36"/>
      <x:c r="E71" s="36"/>
      <x:c r="F71" s="36"/>
      <x:c r="G71" s="37"/>
      <x:c r="H71" s="37"/>
      <x:c r="I71" s="37"/>
      <x:c r="J71" s="38"/>
      <x:c r="K71" s="36"/>
      <x:c r="L71" s="36"/>
      <x:c r="M71" s="36"/>
      <x:c r="N71" s="36"/>
      <x:c r="O71" s="36"/>
      <x:c r="P71" s="75"/>
      <x:c r="Q71" s="63" t="str">
        <x:f>IF($A71="","",IF($O71="Sim",IFERROR($G71/MAX($P71,1),$G71),$G71))</x:f>
      </x:c>
      <x:c r="R71" s="36"/>
      <x:c r="S71" s="36"/>
    </x:row>
    <x:row r="72">
      <x:c r="A72" s="36"/>
      <x:c r="B72" s="59"/>
      <x:c r="C72" s="36"/>
      <x:c r="D72" s="36"/>
      <x:c r="E72" s="36"/>
      <x:c r="F72" s="36"/>
      <x:c r="G72" s="37"/>
      <x:c r="H72" s="37"/>
      <x:c r="I72" s="37"/>
      <x:c r="J72" s="38"/>
      <x:c r="K72" s="36"/>
      <x:c r="L72" s="36"/>
      <x:c r="M72" s="36"/>
      <x:c r="N72" s="36"/>
      <x:c r="O72" s="36"/>
      <x:c r="P72" s="75"/>
      <x:c r="Q72" s="63" t="str">
        <x:f>IF($A72="","",IF($O72="Sim",IFERROR($G72/MAX($P72,1),$G72),$G72))</x:f>
      </x:c>
      <x:c r="R72" s="36"/>
      <x:c r="S72" s="36"/>
    </x:row>
    <x:row r="73">
      <x:c r="A73" s="36"/>
      <x:c r="B73" s="59"/>
      <x:c r="C73" s="36"/>
      <x:c r="D73" s="36"/>
      <x:c r="E73" s="36"/>
      <x:c r="F73" s="36"/>
      <x:c r="G73" s="37"/>
      <x:c r="H73" s="37"/>
      <x:c r="I73" s="37"/>
      <x:c r="J73" s="38"/>
      <x:c r="K73" s="36"/>
      <x:c r="L73" s="36"/>
      <x:c r="M73" s="36"/>
      <x:c r="N73" s="36"/>
      <x:c r="O73" s="36"/>
      <x:c r="P73" s="75"/>
      <x:c r="Q73" s="63" t="str">
        <x:f>IF($A73="","",IF($O73="Sim",IFERROR($G73/MAX($P73,1),$G73),$G73))</x:f>
      </x:c>
      <x:c r="R73" s="36"/>
      <x:c r="S73" s="36"/>
    </x:row>
    <x:row r="74">
      <x:c r="A74" s="36"/>
      <x:c r="B74" s="59"/>
      <x:c r="C74" s="36"/>
      <x:c r="D74" s="36"/>
      <x:c r="E74" s="36"/>
      <x:c r="F74" s="36"/>
      <x:c r="G74" s="37"/>
      <x:c r="H74" s="37"/>
      <x:c r="I74" s="37"/>
      <x:c r="J74" s="38"/>
      <x:c r="K74" s="36"/>
      <x:c r="L74" s="36"/>
      <x:c r="M74" s="36"/>
      <x:c r="N74" s="36"/>
      <x:c r="O74" s="36"/>
      <x:c r="P74" s="75"/>
      <x:c r="Q74" s="63" t="str">
        <x:f>IF($A74="","",IF($O74="Sim",IFERROR($G74/MAX($P74,1),$G74),$G74))</x:f>
      </x:c>
      <x:c r="R74" s="36"/>
      <x:c r="S74" s="36"/>
    </x:row>
    <x:row r="75">
      <x:c r="A75" s="36"/>
      <x:c r="B75" s="59"/>
      <x:c r="C75" s="36"/>
      <x:c r="D75" s="36"/>
      <x:c r="E75" s="36"/>
      <x:c r="F75" s="36"/>
      <x:c r="G75" s="37"/>
      <x:c r="H75" s="37"/>
      <x:c r="I75" s="37"/>
      <x:c r="J75" s="38"/>
      <x:c r="K75" s="36"/>
      <x:c r="L75" s="36"/>
      <x:c r="M75" s="36"/>
      <x:c r="N75" s="36"/>
      <x:c r="O75" s="36"/>
      <x:c r="P75" s="75"/>
      <x:c r="Q75" s="63" t="str">
        <x:f>IF($A75="","",IF($O75="Sim",IFERROR($G75/MAX($P75,1),$G75),$G75))</x:f>
      </x:c>
      <x:c r="R75" s="36"/>
      <x:c r="S75" s="36"/>
    </x:row>
    <x:row r="76">
      <x:c r="A76" s="36"/>
      <x:c r="B76" s="59"/>
      <x:c r="C76" s="36"/>
      <x:c r="D76" s="36"/>
      <x:c r="E76" s="36"/>
      <x:c r="F76" s="36"/>
      <x:c r="G76" s="37"/>
      <x:c r="H76" s="37"/>
      <x:c r="I76" s="37"/>
      <x:c r="J76" s="38"/>
      <x:c r="K76" s="36"/>
      <x:c r="L76" s="36"/>
      <x:c r="M76" s="36"/>
      <x:c r="N76" s="36"/>
      <x:c r="O76" s="36"/>
      <x:c r="P76" s="75"/>
      <x:c r="Q76" s="63" t="str">
        <x:f>IF($A76="","",IF($O76="Sim",IFERROR($G76/MAX($P76,1),$G76),$G76))</x:f>
      </x:c>
      <x:c r="R76" s="36"/>
      <x:c r="S76" s="36"/>
    </x:row>
    <x:row r="77">
      <x:c r="A77" s="36"/>
      <x:c r="B77" s="59"/>
      <x:c r="C77" s="36"/>
      <x:c r="D77" s="36"/>
      <x:c r="E77" s="36"/>
      <x:c r="F77" s="36"/>
      <x:c r="G77" s="37"/>
      <x:c r="H77" s="37"/>
      <x:c r="I77" s="37"/>
      <x:c r="J77" s="38"/>
      <x:c r="K77" s="36"/>
      <x:c r="L77" s="36"/>
      <x:c r="M77" s="36"/>
      <x:c r="N77" s="36"/>
      <x:c r="O77" s="36"/>
      <x:c r="P77" s="75"/>
      <x:c r="Q77" s="63" t="str">
        <x:f>IF($A77="","",IF($O77="Sim",IFERROR($G77/MAX($P77,1),$G77),$G77))</x:f>
      </x:c>
      <x:c r="R77" s="36"/>
      <x:c r="S77" s="36"/>
    </x:row>
    <x:row r="78">
      <x:c r="A78" s="36"/>
      <x:c r="B78" s="59"/>
      <x:c r="C78" s="36"/>
      <x:c r="D78" s="36"/>
      <x:c r="E78" s="36"/>
      <x:c r="F78" s="36"/>
      <x:c r="G78" s="37"/>
      <x:c r="H78" s="37"/>
      <x:c r="I78" s="37"/>
      <x:c r="J78" s="38"/>
      <x:c r="K78" s="36"/>
      <x:c r="L78" s="36"/>
      <x:c r="M78" s="36"/>
      <x:c r="N78" s="36"/>
      <x:c r="O78" s="36"/>
      <x:c r="P78" s="75"/>
      <x:c r="Q78" s="63" t="str">
        <x:f>IF($A78="","",IF($O78="Sim",IFERROR($G78/MAX($P78,1),$G78),$G78))</x:f>
      </x:c>
      <x:c r="R78" s="36"/>
      <x:c r="S78" s="36"/>
    </x:row>
    <x:row r="79">
      <x:c r="A79" s="36"/>
      <x:c r="B79" s="59"/>
      <x:c r="C79" s="36"/>
      <x:c r="D79" s="36"/>
      <x:c r="E79" s="36"/>
      <x:c r="F79" s="36"/>
      <x:c r="G79" s="37"/>
      <x:c r="H79" s="37"/>
      <x:c r="I79" s="37"/>
      <x:c r="J79" s="38"/>
      <x:c r="K79" s="36"/>
      <x:c r="L79" s="36"/>
      <x:c r="M79" s="36"/>
      <x:c r="N79" s="36"/>
      <x:c r="O79" s="36"/>
      <x:c r="P79" s="75"/>
      <x:c r="Q79" s="63" t="str">
        <x:f>IF($A79="","",IF($O79="Sim",IFERROR($G79/MAX($P79,1),$G79),$G79))</x:f>
      </x:c>
      <x:c r="R79" s="36"/>
      <x:c r="S79" s="36"/>
    </x:row>
    <x:row r="80">
      <x:c r="A80" s="36"/>
      <x:c r="B80" s="59"/>
      <x:c r="C80" s="36"/>
      <x:c r="D80" s="36"/>
      <x:c r="E80" s="36"/>
      <x:c r="F80" s="36"/>
      <x:c r="G80" s="37"/>
      <x:c r="H80" s="37"/>
      <x:c r="I80" s="37"/>
      <x:c r="J80" s="38"/>
      <x:c r="K80" s="36"/>
      <x:c r="L80" s="36"/>
      <x:c r="M80" s="36"/>
      <x:c r="N80" s="36"/>
      <x:c r="O80" s="36"/>
      <x:c r="P80" s="75"/>
      <x:c r="Q80" s="63" t="str">
        <x:f>IF($A80="","",IF($O80="Sim",IFERROR($G80/MAX($P80,1),$G80),$G80))</x:f>
      </x:c>
      <x:c r="R80" s="36"/>
      <x:c r="S80" s="36"/>
    </x:row>
    <x:row r="81">
      <x:c r="A81" s="36"/>
      <x:c r="B81" s="59"/>
      <x:c r="C81" s="36"/>
      <x:c r="D81" s="36"/>
      <x:c r="E81" s="36"/>
      <x:c r="F81" s="36"/>
      <x:c r="G81" s="37"/>
      <x:c r="H81" s="37"/>
      <x:c r="I81" s="37"/>
      <x:c r="J81" s="38"/>
      <x:c r="K81" s="36"/>
      <x:c r="L81" s="36"/>
      <x:c r="M81" s="36"/>
      <x:c r="N81" s="36"/>
      <x:c r="O81" s="36"/>
      <x:c r="P81" s="75"/>
      <x:c r="Q81" s="63" t="str">
        <x:f>IF($A81="","",IF($O81="Sim",IFERROR($G81/MAX($P81,1),$G81),$G81))</x:f>
      </x:c>
      <x:c r="R81" s="36"/>
      <x:c r="S81" s="36"/>
    </x:row>
    <x:row r="82">
      <x:c r="A82" s="36"/>
      <x:c r="B82" s="59"/>
      <x:c r="C82" s="36"/>
      <x:c r="D82" s="36"/>
      <x:c r="E82" s="36"/>
      <x:c r="F82" s="36"/>
      <x:c r="G82" s="37"/>
      <x:c r="H82" s="37"/>
      <x:c r="I82" s="37"/>
      <x:c r="J82" s="38"/>
      <x:c r="K82" s="36"/>
      <x:c r="L82" s="36"/>
      <x:c r="M82" s="36"/>
      <x:c r="N82" s="36"/>
      <x:c r="O82" s="36"/>
      <x:c r="P82" s="75"/>
      <x:c r="Q82" s="63" t="str">
        <x:f>IF($A82="","",IF($O82="Sim",IFERROR($G82/MAX($P82,1),$G82),$G82))</x:f>
      </x:c>
      <x:c r="R82" s="36"/>
      <x:c r="S82" s="36"/>
    </x:row>
    <x:row r="83">
      <x:c r="A83" s="36"/>
      <x:c r="B83" s="59"/>
      <x:c r="C83" s="36"/>
      <x:c r="D83" s="36"/>
      <x:c r="E83" s="36"/>
      <x:c r="F83" s="36"/>
      <x:c r="G83" s="37"/>
      <x:c r="H83" s="37"/>
      <x:c r="I83" s="37"/>
      <x:c r="J83" s="38"/>
      <x:c r="K83" s="36"/>
      <x:c r="L83" s="36"/>
      <x:c r="M83" s="36"/>
      <x:c r="N83" s="36"/>
      <x:c r="O83" s="36"/>
      <x:c r="P83" s="75"/>
      <x:c r="Q83" s="63" t="str">
        <x:f>IF($A83="","",IF($O83="Sim",IFERROR($G83/MAX($P83,1),$G83),$G83))</x:f>
      </x:c>
      <x:c r="R83" s="36"/>
      <x:c r="S83" s="36"/>
    </x:row>
    <x:row r="84">
      <x:c r="A84" s="36"/>
      <x:c r="B84" s="59"/>
      <x:c r="C84" s="36"/>
      <x:c r="D84" s="36"/>
      <x:c r="E84" s="36"/>
      <x:c r="F84" s="36"/>
      <x:c r="G84" s="37"/>
      <x:c r="H84" s="37"/>
      <x:c r="I84" s="37"/>
      <x:c r="J84" s="38"/>
      <x:c r="K84" s="36"/>
      <x:c r="L84" s="36"/>
      <x:c r="M84" s="36"/>
      <x:c r="N84" s="36"/>
      <x:c r="O84" s="36"/>
      <x:c r="P84" s="75"/>
      <x:c r="Q84" s="63" t="str">
        <x:f>IF($A84="","",IF($O84="Sim",IFERROR($G84/MAX($P84,1),$G84),$G84))</x:f>
      </x:c>
      <x:c r="R84" s="36"/>
      <x:c r="S84" s="36"/>
    </x:row>
    <x:row r="85">
      <x:c r="A85" s="36"/>
      <x:c r="B85" s="59"/>
      <x:c r="C85" s="36"/>
      <x:c r="D85" s="36"/>
      <x:c r="E85" s="36"/>
      <x:c r="F85" s="36"/>
      <x:c r="G85" s="37"/>
      <x:c r="H85" s="37"/>
      <x:c r="I85" s="37"/>
      <x:c r="J85" s="38"/>
      <x:c r="K85" s="36"/>
      <x:c r="L85" s="36"/>
      <x:c r="M85" s="36"/>
      <x:c r="N85" s="36"/>
      <x:c r="O85" s="36"/>
      <x:c r="P85" s="75"/>
      <x:c r="Q85" s="63" t="str">
        <x:f>IF($A85="","",IF($O85="Sim",IFERROR($G85/MAX($P85,1),$G85),$G85))</x:f>
      </x:c>
      <x:c r="R85" s="36"/>
      <x:c r="S85" s="36"/>
    </x:row>
    <x:row r="86">
      <x:c r="A86" s="36"/>
      <x:c r="B86" s="59"/>
      <x:c r="C86" s="36"/>
      <x:c r="D86" s="36"/>
      <x:c r="E86" s="36"/>
      <x:c r="F86" s="36"/>
      <x:c r="G86" s="37"/>
      <x:c r="H86" s="37"/>
      <x:c r="I86" s="37"/>
      <x:c r="J86" s="38"/>
      <x:c r="K86" s="36"/>
      <x:c r="L86" s="36"/>
      <x:c r="M86" s="36"/>
      <x:c r="N86" s="36"/>
      <x:c r="O86" s="36"/>
      <x:c r="P86" s="75"/>
      <x:c r="Q86" s="63" t="str">
        <x:f>IF($A86="","",IF($O86="Sim",IFERROR($G86/MAX($P86,1),$G86),$G86))</x:f>
      </x:c>
      <x:c r="R86" s="36"/>
      <x:c r="S86" s="36"/>
    </x:row>
    <x:row r="87">
      <x:c r="A87" s="36"/>
      <x:c r="B87" s="59"/>
      <x:c r="C87" s="36"/>
      <x:c r="D87" s="36"/>
      <x:c r="E87" s="36"/>
      <x:c r="F87" s="36"/>
      <x:c r="G87" s="37"/>
      <x:c r="H87" s="37"/>
      <x:c r="I87" s="37"/>
      <x:c r="J87" s="38"/>
      <x:c r="K87" s="36"/>
      <x:c r="L87" s="36"/>
      <x:c r="M87" s="36"/>
      <x:c r="N87" s="36"/>
      <x:c r="O87" s="36"/>
      <x:c r="P87" s="75"/>
      <x:c r="Q87" s="63" t="str">
        <x:f>IF($A87="","",IF($O87="Sim",IFERROR($G87/MAX($P87,1),$G87),$G87))</x:f>
      </x:c>
      <x:c r="R87" s="36"/>
      <x:c r="S87" s="36"/>
    </x:row>
    <x:row r="88">
      <x:c r="A88" s="36"/>
      <x:c r="B88" s="59"/>
      <x:c r="C88" s="36"/>
      <x:c r="D88" s="36"/>
      <x:c r="E88" s="36"/>
      <x:c r="F88" s="36"/>
      <x:c r="G88" s="37"/>
      <x:c r="H88" s="37"/>
      <x:c r="I88" s="37"/>
      <x:c r="J88" s="38"/>
      <x:c r="K88" s="36"/>
      <x:c r="L88" s="36"/>
      <x:c r="M88" s="36"/>
      <x:c r="N88" s="36"/>
      <x:c r="O88" s="36"/>
      <x:c r="P88" s="75"/>
      <x:c r="Q88" s="63" t="str">
        <x:f>IF($A88="","",IF($O88="Sim",IFERROR($G88/MAX($P88,1),$G88),$G88))</x:f>
      </x:c>
      <x:c r="R88" s="36"/>
      <x:c r="S88" s="36"/>
    </x:row>
    <x:row r="89">
      <x:c r="A89" s="36"/>
      <x:c r="B89" s="59"/>
      <x:c r="C89" s="36"/>
      <x:c r="D89" s="36"/>
      <x:c r="E89" s="36"/>
      <x:c r="F89" s="36"/>
      <x:c r="G89" s="37"/>
      <x:c r="H89" s="37"/>
      <x:c r="I89" s="37"/>
      <x:c r="J89" s="38"/>
      <x:c r="K89" s="36"/>
      <x:c r="L89" s="36"/>
      <x:c r="M89" s="36"/>
      <x:c r="N89" s="36"/>
      <x:c r="O89" s="36"/>
      <x:c r="P89" s="75"/>
      <x:c r="Q89" s="63" t="str">
        <x:f>IF($A89="","",IF($O89="Sim",IFERROR($G89/MAX($P89,1),$G89),$G89))</x:f>
      </x:c>
      <x:c r="R89" s="36"/>
      <x:c r="S89" s="36"/>
    </x:row>
    <x:row r="90">
      <x:c r="A90" s="36"/>
      <x:c r="B90" s="59"/>
      <x:c r="C90" s="36"/>
      <x:c r="D90" s="36"/>
      <x:c r="E90" s="36"/>
      <x:c r="F90" s="36"/>
      <x:c r="G90" s="37"/>
      <x:c r="H90" s="37"/>
      <x:c r="I90" s="37"/>
      <x:c r="J90" s="38"/>
      <x:c r="K90" s="36"/>
      <x:c r="L90" s="36"/>
      <x:c r="M90" s="36"/>
      <x:c r="N90" s="36"/>
      <x:c r="O90" s="36"/>
      <x:c r="P90" s="75"/>
      <x:c r="Q90" s="63" t="str">
        <x:f>IF($A90="","",IF($O90="Sim",IFERROR($G90/MAX($P90,1),$G90),$G90))</x:f>
      </x:c>
      <x:c r="R90" s="36"/>
      <x:c r="S90" s="36"/>
    </x:row>
    <x:row r="91">
      <x:c r="A91" s="36"/>
      <x:c r="B91" s="59"/>
      <x:c r="C91" s="36"/>
      <x:c r="D91" s="36"/>
      <x:c r="E91" s="36"/>
      <x:c r="F91" s="36"/>
      <x:c r="G91" s="37"/>
      <x:c r="H91" s="37"/>
      <x:c r="I91" s="37"/>
      <x:c r="J91" s="38"/>
      <x:c r="K91" s="36"/>
      <x:c r="L91" s="36"/>
      <x:c r="M91" s="36"/>
      <x:c r="N91" s="36"/>
      <x:c r="O91" s="36"/>
      <x:c r="P91" s="75"/>
      <x:c r="Q91" s="63" t="str">
        <x:f>IF($A91="","",IF($O91="Sim",IFERROR($G91/MAX($P91,1),$G91),$G91))</x:f>
      </x:c>
      <x:c r="R91" s="36"/>
      <x:c r="S91" s="36"/>
    </x:row>
    <x:row r="92">
      <x:c r="A92" s="36"/>
      <x:c r="B92" s="59"/>
      <x:c r="C92" s="36"/>
      <x:c r="D92" s="36"/>
      <x:c r="E92" s="36"/>
      <x:c r="F92" s="36"/>
      <x:c r="G92" s="37"/>
      <x:c r="H92" s="37"/>
      <x:c r="I92" s="37"/>
      <x:c r="J92" s="38"/>
      <x:c r="K92" s="36"/>
      <x:c r="L92" s="36"/>
      <x:c r="M92" s="36"/>
      <x:c r="N92" s="36"/>
      <x:c r="O92" s="36"/>
      <x:c r="P92" s="75"/>
      <x:c r="Q92" s="63" t="str">
        <x:f>IF($A92="","",IF($O92="Sim",IFERROR($G92/MAX($P92,1),$G92),$G92))</x:f>
      </x:c>
      <x:c r="R92" s="36"/>
      <x:c r="S92" s="36"/>
    </x:row>
    <x:row r="93">
      <x:c r="A93" s="36"/>
      <x:c r="B93" s="59"/>
      <x:c r="C93" s="36"/>
      <x:c r="D93" s="36"/>
      <x:c r="E93" s="36"/>
      <x:c r="F93" s="36"/>
      <x:c r="G93" s="37"/>
      <x:c r="H93" s="37"/>
      <x:c r="I93" s="37"/>
      <x:c r="J93" s="38"/>
      <x:c r="K93" s="36"/>
      <x:c r="L93" s="36"/>
      <x:c r="M93" s="36"/>
      <x:c r="N93" s="36"/>
      <x:c r="O93" s="36"/>
      <x:c r="P93" s="75"/>
      <x:c r="Q93" s="63" t="str">
        <x:f>IF($A93="","",IF($O93="Sim",IFERROR($G93/MAX($P93,1),$G93),$G93))</x:f>
      </x:c>
      <x:c r="R93" s="36"/>
      <x:c r="S93" s="36"/>
    </x:row>
    <x:row r="94">
      <x:c r="A94" s="36"/>
      <x:c r="B94" s="59"/>
      <x:c r="C94" s="36"/>
      <x:c r="D94" s="36"/>
      <x:c r="E94" s="36"/>
      <x:c r="F94" s="36"/>
      <x:c r="G94" s="37"/>
      <x:c r="H94" s="37"/>
      <x:c r="I94" s="37"/>
      <x:c r="J94" s="38"/>
      <x:c r="K94" s="36"/>
      <x:c r="L94" s="36"/>
      <x:c r="M94" s="36"/>
      <x:c r="N94" s="36"/>
      <x:c r="O94" s="36"/>
      <x:c r="P94" s="75"/>
      <x:c r="Q94" s="63" t="str">
        <x:f>IF($A94="","",IF($O94="Sim",IFERROR($G94/MAX($P94,1),$G94),$G94))</x:f>
      </x:c>
      <x:c r="R94" s="36"/>
      <x:c r="S94" s="36"/>
    </x:row>
    <x:row r="95">
      <x:c r="A95" s="36"/>
      <x:c r="B95" s="59"/>
      <x:c r="C95" s="36"/>
      <x:c r="D95" s="36"/>
      <x:c r="E95" s="36"/>
      <x:c r="F95" s="36"/>
      <x:c r="G95" s="37"/>
      <x:c r="H95" s="37"/>
      <x:c r="I95" s="37"/>
      <x:c r="J95" s="38"/>
      <x:c r="K95" s="36"/>
      <x:c r="L95" s="36"/>
      <x:c r="M95" s="36"/>
      <x:c r="N95" s="36"/>
      <x:c r="O95" s="36"/>
      <x:c r="P95" s="75"/>
      <x:c r="Q95" s="63" t="str">
        <x:f>IF($A95="","",IF($O95="Sim",IFERROR($G95/MAX($P95,1),$G95),$G95))</x:f>
      </x:c>
      <x:c r="R95" s="36"/>
      <x:c r="S95" s="36"/>
    </x:row>
    <x:row r="96">
      <x:c r="A96" s="36"/>
      <x:c r="B96" s="59"/>
      <x:c r="C96" s="36"/>
      <x:c r="D96" s="36"/>
      <x:c r="E96" s="36"/>
      <x:c r="F96" s="36"/>
      <x:c r="G96" s="37"/>
      <x:c r="H96" s="37"/>
      <x:c r="I96" s="37"/>
      <x:c r="J96" s="38"/>
      <x:c r="K96" s="36"/>
      <x:c r="L96" s="36"/>
      <x:c r="M96" s="36"/>
      <x:c r="N96" s="36"/>
      <x:c r="O96" s="36"/>
      <x:c r="P96" s="75"/>
      <x:c r="Q96" s="63" t="str">
        <x:f>IF($A96="","",IF($O96="Sim",IFERROR($G96/MAX($P96,1),$G96),$G96))</x:f>
      </x:c>
      <x:c r="R96" s="36"/>
      <x:c r="S96" s="36"/>
    </x:row>
    <x:row r="97">
      <x:c r="A97" s="36"/>
      <x:c r="B97" s="59"/>
      <x:c r="C97" s="36"/>
      <x:c r="D97" s="36"/>
      <x:c r="E97" s="36"/>
      <x:c r="F97" s="36"/>
      <x:c r="G97" s="37"/>
      <x:c r="H97" s="37"/>
      <x:c r="I97" s="37"/>
      <x:c r="J97" s="38"/>
      <x:c r="K97" s="36"/>
      <x:c r="L97" s="36"/>
      <x:c r="M97" s="36"/>
      <x:c r="N97" s="36"/>
      <x:c r="O97" s="36"/>
      <x:c r="P97" s="75"/>
      <x:c r="Q97" s="63" t="str">
        <x:f>IF($A97="","",IF($O97="Sim",IFERROR($G97/MAX($P97,1),$G97),$G97))</x:f>
      </x:c>
      <x:c r="R97" s="36"/>
      <x:c r="S97" s="36"/>
    </x:row>
    <x:row r="98">
      <x:c r="A98" s="36"/>
      <x:c r="B98" s="59"/>
      <x:c r="C98" s="36"/>
      <x:c r="D98" s="36"/>
      <x:c r="E98" s="36"/>
      <x:c r="F98" s="36"/>
      <x:c r="G98" s="37"/>
      <x:c r="H98" s="37"/>
      <x:c r="I98" s="37"/>
      <x:c r="J98" s="38"/>
      <x:c r="K98" s="36"/>
      <x:c r="L98" s="36"/>
      <x:c r="M98" s="36"/>
      <x:c r="N98" s="36"/>
      <x:c r="O98" s="36"/>
      <x:c r="P98" s="75"/>
      <x:c r="Q98" s="63" t="str">
        <x:f>IF($A98="","",IF($O98="Sim",IFERROR($G98/MAX($P98,1),$G98),$G98))</x:f>
      </x:c>
      <x:c r="R98" s="36"/>
      <x:c r="S98" s="36"/>
    </x:row>
    <x:row r="99">
      <x:c r="A99" s="36"/>
      <x:c r="B99" s="59"/>
      <x:c r="C99" s="36"/>
      <x:c r="D99" s="36"/>
      <x:c r="E99" s="36"/>
      <x:c r="F99" s="36"/>
      <x:c r="G99" s="37"/>
      <x:c r="H99" s="37"/>
      <x:c r="I99" s="37"/>
      <x:c r="J99" s="38"/>
      <x:c r="K99" s="36"/>
      <x:c r="L99" s="36"/>
      <x:c r="M99" s="36"/>
      <x:c r="N99" s="36"/>
      <x:c r="O99" s="36"/>
      <x:c r="P99" s="75"/>
      <x:c r="Q99" s="63" t="str">
        <x:f>IF($A99="","",IF($O99="Sim",IFERROR($G99/MAX($P99,1),$G99),$G99))</x:f>
      </x:c>
      <x:c r="R99" s="36"/>
      <x:c r="S99" s="36"/>
    </x:row>
    <x:row r="100">
      <x:c r="A100" s="36"/>
      <x:c r="B100" s="59"/>
      <x:c r="C100" s="36"/>
      <x:c r="D100" s="36"/>
      <x:c r="E100" s="36"/>
      <x:c r="F100" s="36"/>
      <x:c r="G100" s="37"/>
      <x:c r="H100" s="37"/>
      <x:c r="I100" s="37"/>
      <x:c r="J100" s="38"/>
      <x:c r="K100" s="36"/>
      <x:c r="L100" s="36"/>
      <x:c r="M100" s="36"/>
      <x:c r="N100" s="36"/>
      <x:c r="O100" s="36"/>
      <x:c r="P100" s="75"/>
      <x:c r="Q100" s="63" t="str">
        <x:f>IF($A100="","",IF($O100="Sim",IFERROR($G100/MAX($P100,1),$G100),$G100))</x:f>
      </x:c>
      <x:c r="R100" s="36"/>
      <x:c r="S100" s="36"/>
    </x:row>
    <x:row r="101">
      <x:c r="A101" s="36"/>
      <x:c r="B101" s="59"/>
      <x:c r="C101" s="36"/>
      <x:c r="D101" s="36"/>
      <x:c r="E101" s="36"/>
      <x:c r="F101" s="36"/>
      <x:c r="G101" s="37"/>
      <x:c r="H101" s="37"/>
      <x:c r="I101" s="37"/>
      <x:c r="J101" s="38"/>
      <x:c r="K101" s="36"/>
      <x:c r="L101" s="36"/>
      <x:c r="M101" s="36"/>
      <x:c r="N101" s="36"/>
      <x:c r="O101" s="36"/>
      <x:c r="P101" s="75"/>
      <x:c r="Q101" s="63" t="str">
        <x:f>IF($A101="","",IF($O101="Sim",IFERROR($G101/MAX($P101,1),$G101),$G101))</x:f>
      </x:c>
      <x:c r="R101" s="36"/>
      <x:c r="S101" s="36"/>
    </x:row>
    <x:row r="102">
      <x:c r="A102" s="36"/>
      <x:c r="B102" s="59"/>
      <x:c r="C102" s="36"/>
      <x:c r="D102" s="36"/>
      <x:c r="E102" s="36"/>
      <x:c r="F102" s="36"/>
      <x:c r="G102" s="37"/>
      <x:c r="H102" s="37"/>
      <x:c r="I102" s="37"/>
      <x:c r="J102" s="38"/>
      <x:c r="K102" s="36"/>
      <x:c r="L102" s="36"/>
      <x:c r="M102" s="36"/>
      <x:c r="N102" s="36"/>
      <x:c r="O102" s="36"/>
      <x:c r="P102" s="75"/>
      <x:c r="Q102" s="63" t="str">
        <x:f>IF($A102="","",IF($O102="Sim",IFERROR($G102/MAX($P102,1),$G102),$G102))</x:f>
      </x:c>
      <x:c r="R102" s="36"/>
      <x:c r="S102" s="36"/>
    </x:row>
    <x:row r="103">
      <x:c r="A103" s="36"/>
      <x:c r="B103" s="59"/>
      <x:c r="C103" s="36"/>
      <x:c r="D103" s="36"/>
      <x:c r="E103" s="36"/>
      <x:c r="F103" s="36"/>
      <x:c r="G103" s="37"/>
      <x:c r="H103" s="37"/>
      <x:c r="I103" s="37"/>
      <x:c r="J103" s="38"/>
      <x:c r="K103" s="36"/>
      <x:c r="L103" s="36"/>
      <x:c r="M103" s="36"/>
      <x:c r="N103" s="36"/>
      <x:c r="O103" s="36"/>
      <x:c r="P103" s="75"/>
      <x:c r="Q103" s="63" t="str">
        <x:f>IF($A103="","",IF($O103="Sim",IFERROR($G103/MAX($P103,1),$G103),$G103))</x:f>
      </x:c>
      <x:c r="R103" s="36"/>
      <x:c r="S103" s="36"/>
    </x:row>
    <x:row r="104">
      <x:c r="A104" s="36"/>
      <x:c r="B104" s="59"/>
      <x:c r="C104" s="36"/>
      <x:c r="D104" s="36"/>
      <x:c r="E104" s="36"/>
      <x:c r="F104" s="36"/>
      <x:c r="G104" s="37"/>
      <x:c r="H104" s="37"/>
      <x:c r="I104" s="37"/>
      <x:c r="J104" s="38"/>
      <x:c r="K104" s="36"/>
      <x:c r="L104" s="36"/>
      <x:c r="M104" s="36"/>
      <x:c r="N104" s="36"/>
      <x:c r="O104" s="36"/>
      <x:c r="P104" s="75"/>
      <x:c r="Q104" s="63" t="str">
        <x:f>IF($A104="","",IF($O104="Sim",IFERROR($G104/MAX($P104,1),$G104),$G104))</x:f>
      </x:c>
      <x:c r="R104" s="36"/>
      <x:c r="S104" s="36"/>
    </x:row>
    <x:row r="105">
      <x:c r="A105" s="36"/>
      <x:c r="B105" s="59"/>
      <x:c r="C105" s="36"/>
      <x:c r="D105" s="36"/>
      <x:c r="E105" s="36"/>
      <x:c r="F105" s="36"/>
      <x:c r="G105" s="37"/>
      <x:c r="H105" s="37"/>
      <x:c r="I105" s="37"/>
      <x:c r="J105" s="38"/>
      <x:c r="K105" s="36"/>
      <x:c r="L105" s="36"/>
      <x:c r="M105" s="36"/>
      <x:c r="N105" s="36"/>
      <x:c r="O105" s="36"/>
      <x:c r="P105" s="75"/>
      <x:c r="Q105" s="63" t="str">
        <x:f>IF($A105="","",IF($O105="Sim",IFERROR($G105/MAX($P105,1),$G105),$G105))</x:f>
      </x:c>
      <x:c r="R105" s="36"/>
      <x:c r="S105" s="36"/>
    </x:row>
    <x:row r="106">
      <x:c r="A106" s="36"/>
      <x:c r="B106" s="59"/>
      <x:c r="C106" s="36"/>
      <x:c r="D106" s="36"/>
      <x:c r="E106" s="36"/>
      <x:c r="F106" s="36"/>
      <x:c r="G106" s="37"/>
      <x:c r="H106" s="37"/>
      <x:c r="I106" s="37"/>
      <x:c r="J106" s="38"/>
      <x:c r="K106" s="36"/>
      <x:c r="L106" s="36"/>
      <x:c r="M106" s="36"/>
      <x:c r="N106" s="36"/>
      <x:c r="O106" s="36"/>
      <x:c r="P106" s="75"/>
      <x:c r="Q106" s="63" t="str">
        <x:f>IF($A106="","",IF($O106="Sim",IFERROR($G106/MAX($P106,1),$G106),$G106))</x:f>
      </x:c>
      <x:c r="R106" s="36"/>
      <x:c r="S106" s="36"/>
    </x:row>
    <x:row r="107">
      <x:c r="A107" s="36"/>
      <x:c r="B107" s="59"/>
      <x:c r="C107" s="36"/>
      <x:c r="D107" s="36"/>
      <x:c r="E107" s="36"/>
      <x:c r="F107" s="36"/>
      <x:c r="G107" s="37"/>
      <x:c r="H107" s="37"/>
      <x:c r="I107" s="37"/>
      <x:c r="J107" s="38"/>
      <x:c r="K107" s="36"/>
      <x:c r="L107" s="36"/>
      <x:c r="M107" s="36"/>
      <x:c r="N107" s="36"/>
      <x:c r="O107" s="36"/>
      <x:c r="P107" s="75"/>
      <x:c r="Q107" s="63" t="str">
        <x:f>IF($A107="","",IF($O107="Sim",IFERROR($G107/MAX($P107,1),$G107),$G107))</x:f>
      </x:c>
      <x:c r="R107" s="36"/>
      <x:c r="S107" s="36"/>
    </x:row>
    <x:row r="108">
      <x:c r="A108" s="36"/>
      <x:c r="B108" s="59"/>
      <x:c r="C108" s="36"/>
      <x:c r="D108" s="36"/>
      <x:c r="E108" s="36"/>
      <x:c r="F108" s="36"/>
      <x:c r="G108" s="37"/>
      <x:c r="H108" s="37"/>
      <x:c r="I108" s="37"/>
      <x:c r="J108" s="38"/>
      <x:c r="K108" s="36"/>
      <x:c r="L108" s="36"/>
      <x:c r="M108" s="36"/>
      <x:c r="N108" s="36"/>
      <x:c r="O108" s="36"/>
      <x:c r="P108" s="75"/>
      <x:c r="Q108" s="63" t="str">
        <x:f>IF($A108="","",IF($O108="Sim",IFERROR($G108/MAX($P108,1),$G108),$G108))</x:f>
      </x:c>
      <x:c r="R108" s="36"/>
      <x:c r="S108" s="36"/>
    </x:row>
    <x:row r="109">
      <x:c r="A109" s="36"/>
      <x:c r="B109" s="59"/>
      <x:c r="C109" s="36"/>
      <x:c r="D109" s="36"/>
      <x:c r="E109" s="36"/>
      <x:c r="F109" s="36"/>
      <x:c r="G109" s="37"/>
      <x:c r="H109" s="37"/>
      <x:c r="I109" s="37"/>
      <x:c r="J109" s="38"/>
      <x:c r="K109" s="36"/>
      <x:c r="L109" s="36"/>
      <x:c r="M109" s="36"/>
      <x:c r="N109" s="36"/>
      <x:c r="O109" s="36"/>
      <x:c r="P109" s="75"/>
      <x:c r="Q109" s="63" t="str">
        <x:f>IF($A109="","",IF($O109="Sim",IFERROR($G109/MAX($P109,1),$G109),$G109))</x:f>
      </x:c>
      <x:c r="R109" s="36"/>
      <x:c r="S109" s="36"/>
    </x:row>
    <x:row r="110">
      <x:c r="A110" s="36"/>
      <x:c r="B110" s="59"/>
      <x:c r="C110" s="36"/>
      <x:c r="D110" s="36"/>
      <x:c r="E110" s="36"/>
      <x:c r="F110" s="36"/>
      <x:c r="G110" s="37"/>
      <x:c r="H110" s="37"/>
      <x:c r="I110" s="37"/>
      <x:c r="J110" s="38"/>
      <x:c r="K110" s="36"/>
      <x:c r="L110" s="36"/>
      <x:c r="M110" s="36"/>
      <x:c r="N110" s="36"/>
      <x:c r="O110" s="36"/>
      <x:c r="P110" s="75"/>
      <x:c r="Q110" s="63" t="str">
        <x:f>IF($A110="","",IF($O110="Sim",IFERROR($G110/MAX($P110,1),$G110),$G110))</x:f>
      </x:c>
      <x:c r="R110" s="36"/>
      <x:c r="S110" s="36"/>
    </x:row>
    <x:row r="111">
      <x:c r="A111" s="36"/>
      <x:c r="B111" s="59"/>
      <x:c r="C111" s="36"/>
      <x:c r="D111" s="36"/>
      <x:c r="E111" s="36"/>
      <x:c r="F111" s="36"/>
      <x:c r="G111" s="37"/>
      <x:c r="H111" s="37"/>
      <x:c r="I111" s="37"/>
      <x:c r="J111" s="38"/>
      <x:c r="K111" s="36"/>
      <x:c r="L111" s="36"/>
      <x:c r="M111" s="36"/>
      <x:c r="N111" s="36"/>
      <x:c r="O111" s="36"/>
      <x:c r="P111" s="75"/>
      <x:c r="Q111" s="63" t="str">
        <x:f>IF($A111="","",IF($O111="Sim",IFERROR($G111/MAX($P111,1),$G111),$G111))</x:f>
      </x:c>
      <x:c r="R111" s="36"/>
      <x:c r="S111" s="36"/>
    </x:row>
    <x:row r="112">
      <x:c r="A112" s="36"/>
      <x:c r="B112" s="59"/>
      <x:c r="C112" s="36"/>
      <x:c r="D112" s="36"/>
      <x:c r="E112" s="36"/>
      <x:c r="F112" s="36"/>
      <x:c r="G112" s="37"/>
      <x:c r="H112" s="37"/>
      <x:c r="I112" s="37"/>
      <x:c r="J112" s="38"/>
      <x:c r="K112" s="36"/>
      <x:c r="L112" s="36"/>
      <x:c r="M112" s="36"/>
      <x:c r="N112" s="36"/>
      <x:c r="O112" s="36"/>
      <x:c r="P112" s="75"/>
      <x:c r="Q112" s="63" t="str">
        <x:f>IF($A112="","",IF($O112="Sim",IFERROR($G112/MAX($P112,1),$G112),$G112))</x:f>
      </x:c>
      <x:c r="R112" s="36"/>
      <x:c r="S112" s="36"/>
    </x:row>
    <x:row r="113">
      <x:c r="A113" s="36"/>
      <x:c r="B113" s="59"/>
      <x:c r="C113" s="36"/>
      <x:c r="D113" s="36"/>
      <x:c r="E113" s="36"/>
      <x:c r="F113" s="36"/>
      <x:c r="G113" s="37"/>
      <x:c r="H113" s="37"/>
      <x:c r="I113" s="37"/>
      <x:c r="J113" s="38"/>
      <x:c r="K113" s="36"/>
      <x:c r="L113" s="36"/>
      <x:c r="M113" s="36"/>
      <x:c r="N113" s="36"/>
      <x:c r="O113" s="36"/>
      <x:c r="P113" s="75"/>
      <x:c r="Q113" s="63" t="str">
        <x:f>IF($A113="","",IF($O113="Sim",IFERROR($G113/MAX($P113,1),$G113),$G113))</x:f>
      </x:c>
      <x:c r="R113" s="36"/>
      <x:c r="S113" s="36"/>
    </x:row>
    <x:row r="114">
      <x:c r="A114" s="36"/>
      <x:c r="B114" s="59"/>
      <x:c r="C114" s="36"/>
      <x:c r="D114" s="36"/>
      <x:c r="E114" s="36"/>
      <x:c r="F114" s="36"/>
      <x:c r="G114" s="37"/>
      <x:c r="H114" s="37"/>
      <x:c r="I114" s="37"/>
      <x:c r="J114" s="38"/>
      <x:c r="K114" s="36"/>
      <x:c r="L114" s="36"/>
      <x:c r="M114" s="36"/>
      <x:c r="N114" s="36"/>
      <x:c r="O114" s="36"/>
      <x:c r="P114" s="75"/>
      <x:c r="Q114" s="63" t="str">
        <x:f>IF($A114="","",IF($O114="Sim",IFERROR($G114/MAX($P114,1),$G114),$G114))</x:f>
      </x:c>
      <x:c r="R114" s="36"/>
      <x:c r="S114" s="36"/>
    </x:row>
    <x:row r="115">
      <x:c r="A115" s="36"/>
      <x:c r="B115" s="59"/>
      <x:c r="C115" s="36"/>
      <x:c r="D115" s="36"/>
      <x:c r="E115" s="36"/>
      <x:c r="F115" s="36"/>
      <x:c r="G115" s="37"/>
      <x:c r="H115" s="37"/>
      <x:c r="I115" s="37"/>
      <x:c r="J115" s="38"/>
      <x:c r="K115" s="36"/>
      <x:c r="L115" s="36"/>
      <x:c r="M115" s="36"/>
      <x:c r="N115" s="36"/>
      <x:c r="O115" s="36"/>
      <x:c r="P115" s="75"/>
      <x:c r="Q115" s="63" t="str">
        <x:f>IF($A115="","",IF($O115="Sim",IFERROR($G115/MAX($P115,1),$G115),$G115))</x:f>
      </x:c>
      <x:c r="R115" s="36"/>
      <x:c r="S115" s="36"/>
    </x:row>
    <x:row r="116">
      <x:c r="A116" s="36"/>
      <x:c r="B116" s="59"/>
      <x:c r="C116" s="36"/>
      <x:c r="D116" s="36"/>
      <x:c r="E116" s="36"/>
      <x:c r="F116" s="36"/>
      <x:c r="G116" s="37"/>
      <x:c r="H116" s="37"/>
      <x:c r="I116" s="37"/>
      <x:c r="J116" s="38"/>
      <x:c r="K116" s="36"/>
      <x:c r="L116" s="36"/>
      <x:c r="M116" s="36"/>
      <x:c r="N116" s="36"/>
      <x:c r="O116" s="36"/>
      <x:c r="P116" s="75"/>
      <x:c r="Q116" s="63" t="str">
        <x:f>IF($A116="","",IF($O116="Sim",IFERROR($G116/MAX($P116,1),$G116),$G116))</x:f>
      </x:c>
      <x:c r="R116" s="36"/>
      <x:c r="S116" s="36"/>
    </x:row>
    <x:row r="117">
      <x:c r="A117" s="36"/>
      <x:c r="B117" s="59"/>
      <x:c r="C117" s="36"/>
      <x:c r="D117" s="36"/>
      <x:c r="E117" s="36"/>
      <x:c r="F117" s="36"/>
      <x:c r="G117" s="37"/>
      <x:c r="H117" s="37"/>
      <x:c r="I117" s="37"/>
      <x:c r="J117" s="38"/>
      <x:c r="K117" s="36"/>
      <x:c r="L117" s="36"/>
      <x:c r="M117" s="36"/>
      <x:c r="N117" s="36"/>
      <x:c r="O117" s="36"/>
      <x:c r="P117" s="75"/>
      <x:c r="Q117" s="63" t="str">
        <x:f>IF($A117="","",IF($O117="Sim",IFERROR($G117/MAX($P117,1),$G117),$G117))</x:f>
      </x:c>
      <x:c r="R117" s="36"/>
      <x:c r="S117" s="36"/>
    </x:row>
    <x:row r="118">
      <x:c r="A118" s="36"/>
      <x:c r="B118" s="59"/>
      <x:c r="C118" s="36"/>
      <x:c r="D118" s="36"/>
      <x:c r="E118" s="36"/>
      <x:c r="F118" s="36"/>
      <x:c r="G118" s="37"/>
      <x:c r="H118" s="37"/>
      <x:c r="I118" s="37"/>
      <x:c r="J118" s="38"/>
      <x:c r="K118" s="36"/>
      <x:c r="L118" s="36"/>
      <x:c r="M118" s="36"/>
      <x:c r="N118" s="36"/>
      <x:c r="O118" s="36"/>
      <x:c r="P118" s="75"/>
      <x:c r="Q118" s="63" t="str">
        <x:f>IF($A118="","",IF($O118="Sim",IFERROR($G118/MAX($P118,1),$G118),$G118))</x:f>
      </x:c>
      <x:c r="R118" s="36"/>
      <x:c r="S118" s="36"/>
    </x:row>
    <x:row r="119">
      <x:c r="A119" s="36"/>
      <x:c r="B119" s="59"/>
      <x:c r="C119" s="36"/>
      <x:c r="D119" s="36"/>
      <x:c r="E119" s="36"/>
      <x:c r="F119" s="36"/>
      <x:c r="G119" s="37"/>
      <x:c r="H119" s="37"/>
      <x:c r="I119" s="37"/>
      <x:c r="J119" s="38"/>
      <x:c r="K119" s="36"/>
      <x:c r="L119" s="36"/>
      <x:c r="M119" s="36"/>
      <x:c r="N119" s="36"/>
      <x:c r="O119" s="36"/>
      <x:c r="P119" s="75"/>
      <x:c r="Q119" s="63" t="str">
        <x:f>IF($A119="","",IF($O119="Sim",IFERROR($G119/MAX($P119,1),$G119),$G119))</x:f>
      </x:c>
      <x:c r="R119" s="36"/>
      <x:c r="S119" s="36"/>
    </x:row>
    <x:row r="120">
      <x:c r="A120" s="36"/>
      <x:c r="B120" s="59"/>
      <x:c r="C120" s="36"/>
      <x:c r="D120" s="36"/>
      <x:c r="E120" s="36"/>
      <x:c r="F120" s="36"/>
      <x:c r="G120" s="37"/>
      <x:c r="H120" s="37"/>
      <x:c r="I120" s="37"/>
      <x:c r="J120" s="38"/>
      <x:c r="K120" s="36"/>
      <x:c r="L120" s="36"/>
      <x:c r="M120" s="36"/>
      <x:c r="N120" s="36"/>
      <x:c r="O120" s="36"/>
      <x:c r="P120" s="75"/>
      <x:c r="Q120" s="63" t="str">
        <x:f>IF($A120="","",IF($O120="Sim",IFERROR($G120/MAX($P120,1),$G120),$G120))</x:f>
      </x:c>
      <x:c r="R120" s="36"/>
      <x:c r="S120" s="36"/>
    </x:row>
    <x:row r="121">
      <x:c r="A121" s="36"/>
      <x:c r="B121" s="59"/>
      <x:c r="C121" s="36"/>
      <x:c r="D121" s="36"/>
      <x:c r="E121" s="36"/>
      <x:c r="F121" s="36"/>
      <x:c r="G121" s="37"/>
      <x:c r="H121" s="37"/>
      <x:c r="I121" s="37"/>
      <x:c r="J121" s="38"/>
      <x:c r="K121" s="36"/>
      <x:c r="L121" s="36"/>
      <x:c r="M121" s="36"/>
      <x:c r="N121" s="36"/>
      <x:c r="O121" s="36"/>
      <x:c r="P121" s="75"/>
      <x:c r="Q121" s="63" t="str">
        <x:f>IF($A121="","",IF($O121="Sim",IFERROR($G121/MAX($P121,1),$G121),$G121))</x:f>
      </x:c>
      <x:c r="R121" s="36"/>
      <x:c r="S121" s="36"/>
    </x:row>
    <x:row r="122">
      <x:c r="A122" s="36"/>
      <x:c r="B122" s="59"/>
      <x:c r="C122" s="36"/>
      <x:c r="D122" s="36"/>
      <x:c r="E122" s="36"/>
      <x:c r="F122" s="36"/>
      <x:c r="G122" s="37"/>
      <x:c r="H122" s="37"/>
      <x:c r="I122" s="37"/>
      <x:c r="J122" s="38"/>
      <x:c r="K122" s="36"/>
      <x:c r="L122" s="36"/>
      <x:c r="M122" s="36"/>
      <x:c r="N122" s="36"/>
      <x:c r="O122" s="36"/>
      <x:c r="P122" s="75"/>
      <x:c r="Q122" s="63" t="str">
        <x:f>IF($A122="","",IF($O122="Sim",IFERROR($G122/MAX($P122,1),$G122),$G122))</x:f>
      </x:c>
      <x:c r="R122" s="36"/>
      <x:c r="S122" s="36"/>
    </x:row>
    <x:row r="123">
      <x:c r="A123" s="36"/>
      <x:c r="B123" s="59"/>
      <x:c r="C123" s="36"/>
      <x:c r="D123" s="36"/>
      <x:c r="E123" s="36"/>
      <x:c r="F123" s="36"/>
      <x:c r="G123" s="37"/>
      <x:c r="H123" s="37"/>
      <x:c r="I123" s="37"/>
      <x:c r="J123" s="38"/>
      <x:c r="K123" s="36"/>
      <x:c r="L123" s="36"/>
      <x:c r="M123" s="36"/>
      <x:c r="N123" s="36"/>
      <x:c r="O123" s="36"/>
      <x:c r="P123" s="75"/>
      <x:c r="Q123" s="63" t="str">
        <x:f>IF($A123="","",IF($O123="Sim",IFERROR($G123/MAX($P123,1),$G123),$G123))</x:f>
      </x:c>
      <x:c r="R123" s="36"/>
      <x:c r="S123" s="36"/>
    </x:row>
    <x:row r="124">
      <x:c r="A124" s="36"/>
      <x:c r="B124" s="59"/>
      <x:c r="C124" s="36"/>
      <x:c r="D124" s="36"/>
      <x:c r="E124" s="36"/>
      <x:c r="F124" s="36"/>
      <x:c r="G124" s="37"/>
      <x:c r="H124" s="37"/>
      <x:c r="I124" s="37"/>
      <x:c r="J124" s="38"/>
      <x:c r="K124" s="36"/>
      <x:c r="L124" s="36"/>
      <x:c r="M124" s="36"/>
      <x:c r="N124" s="36"/>
      <x:c r="O124" s="36"/>
      <x:c r="P124" s="75"/>
      <x:c r="Q124" s="63" t="str">
        <x:f>IF($A124="","",IF($O124="Sim",IFERROR($G124/MAX($P124,1),$G124),$G124))</x:f>
      </x:c>
      <x:c r="R124" s="36"/>
      <x:c r="S124" s="36"/>
    </x:row>
    <x:row r="125">
      <x:c r="A125" s="36"/>
      <x:c r="B125" s="59"/>
      <x:c r="C125" s="36"/>
      <x:c r="D125" s="36"/>
      <x:c r="E125" s="36"/>
      <x:c r="F125" s="36"/>
      <x:c r="G125" s="37"/>
      <x:c r="H125" s="37"/>
      <x:c r="I125" s="37"/>
      <x:c r="J125" s="38"/>
      <x:c r="K125" s="36"/>
      <x:c r="L125" s="36"/>
      <x:c r="M125" s="36"/>
      <x:c r="N125" s="36"/>
      <x:c r="O125" s="36"/>
      <x:c r="P125" s="75"/>
      <x:c r="Q125" s="63" t="str">
        <x:f>IF($A125="","",IF($O125="Sim",IFERROR($G125/MAX($P125,1),$G125),$G125))</x:f>
      </x:c>
      <x:c r="R125" s="36"/>
      <x:c r="S125" s="36"/>
    </x:row>
    <x:row r="126">
      <x:c r="A126" s="36"/>
      <x:c r="B126" s="59"/>
      <x:c r="C126" s="36"/>
      <x:c r="D126" s="36"/>
      <x:c r="E126" s="36"/>
      <x:c r="F126" s="36"/>
      <x:c r="G126" s="37"/>
      <x:c r="H126" s="37"/>
      <x:c r="I126" s="37"/>
      <x:c r="J126" s="38"/>
      <x:c r="K126" s="36"/>
      <x:c r="L126" s="36"/>
      <x:c r="M126" s="36"/>
      <x:c r="N126" s="36"/>
      <x:c r="O126" s="36"/>
      <x:c r="P126" s="75"/>
      <x:c r="Q126" s="63" t="str">
        <x:f>IF($A126="","",IF($O126="Sim",IFERROR($G126/MAX($P126,1),$G126),$G126))</x:f>
      </x:c>
      <x:c r="R126" s="36"/>
      <x:c r="S126" s="36"/>
    </x:row>
    <x:row r="127">
      <x:c r="A127" s="36"/>
      <x:c r="B127" s="59"/>
      <x:c r="C127" s="36"/>
      <x:c r="D127" s="36"/>
      <x:c r="E127" s="36"/>
      <x:c r="F127" s="36"/>
      <x:c r="G127" s="37"/>
      <x:c r="H127" s="37"/>
      <x:c r="I127" s="37"/>
      <x:c r="J127" s="38"/>
      <x:c r="K127" s="36"/>
      <x:c r="L127" s="36"/>
      <x:c r="M127" s="36"/>
      <x:c r="N127" s="36"/>
      <x:c r="O127" s="36"/>
      <x:c r="P127" s="75"/>
      <x:c r="Q127" s="63" t="str">
        <x:f>IF($A127="","",IF($O127="Sim",IFERROR($G127/MAX($P127,1),$G127),$G127))</x:f>
      </x:c>
      <x:c r="R127" s="36"/>
      <x:c r="S127" s="36"/>
    </x:row>
    <x:row r="128">
      <x:c r="A128" s="36"/>
      <x:c r="B128" s="59"/>
      <x:c r="C128" s="36"/>
      <x:c r="D128" s="36"/>
      <x:c r="E128" s="36"/>
      <x:c r="F128" s="36"/>
      <x:c r="G128" s="37"/>
      <x:c r="H128" s="37"/>
      <x:c r="I128" s="37"/>
      <x:c r="J128" s="38"/>
      <x:c r="K128" s="36"/>
      <x:c r="L128" s="36"/>
      <x:c r="M128" s="36"/>
      <x:c r="N128" s="36"/>
      <x:c r="O128" s="36"/>
      <x:c r="P128" s="75"/>
      <x:c r="Q128" s="63" t="str">
        <x:f>IF($A128="","",IF($O128="Sim",IFERROR($G128/MAX($P128,1),$G128),$G128))</x:f>
      </x:c>
      <x:c r="R128" s="36"/>
      <x:c r="S128" s="36"/>
    </x:row>
    <x:row r="129">
      <x:c r="A129" s="36"/>
      <x:c r="B129" s="59"/>
      <x:c r="C129" s="36"/>
      <x:c r="D129" s="36"/>
      <x:c r="E129" s="36"/>
      <x:c r="F129" s="36"/>
      <x:c r="G129" s="37"/>
      <x:c r="H129" s="37"/>
      <x:c r="I129" s="37"/>
      <x:c r="J129" s="38"/>
      <x:c r="K129" s="36"/>
      <x:c r="L129" s="36"/>
      <x:c r="M129" s="36"/>
      <x:c r="N129" s="36"/>
      <x:c r="O129" s="36"/>
      <x:c r="P129" s="75"/>
      <x:c r="Q129" s="63" t="str">
        <x:f>IF($A129="","",IF($O129="Sim",IFERROR($G129/MAX($P129,1),$G129),$G129))</x:f>
      </x:c>
      <x:c r="R129" s="36"/>
      <x:c r="S129" s="36"/>
    </x:row>
    <x:row r="130">
      <x:c r="A130" s="36"/>
      <x:c r="B130" s="59"/>
      <x:c r="C130" s="36"/>
      <x:c r="D130" s="36"/>
      <x:c r="E130" s="36"/>
      <x:c r="F130" s="36"/>
      <x:c r="G130" s="37"/>
      <x:c r="H130" s="37"/>
      <x:c r="I130" s="37"/>
      <x:c r="J130" s="38"/>
      <x:c r="K130" s="36"/>
      <x:c r="L130" s="36"/>
      <x:c r="M130" s="36"/>
      <x:c r="N130" s="36"/>
      <x:c r="O130" s="36"/>
      <x:c r="P130" s="75"/>
      <x:c r="Q130" s="63" t="str">
        <x:f>IF($A130="","",IF($O130="Sim",IFERROR($G130/MAX($P130,1),$G130),$G130))</x:f>
      </x:c>
      <x:c r="R130" s="36"/>
      <x:c r="S130" s="36"/>
    </x:row>
    <x:row r="131">
      <x:c r="A131" s="36"/>
      <x:c r="B131" s="59"/>
      <x:c r="C131" s="36"/>
      <x:c r="D131" s="36"/>
      <x:c r="E131" s="36"/>
      <x:c r="F131" s="36"/>
      <x:c r="G131" s="37"/>
      <x:c r="H131" s="37"/>
      <x:c r="I131" s="37"/>
      <x:c r="J131" s="38"/>
      <x:c r="K131" s="36"/>
      <x:c r="L131" s="36"/>
      <x:c r="M131" s="36"/>
      <x:c r="N131" s="36"/>
      <x:c r="O131" s="36"/>
      <x:c r="P131" s="75"/>
      <x:c r="Q131" s="63" t="str">
        <x:f>IF($A131="","",IF($O131="Sim",IFERROR($G131/MAX($P131,1),$G131),$G131))</x:f>
      </x:c>
      <x:c r="R131" s="36"/>
      <x:c r="S131" s="36"/>
    </x:row>
    <x:row r="132">
      <x:c r="A132" s="36"/>
      <x:c r="B132" s="59"/>
      <x:c r="C132" s="36"/>
      <x:c r="D132" s="36"/>
      <x:c r="E132" s="36"/>
      <x:c r="F132" s="36"/>
      <x:c r="G132" s="37"/>
      <x:c r="H132" s="37"/>
      <x:c r="I132" s="37"/>
      <x:c r="J132" s="38"/>
      <x:c r="K132" s="36"/>
      <x:c r="L132" s="36"/>
      <x:c r="M132" s="36"/>
      <x:c r="N132" s="36"/>
      <x:c r="O132" s="36"/>
      <x:c r="P132" s="75"/>
      <x:c r="Q132" s="63" t="str">
        <x:f>IF($A132="","",IF($O132="Sim",IFERROR($G132/MAX($P132,1),$G132),$G132))</x:f>
      </x:c>
      <x:c r="R132" s="36"/>
      <x:c r="S132" s="36"/>
    </x:row>
    <x:row r="133">
      <x:c r="A133" s="36"/>
      <x:c r="B133" s="59"/>
      <x:c r="C133" s="36"/>
      <x:c r="D133" s="36"/>
      <x:c r="E133" s="36"/>
      <x:c r="F133" s="36"/>
      <x:c r="G133" s="37"/>
      <x:c r="H133" s="37"/>
      <x:c r="I133" s="37"/>
      <x:c r="J133" s="38"/>
      <x:c r="K133" s="36"/>
      <x:c r="L133" s="36"/>
      <x:c r="M133" s="36"/>
      <x:c r="N133" s="36"/>
      <x:c r="O133" s="36"/>
      <x:c r="P133" s="75"/>
      <x:c r="Q133" s="63" t="str">
        <x:f>IF($A133="","",IF($O133="Sim",IFERROR($G133/MAX($P133,1),$G133),$G133))</x:f>
      </x:c>
      <x:c r="R133" s="36"/>
      <x:c r="S133" s="36"/>
    </x:row>
    <x:row r="134">
      <x:c r="A134" s="36"/>
      <x:c r="B134" s="59"/>
      <x:c r="C134" s="36"/>
      <x:c r="D134" s="36"/>
      <x:c r="E134" s="36"/>
      <x:c r="F134" s="36"/>
      <x:c r="G134" s="37"/>
      <x:c r="H134" s="37"/>
      <x:c r="I134" s="37"/>
      <x:c r="J134" s="38"/>
      <x:c r="K134" s="36"/>
      <x:c r="L134" s="36"/>
      <x:c r="M134" s="36"/>
      <x:c r="N134" s="36"/>
      <x:c r="O134" s="36"/>
      <x:c r="P134" s="75"/>
      <x:c r="Q134" s="63" t="str">
        <x:f>IF($A134="","",IF($O134="Sim",IFERROR($G134/MAX($P134,1),$G134),$G134))</x:f>
      </x:c>
      <x:c r="R134" s="36"/>
      <x:c r="S134" s="36"/>
    </x:row>
    <x:row r="135">
      <x:c r="A135" s="36"/>
      <x:c r="B135" s="59"/>
      <x:c r="C135" s="36"/>
      <x:c r="D135" s="36"/>
      <x:c r="E135" s="36"/>
      <x:c r="F135" s="36"/>
      <x:c r="G135" s="37"/>
      <x:c r="H135" s="37"/>
      <x:c r="I135" s="37"/>
      <x:c r="J135" s="38"/>
      <x:c r="K135" s="36"/>
      <x:c r="L135" s="36"/>
      <x:c r="M135" s="36"/>
      <x:c r="N135" s="36"/>
      <x:c r="O135" s="36"/>
      <x:c r="P135" s="75"/>
      <x:c r="Q135" s="63" t="str">
        <x:f>IF($A135="","",IF($O135="Sim",IFERROR($G135/MAX($P135,1),$G135),$G135))</x:f>
      </x:c>
      <x:c r="R135" s="36"/>
      <x:c r="S135" s="36"/>
    </x:row>
    <x:row r="136">
      <x:c r="A136" s="36"/>
      <x:c r="B136" s="59"/>
      <x:c r="C136" s="36"/>
      <x:c r="D136" s="36"/>
      <x:c r="E136" s="36"/>
      <x:c r="F136" s="36"/>
      <x:c r="G136" s="37"/>
      <x:c r="H136" s="37"/>
      <x:c r="I136" s="37"/>
      <x:c r="J136" s="38"/>
      <x:c r="K136" s="36"/>
      <x:c r="L136" s="36"/>
      <x:c r="M136" s="36"/>
      <x:c r="N136" s="36"/>
      <x:c r="O136" s="36"/>
      <x:c r="P136" s="75"/>
      <x:c r="Q136" s="63" t="str">
        <x:f>IF($A136="","",IF($O136="Sim",IFERROR($G136/MAX($P136,1),$G136),$G136))</x:f>
      </x:c>
      <x:c r="R136" s="36"/>
      <x:c r="S136" s="36"/>
    </x:row>
    <x:row r="137">
      <x:c r="A137" s="36"/>
      <x:c r="B137" s="59"/>
      <x:c r="C137" s="36"/>
      <x:c r="D137" s="36"/>
      <x:c r="E137" s="36"/>
      <x:c r="F137" s="36"/>
      <x:c r="G137" s="37"/>
      <x:c r="H137" s="37"/>
      <x:c r="I137" s="37"/>
      <x:c r="J137" s="38"/>
      <x:c r="K137" s="36"/>
      <x:c r="L137" s="36"/>
      <x:c r="M137" s="36"/>
      <x:c r="N137" s="36"/>
      <x:c r="O137" s="36"/>
      <x:c r="P137" s="75"/>
      <x:c r="Q137" s="63" t="str">
        <x:f>IF($A137="","",IF($O137="Sim",IFERROR($G137/MAX($P137,1),$G137),$G137))</x:f>
      </x:c>
      <x:c r="R137" s="36"/>
      <x:c r="S137" s="36"/>
    </x:row>
    <x:row r="138">
      <x:c r="A138" s="36"/>
      <x:c r="B138" s="59"/>
      <x:c r="C138" s="36"/>
      <x:c r="D138" s="36"/>
      <x:c r="E138" s="36"/>
      <x:c r="F138" s="36"/>
      <x:c r="G138" s="37"/>
      <x:c r="H138" s="37"/>
      <x:c r="I138" s="37"/>
      <x:c r="J138" s="38"/>
      <x:c r="K138" s="36"/>
      <x:c r="L138" s="36"/>
      <x:c r="M138" s="36"/>
      <x:c r="N138" s="36"/>
      <x:c r="O138" s="36"/>
      <x:c r="P138" s="75"/>
      <x:c r="Q138" s="63" t="str">
        <x:f>IF($A138="","",IF($O138="Sim",IFERROR($G138/MAX($P138,1),$G138),$G138))</x:f>
      </x:c>
      <x:c r="R138" s="36"/>
      <x:c r="S138" s="36"/>
    </x:row>
    <x:row r="139">
      <x:c r="A139" s="36"/>
      <x:c r="B139" s="59"/>
      <x:c r="C139" s="36"/>
      <x:c r="D139" s="36"/>
      <x:c r="E139" s="36"/>
      <x:c r="F139" s="36"/>
      <x:c r="G139" s="37"/>
      <x:c r="H139" s="37"/>
      <x:c r="I139" s="37"/>
      <x:c r="J139" s="38"/>
      <x:c r="K139" s="36"/>
      <x:c r="L139" s="36"/>
      <x:c r="M139" s="36"/>
      <x:c r="N139" s="36"/>
      <x:c r="O139" s="36"/>
      <x:c r="P139" s="75"/>
      <x:c r="Q139" s="63" t="str">
        <x:f>IF($A139="","",IF($O139="Sim",IFERROR($G139/MAX($P139,1),$G139),$G139))</x:f>
      </x:c>
      <x:c r="R139" s="36"/>
      <x:c r="S139" s="36"/>
    </x:row>
    <x:row r="140">
      <x:c r="A140" s="36"/>
      <x:c r="B140" s="59"/>
      <x:c r="C140" s="36"/>
      <x:c r="D140" s="36"/>
      <x:c r="E140" s="36"/>
      <x:c r="F140" s="36"/>
      <x:c r="G140" s="37"/>
      <x:c r="H140" s="37"/>
      <x:c r="I140" s="37"/>
      <x:c r="J140" s="38"/>
      <x:c r="K140" s="36"/>
      <x:c r="L140" s="36"/>
      <x:c r="M140" s="36"/>
      <x:c r="N140" s="36"/>
      <x:c r="O140" s="36"/>
      <x:c r="P140" s="75"/>
      <x:c r="Q140" s="63" t="str">
        <x:f>IF($A140="","",IF($O140="Sim",IFERROR($G140/MAX($P140,1),$G140),$G140))</x:f>
      </x:c>
      <x:c r="R140" s="36"/>
      <x:c r="S140" s="36"/>
    </x:row>
    <x:row r="141">
      <x:c r="A141" s="36"/>
      <x:c r="B141" s="59"/>
      <x:c r="C141" s="36"/>
      <x:c r="D141" s="36"/>
      <x:c r="E141" s="36"/>
      <x:c r="F141" s="36"/>
      <x:c r="G141" s="37"/>
      <x:c r="H141" s="37"/>
      <x:c r="I141" s="37"/>
      <x:c r="J141" s="38"/>
      <x:c r="K141" s="36"/>
      <x:c r="L141" s="36"/>
      <x:c r="M141" s="36"/>
      <x:c r="N141" s="36"/>
      <x:c r="O141" s="36"/>
      <x:c r="P141" s="75"/>
      <x:c r="Q141" s="63" t="str">
        <x:f>IF($A141="","",IF($O141="Sim",IFERROR($G141/MAX($P141,1),$G141),$G141))</x:f>
      </x:c>
      <x:c r="R141" s="36"/>
      <x:c r="S141" s="36"/>
    </x:row>
    <x:row r="142">
      <x:c r="A142" s="36"/>
      <x:c r="B142" s="59"/>
      <x:c r="C142" s="36"/>
      <x:c r="D142" s="36"/>
      <x:c r="E142" s="36"/>
      <x:c r="F142" s="36"/>
      <x:c r="G142" s="37"/>
      <x:c r="H142" s="37"/>
      <x:c r="I142" s="37"/>
      <x:c r="J142" s="38"/>
      <x:c r="K142" s="36"/>
      <x:c r="L142" s="36"/>
      <x:c r="M142" s="36"/>
      <x:c r="N142" s="36"/>
      <x:c r="O142" s="36"/>
      <x:c r="P142" s="75"/>
      <x:c r="Q142" s="63" t="str">
        <x:f>IF($A142="","",IF($O142="Sim",IFERROR($G142/MAX($P142,1),$G142),$G142))</x:f>
      </x:c>
      <x:c r="R142" s="36"/>
      <x:c r="S142" s="36"/>
    </x:row>
    <x:row r="143">
      <x:c r="A143" s="36"/>
      <x:c r="B143" s="59"/>
      <x:c r="C143" s="36"/>
      <x:c r="D143" s="36"/>
      <x:c r="E143" s="36"/>
      <x:c r="F143" s="36"/>
      <x:c r="G143" s="37"/>
      <x:c r="H143" s="37"/>
      <x:c r="I143" s="37"/>
      <x:c r="J143" s="38"/>
      <x:c r="K143" s="36"/>
      <x:c r="L143" s="36"/>
      <x:c r="M143" s="36"/>
      <x:c r="N143" s="36"/>
      <x:c r="O143" s="36"/>
      <x:c r="P143" s="75"/>
      <x:c r="Q143" s="63" t="str">
        <x:f>IF($A143="","",IF($O143="Sim",IFERROR($G143/MAX($P143,1),$G143),$G143))</x:f>
      </x:c>
      <x:c r="R143" s="36"/>
      <x:c r="S143" s="36"/>
    </x:row>
    <x:row r="144">
      <x:c r="A144" s="36"/>
      <x:c r="B144" s="59"/>
      <x:c r="C144" s="36"/>
      <x:c r="D144" s="36"/>
      <x:c r="E144" s="36"/>
      <x:c r="F144" s="36"/>
      <x:c r="G144" s="37"/>
      <x:c r="H144" s="37"/>
      <x:c r="I144" s="37"/>
      <x:c r="J144" s="38"/>
      <x:c r="K144" s="36"/>
      <x:c r="L144" s="36"/>
      <x:c r="M144" s="36"/>
      <x:c r="N144" s="36"/>
      <x:c r="O144" s="36"/>
      <x:c r="P144" s="75"/>
      <x:c r="Q144" s="63" t="str">
        <x:f>IF($A144="","",IF($O144="Sim",IFERROR($G144/MAX($P144,1),$G144),$G144))</x:f>
      </x:c>
      <x:c r="R144" s="36"/>
      <x:c r="S144" s="36"/>
    </x:row>
    <x:row r="145">
      <x:c r="A145" s="36"/>
      <x:c r="B145" s="59"/>
      <x:c r="C145" s="36"/>
      <x:c r="D145" s="36"/>
      <x:c r="E145" s="36"/>
      <x:c r="F145" s="36"/>
      <x:c r="G145" s="37"/>
      <x:c r="H145" s="37"/>
      <x:c r="I145" s="37"/>
      <x:c r="J145" s="38"/>
      <x:c r="K145" s="36"/>
      <x:c r="L145" s="36"/>
      <x:c r="M145" s="36"/>
      <x:c r="N145" s="36"/>
      <x:c r="O145" s="36"/>
      <x:c r="P145" s="75"/>
      <x:c r="Q145" s="63" t="str">
        <x:f>IF($A145="","",IF($O145="Sim",IFERROR($G145/MAX($P145,1),$G145),$G145))</x:f>
      </x:c>
      <x:c r="R145" s="36"/>
      <x:c r="S145" s="36"/>
    </x:row>
    <x:row r="146">
      <x:c r="A146" s="36"/>
      <x:c r="B146" s="59"/>
      <x:c r="C146" s="36"/>
      <x:c r="D146" s="36"/>
      <x:c r="E146" s="36"/>
      <x:c r="F146" s="36"/>
      <x:c r="G146" s="37"/>
      <x:c r="H146" s="37"/>
      <x:c r="I146" s="37"/>
      <x:c r="J146" s="38"/>
      <x:c r="K146" s="36"/>
      <x:c r="L146" s="36"/>
      <x:c r="M146" s="36"/>
      <x:c r="N146" s="36"/>
      <x:c r="O146" s="36"/>
      <x:c r="P146" s="75"/>
      <x:c r="Q146" s="63" t="str">
        <x:f>IF($A146="","",IF($O146="Sim",IFERROR($G146/MAX($P146,1),$G146),$G146))</x:f>
      </x:c>
      <x:c r="R146" s="36"/>
      <x:c r="S146" s="36"/>
    </x:row>
    <x:row r="147">
      <x:c r="A147" s="36"/>
      <x:c r="B147" s="59"/>
      <x:c r="C147" s="36"/>
      <x:c r="D147" s="36"/>
      <x:c r="E147" s="36"/>
      <x:c r="F147" s="36"/>
      <x:c r="G147" s="37"/>
      <x:c r="H147" s="37"/>
      <x:c r="I147" s="37"/>
      <x:c r="J147" s="38"/>
      <x:c r="K147" s="36"/>
      <x:c r="L147" s="36"/>
      <x:c r="M147" s="36"/>
      <x:c r="N147" s="36"/>
      <x:c r="O147" s="36"/>
      <x:c r="P147" s="75"/>
      <x:c r="Q147" s="63" t="str">
        <x:f>IF($A147="","",IF($O147="Sim",IFERROR($G147/MAX($P147,1),$G147),$G147))</x:f>
      </x:c>
      <x:c r="R147" s="36"/>
      <x:c r="S147" s="36"/>
    </x:row>
    <x:row r="148">
      <x:c r="A148" s="36"/>
      <x:c r="B148" s="59"/>
      <x:c r="C148" s="36"/>
      <x:c r="D148" s="36"/>
      <x:c r="E148" s="36"/>
      <x:c r="F148" s="36"/>
      <x:c r="G148" s="37"/>
      <x:c r="H148" s="37"/>
      <x:c r="I148" s="37"/>
      <x:c r="J148" s="38"/>
      <x:c r="K148" s="36"/>
      <x:c r="L148" s="36"/>
      <x:c r="M148" s="36"/>
      <x:c r="N148" s="36"/>
      <x:c r="O148" s="36"/>
      <x:c r="P148" s="75"/>
      <x:c r="Q148" s="63" t="str">
        <x:f>IF($A148="","",IF($O148="Sim",IFERROR($G148/MAX($P148,1),$G148),$G148))</x:f>
      </x:c>
      <x:c r="R148" s="36"/>
      <x:c r="S148" s="36"/>
    </x:row>
    <x:row r="149">
      <x:c r="A149" s="36"/>
      <x:c r="B149" s="59"/>
      <x:c r="C149" s="36"/>
      <x:c r="D149" s="36"/>
      <x:c r="E149" s="36"/>
      <x:c r="F149" s="36"/>
      <x:c r="G149" s="37"/>
      <x:c r="H149" s="37"/>
      <x:c r="I149" s="37"/>
      <x:c r="J149" s="38"/>
      <x:c r="K149" s="36"/>
      <x:c r="L149" s="36"/>
      <x:c r="M149" s="36"/>
      <x:c r="N149" s="36"/>
      <x:c r="O149" s="36"/>
      <x:c r="P149" s="75"/>
      <x:c r="Q149" s="63" t="str">
        <x:f>IF($A149="","",IF($O149="Sim",IFERROR($G149/MAX($P149,1),$G149),$G149))</x:f>
      </x:c>
      <x:c r="R149" s="36"/>
      <x:c r="S149" s="36"/>
    </x:row>
    <x:row r="150">
      <x:c r="A150" s="36"/>
      <x:c r="B150" s="59"/>
      <x:c r="C150" s="36"/>
      <x:c r="D150" s="36"/>
      <x:c r="E150" s="36"/>
      <x:c r="F150" s="36"/>
      <x:c r="G150" s="37"/>
      <x:c r="H150" s="37"/>
      <x:c r="I150" s="37"/>
      <x:c r="J150" s="38"/>
      <x:c r="K150" s="36"/>
      <x:c r="L150" s="36"/>
      <x:c r="M150" s="36"/>
      <x:c r="N150" s="36"/>
      <x:c r="O150" s="36"/>
      <x:c r="P150" s="75"/>
      <x:c r="Q150" s="63" t="str">
        <x:f>IF($A150="","",IF($O150="Sim",IFERROR($G150/MAX($P150,1),$G150),$G150))</x:f>
      </x:c>
      <x:c r="R150" s="36"/>
      <x:c r="S150" s="36"/>
    </x:row>
    <x:row r="151">
      <x:c r="A151" s="36"/>
      <x:c r="B151" s="59"/>
      <x:c r="C151" s="36"/>
      <x:c r="D151" s="36"/>
      <x:c r="E151" s="36"/>
      <x:c r="F151" s="36"/>
      <x:c r="G151" s="37"/>
      <x:c r="H151" s="37"/>
      <x:c r="I151" s="37"/>
      <x:c r="J151" s="38"/>
      <x:c r="K151" s="36"/>
      <x:c r="L151" s="36"/>
      <x:c r="M151" s="36"/>
      <x:c r="N151" s="36"/>
      <x:c r="O151" s="36"/>
      <x:c r="P151" s="75"/>
      <x:c r="Q151" s="63" t="str">
        <x:f>IF($A151="","",IF($O151="Sim",IFERROR($G151/MAX($P151,1),$G151),$G151))</x:f>
      </x:c>
      <x:c r="R151" s="36"/>
      <x:c r="S151" s="36"/>
    </x:row>
    <x:row r="152">
      <x:c r="A152" s="36"/>
      <x:c r="B152" s="59"/>
      <x:c r="C152" s="36"/>
      <x:c r="D152" s="36"/>
      <x:c r="E152" s="36"/>
      <x:c r="F152" s="36"/>
      <x:c r="G152" s="37"/>
      <x:c r="H152" s="37"/>
      <x:c r="I152" s="37"/>
      <x:c r="J152" s="38"/>
      <x:c r="K152" s="36"/>
      <x:c r="L152" s="36"/>
      <x:c r="M152" s="36"/>
      <x:c r="N152" s="36"/>
      <x:c r="O152" s="36"/>
      <x:c r="P152" s="75"/>
      <x:c r="Q152" s="63" t="str">
        <x:f>IF($A152="","",IF($O152="Sim",IFERROR($G152/MAX($P152,1),$G152),$G152))</x:f>
      </x:c>
      <x:c r="R152" s="36"/>
      <x:c r="S152" s="36"/>
    </x:row>
    <x:row r="153">
      <x:c r="A153" s="36"/>
      <x:c r="B153" s="59"/>
      <x:c r="C153" s="36"/>
      <x:c r="D153" s="36"/>
      <x:c r="E153" s="36"/>
      <x:c r="F153" s="36"/>
      <x:c r="G153" s="37"/>
      <x:c r="H153" s="37"/>
      <x:c r="I153" s="37"/>
      <x:c r="J153" s="38"/>
      <x:c r="K153" s="36"/>
      <x:c r="L153" s="36"/>
      <x:c r="M153" s="36"/>
      <x:c r="N153" s="36"/>
      <x:c r="O153" s="36"/>
      <x:c r="P153" s="75"/>
      <x:c r="Q153" s="63" t="str">
        <x:f>IF($A153="","",IF($O153="Sim",IFERROR($G153/MAX($P153,1),$G153),$G153))</x:f>
      </x:c>
      <x:c r="R153" s="36"/>
      <x:c r="S153" s="36"/>
    </x:row>
    <x:row r="154">
      <x:c r="A154" s="36"/>
      <x:c r="B154" s="59"/>
      <x:c r="C154" s="36"/>
      <x:c r="D154" s="36"/>
      <x:c r="E154" s="36"/>
      <x:c r="F154" s="36"/>
      <x:c r="G154" s="37"/>
      <x:c r="H154" s="37"/>
      <x:c r="I154" s="37"/>
      <x:c r="J154" s="38"/>
      <x:c r="K154" s="36"/>
      <x:c r="L154" s="36"/>
      <x:c r="M154" s="36"/>
      <x:c r="N154" s="36"/>
      <x:c r="O154" s="36"/>
      <x:c r="P154" s="75"/>
      <x:c r="Q154" s="63" t="str">
        <x:f>IF($A154="","",IF($O154="Sim",IFERROR($G154/MAX($P154,1),$G154),$G154))</x:f>
      </x:c>
      <x:c r="R154" s="36"/>
      <x:c r="S154" s="36"/>
    </x:row>
    <x:row r="155">
      <x:c r="A155" s="36"/>
      <x:c r="B155" s="59"/>
      <x:c r="C155" s="36"/>
      <x:c r="D155" s="36"/>
      <x:c r="E155" s="36"/>
      <x:c r="F155" s="36"/>
      <x:c r="G155" s="37"/>
      <x:c r="H155" s="37"/>
      <x:c r="I155" s="37"/>
      <x:c r="J155" s="38"/>
      <x:c r="K155" s="36"/>
      <x:c r="L155" s="36"/>
      <x:c r="M155" s="36"/>
      <x:c r="N155" s="36"/>
      <x:c r="O155" s="36"/>
      <x:c r="P155" s="75"/>
      <x:c r="Q155" s="63" t="str">
        <x:f>IF($A155="","",IF($O155="Sim",IFERROR($G155/MAX($P155,1),$G155),$G155))</x:f>
      </x:c>
      <x:c r="R155" s="36"/>
      <x:c r="S155" s="36"/>
    </x:row>
    <x:row r="156">
      <x:c r="A156" s="36"/>
      <x:c r="B156" s="59"/>
      <x:c r="C156" s="36"/>
      <x:c r="D156" s="36"/>
      <x:c r="E156" s="36"/>
      <x:c r="F156" s="36"/>
      <x:c r="G156" s="37"/>
      <x:c r="H156" s="37"/>
      <x:c r="I156" s="37"/>
      <x:c r="J156" s="38"/>
      <x:c r="K156" s="36"/>
      <x:c r="L156" s="36"/>
      <x:c r="M156" s="36"/>
      <x:c r="N156" s="36"/>
      <x:c r="O156" s="36"/>
      <x:c r="P156" s="75"/>
      <x:c r="Q156" s="63" t="str">
        <x:f>IF($A156="","",IF($O156="Sim",IFERROR($G156/MAX($P156,1),$G156),$G156))</x:f>
      </x:c>
      <x:c r="R156" s="36"/>
      <x:c r="S156" s="36"/>
    </x:row>
    <x:row r="157">
      <x:c r="A157" s="36"/>
      <x:c r="B157" s="59"/>
      <x:c r="C157" s="36"/>
      <x:c r="D157" s="36"/>
      <x:c r="E157" s="36"/>
      <x:c r="F157" s="36"/>
      <x:c r="G157" s="37"/>
      <x:c r="H157" s="37"/>
      <x:c r="I157" s="37"/>
      <x:c r="J157" s="38"/>
      <x:c r="K157" s="36"/>
      <x:c r="L157" s="36"/>
      <x:c r="M157" s="36"/>
      <x:c r="N157" s="36"/>
      <x:c r="O157" s="36"/>
      <x:c r="P157" s="75"/>
      <x:c r="Q157" s="63" t="str">
        <x:f>IF($A157="","",IF($O157="Sim",IFERROR($G157/MAX($P157,1),$G157),$G157))</x:f>
      </x:c>
      <x:c r="R157" s="36"/>
      <x:c r="S157" s="36"/>
    </x:row>
    <x:row r="158">
      <x:c r="A158" s="36"/>
      <x:c r="B158" s="59"/>
      <x:c r="C158" s="36"/>
      <x:c r="D158" s="36"/>
      <x:c r="E158" s="36"/>
      <x:c r="F158" s="36"/>
      <x:c r="G158" s="37"/>
      <x:c r="H158" s="37"/>
      <x:c r="I158" s="37"/>
      <x:c r="J158" s="38"/>
      <x:c r="K158" s="36"/>
      <x:c r="L158" s="36"/>
      <x:c r="M158" s="36"/>
      <x:c r="N158" s="36"/>
      <x:c r="O158" s="36"/>
      <x:c r="P158" s="75"/>
      <x:c r="Q158" s="63" t="str">
        <x:f>IF($A158="","",IF($O158="Sim",IFERROR($G158/MAX($P158,1),$G158),$G158))</x:f>
      </x:c>
      <x:c r="R158" s="36"/>
      <x:c r="S158" s="36"/>
    </x:row>
    <x:row r="159">
      <x:c r="A159" s="36"/>
      <x:c r="B159" s="59"/>
      <x:c r="C159" s="36"/>
      <x:c r="D159" s="36"/>
      <x:c r="E159" s="36"/>
      <x:c r="F159" s="36"/>
      <x:c r="G159" s="37"/>
      <x:c r="H159" s="37"/>
      <x:c r="I159" s="37"/>
      <x:c r="J159" s="38"/>
      <x:c r="K159" s="36"/>
      <x:c r="L159" s="36"/>
      <x:c r="M159" s="36"/>
      <x:c r="N159" s="36"/>
      <x:c r="O159" s="36"/>
      <x:c r="P159" s="75"/>
      <x:c r="Q159" s="63" t="str">
        <x:f>IF($A159="","",IF($O159="Sim",IFERROR($G159/MAX($P159,1),$G159),$G159))</x:f>
      </x:c>
      <x:c r="R159" s="36"/>
      <x:c r="S159" s="36"/>
    </x:row>
    <x:row r="160">
      <x:c r="A160" s="36"/>
      <x:c r="B160" s="59"/>
      <x:c r="C160" s="36"/>
      <x:c r="D160" s="36"/>
      <x:c r="E160" s="36"/>
      <x:c r="F160" s="36"/>
      <x:c r="G160" s="37"/>
      <x:c r="H160" s="37"/>
      <x:c r="I160" s="37"/>
      <x:c r="J160" s="38"/>
      <x:c r="K160" s="36"/>
      <x:c r="L160" s="36"/>
      <x:c r="M160" s="36"/>
      <x:c r="N160" s="36"/>
      <x:c r="O160" s="36"/>
      <x:c r="P160" s="75"/>
      <x:c r="Q160" s="63" t="str">
        <x:f>IF($A160="","",IF($O160="Sim",IFERROR($G160/MAX($P160,1),$G160),$G160))</x:f>
      </x:c>
      <x:c r="R160" s="36"/>
      <x:c r="S160" s="36"/>
    </x:row>
    <x:row r="161">
      <x:c r="A161" s="36"/>
      <x:c r="B161" s="59"/>
      <x:c r="C161" s="36"/>
      <x:c r="D161" s="36"/>
      <x:c r="E161" s="36"/>
      <x:c r="F161" s="36"/>
      <x:c r="G161" s="37"/>
      <x:c r="H161" s="37"/>
      <x:c r="I161" s="37"/>
      <x:c r="J161" s="38"/>
      <x:c r="K161" s="36"/>
      <x:c r="L161" s="36"/>
      <x:c r="M161" s="36"/>
      <x:c r="N161" s="36"/>
      <x:c r="O161" s="36"/>
      <x:c r="P161" s="75"/>
      <x:c r="Q161" s="63" t="str">
        <x:f>IF($A161="","",IF($O161="Sim",IFERROR($G161/MAX($P161,1),$G161),$G161))</x:f>
      </x:c>
      <x:c r="R161" s="36"/>
      <x:c r="S161" s="36"/>
    </x:row>
    <x:row r="162">
      <x:c r="A162" s="36"/>
      <x:c r="B162" s="59"/>
      <x:c r="C162" s="36"/>
      <x:c r="D162" s="36"/>
      <x:c r="E162" s="36"/>
      <x:c r="F162" s="36"/>
      <x:c r="G162" s="37"/>
      <x:c r="H162" s="37"/>
      <x:c r="I162" s="37"/>
      <x:c r="J162" s="38"/>
      <x:c r="K162" s="36"/>
      <x:c r="L162" s="36"/>
      <x:c r="M162" s="36"/>
      <x:c r="N162" s="36"/>
      <x:c r="O162" s="36"/>
      <x:c r="P162" s="75"/>
      <x:c r="Q162" s="63" t="str">
        <x:f>IF($A162="","",IF($O162="Sim",IFERROR($G162/MAX($P162,1),$G162),$G162))</x:f>
      </x:c>
      <x:c r="R162" s="36"/>
      <x:c r="S162" s="36"/>
    </x:row>
    <x:row r="163">
      <x:c r="A163" s="36"/>
      <x:c r="B163" s="59"/>
      <x:c r="C163" s="36"/>
      <x:c r="D163" s="36"/>
      <x:c r="E163" s="36"/>
      <x:c r="F163" s="36"/>
      <x:c r="G163" s="37"/>
      <x:c r="H163" s="37"/>
      <x:c r="I163" s="37"/>
      <x:c r="J163" s="38"/>
      <x:c r="K163" s="36"/>
      <x:c r="L163" s="36"/>
      <x:c r="M163" s="36"/>
      <x:c r="N163" s="36"/>
      <x:c r="O163" s="36"/>
      <x:c r="P163" s="75"/>
      <x:c r="Q163" s="63" t="str">
        <x:f>IF($A163="","",IF($O163="Sim",IFERROR($G163/MAX($P163,1),$G163),$G163))</x:f>
      </x:c>
      <x:c r="R163" s="36"/>
      <x:c r="S163" s="36"/>
    </x:row>
    <x:row r="164">
      <x:c r="A164" s="36"/>
      <x:c r="B164" s="59"/>
      <x:c r="C164" s="36"/>
      <x:c r="D164" s="36"/>
      <x:c r="E164" s="36"/>
      <x:c r="F164" s="36"/>
      <x:c r="G164" s="37"/>
      <x:c r="H164" s="37"/>
      <x:c r="I164" s="37"/>
      <x:c r="J164" s="38"/>
      <x:c r="K164" s="36"/>
      <x:c r="L164" s="36"/>
      <x:c r="M164" s="36"/>
      <x:c r="N164" s="36"/>
      <x:c r="O164" s="36"/>
      <x:c r="P164" s="75"/>
      <x:c r="Q164" s="63" t="str">
        <x:f>IF($A164="","",IF($O164="Sim",IFERROR($G164/MAX($P164,1),$G164),$G164))</x:f>
      </x:c>
      <x:c r="R164" s="36"/>
      <x:c r="S164" s="36"/>
    </x:row>
    <x:row r="165">
      <x:c r="A165" s="36"/>
      <x:c r="B165" s="59"/>
      <x:c r="C165" s="36"/>
      <x:c r="D165" s="36"/>
      <x:c r="E165" s="36"/>
      <x:c r="F165" s="36"/>
      <x:c r="G165" s="37"/>
      <x:c r="H165" s="37"/>
      <x:c r="I165" s="37"/>
      <x:c r="J165" s="38"/>
      <x:c r="K165" s="36"/>
      <x:c r="L165" s="36"/>
      <x:c r="M165" s="36"/>
      <x:c r="N165" s="36"/>
      <x:c r="O165" s="36"/>
      <x:c r="P165" s="75"/>
      <x:c r="Q165" s="63" t="str">
        <x:f>IF($A165="","",IF($O165="Sim",IFERROR($G165/MAX($P165,1),$G165),$G165))</x:f>
      </x:c>
      <x:c r="R165" s="36"/>
      <x:c r="S165" s="36"/>
    </x:row>
    <x:row r="166">
      <x:c r="A166" s="36"/>
      <x:c r="B166" s="59"/>
      <x:c r="C166" s="36"/>
      <x:c r="D166" s="36"/>
      <x:c r="E166" s="36"/>
      <x:c r="F166" s="36"/>
      <x:c r="G166" s="37"/>
      <x:c r="H166" s="37"/>
      <x:c r="I166" s="37"/>
      <x:c r="J166" s="38"/>
      <x:c r="K166" s="36"/>
      <x:c r="L166" s="36"/>
      <x:c r="M166" s="36"/>
      <x:c r="N166" s="36"/>
      <x:c r="O166" s="36"/>
      <x:c r="P166" s="75"/>
      <x:c r="Q166" s="63" t="str">
        <x:f>IF($A166="","",IF($O166="Sim",IFERROR($G166/MAX($P166,1),$G166),$G166))</x:f>
      </x:c>
      <x:c r="R166" s="36"/>
      <x:c r="S166" s="36"/>
    </x:row>
    <x:row r="167">
      <x:c r="A167" s="36"/>
      <x:c r="B167" s="59"/>
      <x:c r="C167" s="36"/>
      <x:c r="D167" s="36"/>
      <x:c r="E167" s="36"/>
      <x:c r="F167" s="36"/>
      <x:c r="G167" s="37"/>
      <x:c r="H167" s="37"/>
      <x:c r="I167" s="37"/>
      <x:c r="J167" s="38"/>
      <x:c r="K167" s="36"/>
      <x:c r="L167" s="36"/>
      <x:c r="M167" s="36"/>
      <x:c r="N167" s="36"/>
      <x:c r="O167" s="36"/>
      <x:c r="P167" s="75"/>
      <x:c r="Q167" s="63" t="str">
        <x:f>IF($A167="","",IF($O167="Sim",IFERROR($G167/MAX($P167,1),$G167),$G167))</x:f>
      </x:c>
      <x:c r="R167" s="36"/>
      <x:c r="S167" s="36"/>
    </x:row>
    <x:row r="168">
      <x:c r="A168" s="36"/>
      <x:c r="B168" s="59"/>
      <x:c r="C168" s="36"/>
      <x:c r="D168" s="36"/>
      <x:c r="E168" s="36"/>
      <x:c r="F168" s="36"/>
      <x:c r="G168" s="37"/>
      <x:c r="H168" s="37"/>
      <x:c r="I168" s="37"/>
      <x:c r="J168" s="38"/>
      <x:c r="K168" s="36"/>
      <x:c r="L168" s="36"/>
      <x:c r="M168" s="36"/>
      <x:c r="N168" s="36"/>
      <x:c r="O168" s="36"/>
      <x:c r="P168" s="75"/>
      <x:c r="Q168" s="63" t="str">
        <x:f>IF($A168="","",IF($O168="Sim",IFERROR($G168/MAX($P168,1),$G168),$G168))</x:f>
      </x:c>
      <x:c r="R168" s="36"/>
      <x:c r="S168" s="36"/>
    </x:row>
    <x:row r="169">
      <x:c r="A169" s="36"/>
      <x:c r="B169" s="59"/>
      <x:c r="C169" s="36"/>
      <x:c r="D169" s="36"/>
      <x:c r="E169" s="36"/>
      <x:c r="F169" s="36"/>
      <x:c r="G169" s="37"/>
      <x:c r="H169" s="37"/>
      <x:c r="I169" s="37"/>
      <x:c r="J169" s="38"/>
      <x:c r="K169" s="36"/>
      <x:c r="L169" s="36"/>
      <x:c r="M169" s="36"/>
      <x:c r="N169" s="36"/>
      <x:c r="O169" s="36"/>
      <x:c r="P169" s="75"/>
      <x:c r="Q169" s="63" t="str">
        <x:f>IF($A169="","",IF($O169="Sim",IFERROR($G169/MAX($P169,1),$G169),$G169))</x:f>
      </x:c>
      <x:c r="R169" s="36"/>
      <x:c r="S169" s="36"/>
    </x:row>
    <x:row r="170">
      <x:c r="A170" s="36"/>
      <x:c r="B170" s="59"/>
      <x:c r="C170" s="36"/>
      <x:c r="D170" s="36"/>
      <x:c r="E170" s="36"/>
      <x:c r="F170" s="36"/>
      <x:c r="G170" s="37"/>
      <x:c r="H170" s="37"/>
      <x:c r="I170" s="37"/>
      <x:c r="J170" s="38"/>
      <x:c r="K170" s="36"/>
      <x:c r="L170" s="36"/>
      <x:c r="M170" s="36"/>
      <x:c r="N170" s="36"/>
      <x:c r="O170" s="36"/>
      <x:c r="P170" s="75"/>
      <x:c r="Q170" s="63" t="str">
        <x:f>IF($A170="","",IF($O170="Sim",IFERROR($G170/MAX($P170,1),$G170),$G170))</x:f>
      </x:c>
      <x:c r="R170" s="36"/>
      <x:c r="S170" s="36"/>
    </x:row>
    <x:row r="171">
      <x:c r="A171" s="36"/>
      <x:c r="B171" s="59"/>
      <x:c r="C171" s="36"/>
      <x:c r="D171" s="36"/>
      <x:c r="E171" s="36"/>
      <x:c r="F171" s="36"/>
      <x:c r="G171" s="37"/>
      <x:c r="H171" s="37"/>
      <x:c r="I171" s="37"/>
      <x:c r="J171" s="38"/>
      <x:c r="K171" s="36"/>
      <x:c r="L171" s="36"/>
      <x:c r="M171" s="36"/>
      <x:c r="N171" s="36"/>
      <x:c r="O171" s="36"/>
      <x:c r="P171" s="75"/>
      <x:c r="Q171" s="63" t="str">
        <x:f>IF($A171="","",IF($O171="Sim",IFERROR($G171/MAX($P171,1),$G171),$G171))</x:f>
      </x:c>
      <x:c r="R171" s="36"/>
      <x:c r="S171" s="36"/>
    </x:row>
    <x:row r="172">
      <x:c r="A172" s="36"/>
      <x:c r="B172" s="59"/>
      <x:c r="C172" s="36"/>
      <x:c r="D172" s="36"/>
      <x:c r="E172" s="36"/>
      <x:c r="F172" s="36"/>
      <x:c r="G172" s="37"/>
      <x:c r="H172" s="37"/>
      <x:c r="I172" s="37"/>
      <x:c r="J172" s="38"/>
      <x:c r="K172" s="36"/>
      <x:c r="L172" s="36"/>
      <x:c r="M172" s="36"/>
      <x:c r="N172" s="36"/>
      <x:c r="O172" s="36"/>
      <x:c r="P172" s="75"/>
      <x:c r="Q172" s="63" t="str">
        <x:f>IF($A172="","",IF($O172="Sim",IFERROR($G172/MAX($P172,1),$G172),$G172))</x:f>
      </x:c>
      <x:c r="R172" s="36"/>
      <x:c r="S172" s="36"/>
    </x:row>
    <x:row r="173">
      <x:c r="A173" s="36"/>
      <x:c r="B173" s="59"/>
      <x:c r="C173" s="36"/>
      <x:c r="D173" s="36"/>
      <x:c r="E173" s="36"/>
      <x:c r="F173" s="36"/>
      <x:c r="G173" s="37"/>
      <x:c r="H173" s="37"/>
      <x:c r="I173" s="37"/>
      <x:c r="J173" s="38"/>
      <x:c r="K173" s="36"/>
      <x:c r="L173" s="36"/>
      <x:c r="M173" s="36"/>
      <x:c r="N173" s="36"/>
      <x:c r="O173" s="36"/>
      <x:c r="P173" s="75"/>
      <x:c r="Q173" s="63" t="str">
        <x:f>IF($A173="","",IF($O173="Sim",IFERROR($G173/MAX($P173,1),$G173),$G173))</x:f>
      </x:c>
      <x:c r="R173" s="36"/>
      <x:c r="S173" s="36"/>
    </x:row>
    <x:row r="174">
      <x:c r="A174" s="36"/>
      <x:c r="B174" s="59"/>
      <x:c r="C174" s="36"/>
      <x:c r="D174" s="36"/>
      <x:c r="E174" s="36"/>
      <x:c r="F174" s="36"/>
      <x:c r="G174" s="37"/>
      <x:c r="H174" s="37"/>
      <x:c r="I174" s="37"/>
      <x:c r="J174" s="38"/>
      <x:c r="K174" s="36"/>
      <x:c r="L174" s="36"/>
      <x:c r="M174" s="36"/>
      <x:c r="N174" s="36"/>
      <x:c r="O174" s="36"/>
      <x:c r="P174" s="75"/>
      <x:c r="Q174" s="63" t="str">
        <x:f>IF($A174="","",IF($O174="Sim",IFERROR($G174/MAX($P174,1),$G174),$G174))</x:f>
      </x:c>
      <x:c r="R174" s="36"/>
      <x:c r="S174" s="36"/>
    </x:row>
    <x:row r="175">
      <x:c r="A175" s="36"/>
      <x:c r="B175" s="59"/>
      <x:c r="C175" s="36"/>
      <x:c r="D175" s="36"/>
      <x:c r="E175" s="36"/>
      <x:c r="F175" s="36"/>
      <x:c r="G175" s="37"/>
      <x:c r="H175" s="37"/>
      <x:c r="I175" s="37"/>
      <x:c r="J175" s="38"/>
      <x:c r="K175" s="36"/>
      <x:c r="L175" s="36"/>
      <x:c r="M175" s="36"/>
      <x:c r="N175" s="36"/>
      <x:c r="O175" s="36"/>
      <x:c r="P175" s="75"/>
      <x:c r="Q175" s="63" t="str">
        <x:f>IF($A175="","",IF($O175="Sim",IFERROR($G175/MAX($P175,1),$G175),$G175))</x:f>
      </x:c>
      <x:c r="R175" s="36"/>
      <x:c r="S175" s="36"/>
    </x:row>
    <x:row r="176">
      <x:c r="A176" s="36"/>
      <x:c r="B176" s="59"/>
      <x:c r="C176" s="36"/>
      <x:c r="D176" s="36"/>
      <x:c r="E176" s="36"/>
      <x:c r="F176" s="36"/>
      <x:c r="G176" s="37"/>
      <x:c r="H176" s="37"/>
      <x:c r="I176" s="37"/>
      <x:c r="J176" s="38"/>
      <x:c r="K176" s="36"/>
      <x:c r="L176" s="36"/>
      <x:c r="M176" s="36"/>
      <x:c r="N176" s="36"/>
      <x:c r="O176" s="36"/>
      <x:c r="P176" s="75"/>
      <x:c r="Q176" s="63" t="str">
        <x:f>IF($A176="","",IF($O176="Sim",IFERROR($G176/MAX($P176,1),$G176),$G176))</x:f>
      </x:c>
      <x:c r="R176" s="36"/>
      <x:c r="S176" s="36"/>
    </x:row>
    <x:row r="177">
      <x:c r="A177" s="36"/>
      <x:c r="B177" s="59"/>
      <x:c r="C177" s="36"/>
      <x:c r="D177" s="36"/>
      <x:c r="E177" s="36"/>
      <x:c r="F177" s="36"/>
      <x:c r="G177" s="37"/>
      <x:c r="H177" s="37"/>
      <x:c r="I177" s="37"/>
      <x:c r="J177" s="38"/>
      <x:c r="K177" s="36"/>
      <x:c r="L177" s="36"/>
      <x:c r="M177" s="36"/>
      <x:c r="N177" s="36"/>
      <x:c r="O177" s="36"/>
      <x:c r="P177" s="75"/>
      <x:c r="Q177" s="63" t="str">
        <x:f>IF($A177="","",IF($O177="Sim",IFERROR($G177/MAX($P177,1),$G177),$G177))</x:f>
      </x:c>
      <x:c r="R177" s="36"/>
      <x:c r="S177" s="36"/>
    </x:row>
    <x:row r="178">
      <x:c r="A178" s="36"/>
      <x:c r="B178" s="59"/>
      <x:c r="C178" s="36"/>
      <x:c r="D178" s="36"/>
      <x:c r="E178" s="36"/>
      <x:c r="F178" s="36"/>
      <x:c r="G178" s="37"/>
      <x:c r="H178" s="37"/>
      <x:c r="I178" s="37"/>
      <x:c r="J178" s="38"/>
      <x:c r="K178" s="36"/>
      <x:c r="L178" s="36"/>
      <x:c r="M178" s="36"/>
      <x:c r="N178" s="36"/>
      <x:c r="O178" s="36"/>
      <x:c r="P178" s="75"/>
      <x:c r="Q178" s="63" t="str">
        <x:f>IF($A178="","",IF($O178="Sim",IFERROR($G178/MAX($P178,1),$G178),$G178))</x:f>
      </x:c>
      <x:c r="R178" s="36"/>
      <x:c r="S178" s="36"/>
    </x:row>
    <x:row r="179">
      <x:c r="A179" s="36"/>
      <x:c r="B179" s="59"/>
      <x:c r="C179" s="36"/>
      <x:c r="D179" s="36"/>
      <x:c r="E179" s="36"/>
      <x:c r="F179" s="36"/>
      <x:c r="G179" s="37"/>
      <x:c r="H179" s="37"/>
      <x:c r="I179" s="37"/>
      <x:c r="J179" s="38"/>
      <x:c r="K179" s="36"/>
      <x:c r="L179" s="36"/>
      <x:c r="M179" s="36"/>
      <x:c r="N179" s="36"/>
      <x:c r="O179" s="36"/>
      <x:c r="P179" s="75"/>
      <x:c r="Q179" s="63" t="str">
        <x:f>IF($A179="","",IF($O179="Sim",IFERROR($G179/MAX($P179,1),$G179),$G179))</x:f>
      </x:c>
      <x:c r="R179" s="36"/>
      <x:c r="S179" s="36"/>
    </x:row>
    <x:row r="180">
      <x:c r="A180" s="36"/>
      <x:c r="B180" s="59"/>
      <x:c r="C180" s="36"/>
      <x:c r="D180" s="36"/>
      <x:c r="E180" s="36"/>
      <x:c r="F180" s="36"/>
      <x:c r="G180" s="37"/>
      <x:c r="H180" s="37"/>
      <x:c r="I180" s="37"/>
      <x:c r="J180" s="38"/>
      <x:c r="K180" s="36"/>
      <x:c r="L180" s="36"/>
      <x:c r="M180" s="36"/>
      <x:c r="N180" s="36"/>
      <x:c r="O180" s="36"/>
      <x:c r="P180" s="75"/>
      <x:c r="Q180" s="63" t="str">
        <x:f>IF($A180="","",IF($O180="Sim",IFERROR($G180/MAX($P180,1),$G180),$G180))</x:f>
      </x:c>
      <x:c r="R180" s="36"/>
      <x:c r="S180" s="36"/>
    </x:row>
    <x:row r="181">
      <x:c r="A181" s="36"/>
      <x:c r="B181" s="59"/>
      <x:c r="C181" s="36"/>
      <x:c r="D181" s="36"/>
      <x:c r="E181" s="36"/>
      <x:c r="F181" s="36"/>
      <x:c r="G181" s="37"/>
      <x:c r="H181" s="37"/>
      <x:c r="I181" s="37"/>
      <x:c r="J181" s="38"/>
      <x:c r="K181" s="36"/>
      <x:c r="L181" s="36"/>
      <x:c r="M181" s="36"/>
      <x:c r="N181" s="36"/>
      <x:c r="O181" s="36"/>
      <x:c r="P181" s="75"/>
      <x:c r="Q181" s="63" t="str">
        <x:f>IF($A181="","",IF($O181="Sim",IFERROR($G181/MAX($P181,1),$G181),$G181))</x:f>
      </x:c>
      <x:c r="R181" s="36"/>
      <x:c r="S181" s="36"/>
    </x:row>
    <x:row r="182">
      <x:c r="A182" s="36"/>
      <x:c r="B182" s="59"/>
      <x:c r="C182" s="36"/>
      <x:c r="D182" s="36"/>
      <x:c r="E182" s="36"/>
      <x:c r="F182" s="36"/>
      <x:c r="G182" s="37"/>
      <x:c r="H182" s="37"/>
      <x:c r="I182" s="37"/>
      <x:c r="J182" s="38"/>
      <x:c r="K182" s="36"/>
      <x:c r="L182" s="36"/>
      <x:c r="M182" s="36"/>
      <x:c r="N182" s="36"/>
      <x:c r="O182" s="36"/>
      <x:c r="P182" s="75"/>
      <x:c r="Q182" s="63" t="str">
        <x:f>IF($A182="","",IF($O182="Sim",IFERROR($G182/MAX($P182,1),$G182),$G182))</x:f>
      </x:c>
      <x:c r="R182" s="36"/>
      <x:c r="S182" s="36"/>
    </x:row>
    <x:row r="183">
      <x:c r="A183" s="36"/>
      <x:c r="B183" s="59"/>
      <x:c r="C183" s="36"/>
      <x:c r="D183" s="36"/>
      <x:c r="E183" s="36"/>
      <x:c r="F183" s="36"/>
      <x:c r="G183" s="37"/>
      <x:c r="H183" s="37"/>
      <x:c r="I183" s="37"/>
      <x:c r="J183" s="38"/>
      <x:c r="K183" s="36"/>
      <x:c r="L183" s="36"/>
      <x:c r="M183" s="36"/>
      <x:c r="N183" s="36"/>
      <x:c r="O183" s="36"/>
      <x:c r="P183" s="75"/>
      <x:c r="Q183" s="63" t="str">
        <x:f>IF($A183="","",IF($O183="Sim",IFERROR($G183/MAX($P183,1),$G183),$G183))</x:f>
      </x:c>
      <x:c r="R183" s="36"/>
      <x:c r="S183" s="36"/>
    </x:row>
    <x:row r="184">
      <x:c r="A184" s="36"/>
      <x:c r="B184" s="59"/>
      <x:c r="C184" s="36"/>
      <x:c r="D184" s="36"/>
      <x:c r="E184" s="36"/>
      <x:c r="F184" s="36"/>
      <x:c r="G184" s="37"/>
      <x:c r="H184" s="37"/>
      <x:c r="I184" s="37"/>
      <x:c r="J184" s="38"/>
      <x:c r="K184" s="36"/>
      <x:c r="L184" s="36"/>
      <x:c r="M184" s="36"/>
      <x:c r="N184" s="36"/>
      <x:c r="O184" s="36"/>
      <x:c r="P184" s="75"/>
      <x:c r="Q184" s="63" t="str">
        <x:f>IF($A184="","",IF($O184="Sim",IFERROR($G184/MAX($P184,1),$G184),$G184))</x:f>
      </x:c>
      <x:c r="R184" s="36"/>
      <x:c r="S184" s="36"/>
    </x:row>
    <x:row r="185">
      <x:c r="A185" s="36"/>
      <x:c r="B185" s="59"/>
      <x:c r="C185" s="36"/>
      <x:c r="D185" s="36"/>
      <x:c r="E185" s="36"/>
      <x:c r="F185" s="36"/>
      <x:c r="G185" s="37"/>
      <x:c r="H185" s="37"/>
      <x:c r="I185" s="37"/>
      <x:c r="J185" s="38"/>
      <x:c r="K185" s="36"/>
      <x:c r="L185" s="36"/>
      <x:c r="M185" s="36"/>
      <x:c r="N185" s="36"/>
      <x:c r="O185" s="36"/>
      <x:c r="P185" s="75"/>
      <x:c r="Q185" s="63" t="str">
        <x:f>IF($A185="","",IF($O185="Sim",IFERROR($G185/MAX($P185,1),$G185),$G185))</x:f>
      </x:c>
      <x:c r="R185" s="36"/>
      <x:c r="S185" s="36"/>
    </x:row>
    <x:row r="186">
      <x:c r="A186" s="36"/>
      <x:c r="B186" s="59"/>
      <x:c r="C186" s="36"/>
      <x:c r="D186" s="36"/>
      <x:c r="E186" s="36"/>
      <x:c r="F186" s="36"/>
      <x:c r="G186" s="37"/>
      <x:c r="H186" s="37"/>
      <x:c r="I186" s="37"/>
      <x:c r="J186" s="38"/>
      <x:c r="K186" s="36"/>
      <x:c r="L186" s="36"/>
      <x:c r="M186" s="36"/>
      <x:c r="N186" s="36"/>
      <x:c r="O186" s="36"/>
      <x:c r="P186" s="75"/>
      <x:c r="Q186" s="63" t="str">
        <x:f>IF($A186="","",IF($O186="Sim",IFERROR($G186/MAX($P186,1),$G186),$G186))</x:f>
      </x:c>
      <x:c r="R186" s="36"/>
      <x:c r="S186" s="36"/>
    </x:row>
    <x:row r="187">
      <x:c r="A187" s="36"/>
      <x:c r="B187" s="59"/>
      <x:c r="C187" s="36"/>
      <x:c r="D187" s="36"/>
      <x:c r="E187" s="36"/>
      <x:c r="F187" s="36"/>
      <x:c r="G187" s="37"/>
      <x:c r="H187" s="37"/>
      <x:c r="I187" s="37"/>
      <x:c r="J187" s="38"/>
      <x:c r="K187" s="36"/>
      <x:c r="L187" s="36"/>
      <x:c r="M187" s="36"/>
      <x:c r="N187" s="36"/>
      <x:c r="O187" s="36"/>
      <x:c r="P187" s="75"/>
      <x:c r="Q187" s="63" t="str">
        <x:f>IF($A187="","",IF($O187="Sim",IFERROR($G187/MAX($P187,1),$G187),$G187))</x:f>
      </x:c>
      <x:c r="R187" s="36"/>
      <x:c r="S187" s="36"/>
    </x:row>
    <x:row r="188">
      <x:c r="A188" s="36"/>
      <x:c r="B188" s="59"/>
      <x:c r="C188" s="36"/>
      <x:c r="D188" s="36"/>
      <x:c r="E188" s="36"/>
      <x:c r="F188" s="36"/>
      <x:c r="G188" s="37"/>
      <x:c r="H188" s="37"/>
      <x:c r="I188" s="37"/>
      <x:c r="J188" s="38"/>
      <x:c r="K188" s="36"/>
      <x:c r="L188" s="36"/>
      <x:c r="M188" s="36"/>
      <x:c r="N188" s="36"/>
      <x:c r="O188" s="36"/>
      <x:c r="P188" s="75"/>
      <x:c r="Q188" s="63" t="str">
        <x:f>IF($A188="","",IF($O188="Sim",IFERROR($G188/MAX($P188,1),$G188),$G188))</x:f>
      </x:c>
      <x:c r="R188" s="36"/>
      <x:c r="S188" s="36"/>
    </x:row>
    <x:row r="189">
      <x:c r="A189" s="36"/>
      <x:c r="B189" s="59"/>
      <x:c r="C189" s="36"/>
      <x:c r="D189" s="36"/>
      <x:c r="E189" s="36"/>
      <x:c r="F189" s="36"/>
      <x:c r="G189" s="37"/>
      <x:c r="H189" s="37"/>
      <x:c r="I189" s="37"/>
      <x:c r="J189" s="38"/>
      <x:c r="K189" s="36"/>
      <x:c r="L189" s="36"/>
      <x:c r="M189" s="36"/>
      <x:c r="N189" s="36"/>
      <x:c r="O189" s="36"/>
      <x:c r="P189" s="75"/>
      <x:c r="Q189" s="63" t="str">
        <x:f>IF($A189="","",IF($O189="Sim",IFERROR($G189/MAX($P189,1),$G189),$G189))</x:f>
      </x:c>
      <x:c r="R189" s="36"/>
      <x:c r="S189" s="36"/>
    </x:row>
    <x:row r="190">
      <x:c r="A190" s="36"/>
      <x:c r="B190" s="59"/>
      <x:c r="C190" s="36"/>
      <x:c r="D190" s="36"/>
      <x:c r="E190" s="36"/>
      <x:c r="F190" s="36"/>
      <x:c r="G190" s="37"/>
      <x:c r="H190" s="37"/>
      <x:c r="I190" s="37"/>
      <x:c r="J190" s="38"/>
      <x:c r="K190" s="36"/>
      <x:c r="L190" s="36"/>
      <x:c r="M190" s="36"/>
      <x:c r="N190" s="36"/>
      <x:c r="O190" s="36"/>
      <x:c r="P190" s="75"/>
      <x:c r="Q190" s="63" t="str">
        <x:f>IF($A190="","",IF($O190="Sim",IFERROR($G190/MAX($P190,1),$G190),$G190))</x:f>
      </x:c>
      <x:c r="R190" s="36"/>
      <x:c r="S190" s="36"/>
    </x:row>
    <x:row r="191">
      <x:c r="A191" s="36"/>
      <x:c r="B191" s="59"/>
      <x:c r="C191" s="36"/>
      <x:c r="D191" s="36"/>
      <x:c r="E191" s="36"/>
      <x:c r="F191" s="36"/>
      <x:c r="G191" s="37"/>
      <x:c r="H191" s="37"/>
      <x:c r="I191" s="37"/>
      <x:c r="J191" s="38"/>
      <x:c r="K191" s="36"/>
      <x:c r="L191" s="36"/>
      <x:c r="M191" s="36"/>
      <x:c r="N191" s="36"/>
      <x:c r="O191" s="36"/>
      <x:c r="P191" s="75"/>
      <x:c r="Q191" s="63" t="str">
        <x:f>IF($A191="","",IF($O191="Sim",IFERROR($G191/MAX($P191,1),$G191),$G191))</x:f>
      </x:c>
      <x:c r="R191" s="36"/>
      <x:c r="S191" s="36"/>
    </x:row>
    <x:row r="192">
      <x:c r="A192" s="36"/>
      <x:c r="B192" s="59"/>
      <x:c r="C192" s="36"/>
      <x:c r="D192" s="36"/>
      <x:c r="E192" s="36"/>
      <x:c r="F192" s="36"/>
      <x:c r="G192" s="37"/>
      <x:c r="H192" s="37"/>
      <x:c r="I192" s="37"/>
      <x:c r="J192" s="38"/>
      <x:c r="K192" s="36"/>
      <x:c r="L192" s="36"/>
      <x:c r="M192" s="36"/>
      <x:c r="N192" s="36"/>
      <x:c r="O192" s="36"/>
      <x:c r="P192" s="75"/>
      <x:c r="Q192" s="63" t="str">
        <x:f>IF($A192="","",IF($O192="Sim",IFERROR($G192/MAX($P192,1),$G192),$G192))</x:f>
      </x:c>
      <x:c r="R192" s="36"/>
      <x:c r="S192" s="36"/>
    </x:row>
    <x:row r="193">
      <x:c r="A193" s="36"/>
      <x:c r="B193" s="59"/>
      <x:c r="C193" s="36"/>
      <x:c r="D193" s="36"/>
      <x:c r="E193" s="36"/>
      <x:c r="F193" s="36"/>
      <x:c r="G193" s="37"/>
      <x:c r="H193" s="37"/>
      <x:c r="I193" s="37"/>
      <x:c r="J193" s="38"/>
      <x:c r="K193" s="36"/>
      <x:c r="L193" s="36"/>
      <x:c r="M193" s="36"/>
      <x:c r="N193" s="36"/>
      <x:c r="O193" s="36"/>
      <x:c r="P193" s="75"/>
      <x:c r="Q193" s="63" t="str">
        <x:f>IF($A193="","",IF($O193="Sim",IFERROR($G193/MAX($P193,1),$G193),$G193))</x:f>
      </x:c>
      <x:c r="R193" s="36"/>
      <x:c r="S193" s="36"/>
    </x:row>
    <x:row r="194">
      <x:c r="A194" s="36"/>
      <x:c r="B194" s="59"/>
      <x:c r="C194" s="36"/>
      <x:c r="D194" s="36"/>
      <x:c r="E194" s="36"/>
      <x:c r="F194" s="36"/>
      <x:c r="G194" s="37"/>
      <x:c r="H194" s="37"/>
      <x:c r="I194" s="37"/>
      <x:c r="J194" s="38"/>
      <x:c r="K194" s="36"/>
      <x:c r="L194" s="36"/>
      <x:c r="M194" s="36"/>
      <x:c r="N194" s="36"/>
      <x:c r="O194" s="36"/>
      <x:c r="P194" s="75"/>
      <x:c r="Q194" s="63" t="str">
        <x:f>IF($A194="","",IF($O194="Sim",IFERROR($G194/MAX($P194,1),$G194),$G194))</x:f>
      </x:c>
      <x:c r="R194" s="36"/>
      <x:c r="S194" s="36"/>
    </x:row>
    <x:row r="195">
      <x:c r="A195" s="36"/>
      <x:c r="B195" s="59"/>
      <x:c r="C195" s="36"/>
      <x:c r="D195" s="36"/>
      <x:c r="E195" s="36"/>
      <x:c r="F195" s="36"/>
      <x:c r="G195" s="37"/>
      <x:c r="H195" s="37"/>
      <x:c r="I195" s="37"/>
      <x:c r="J195" s="38"/>
      <x:c r="K195" s="36"/>
      <x:c r="L195" s="36"/>
      <x:c r="M195" s="36"/>
      <x:c r="N195" s="36"/>
      <x:c r="O195" s="36"/>
      <x:c r="P195" s="75"/>
      <x:c r="Q195" s="63" t="str">
        <x:f>IF($A195="","",IF($O195="Sim",IFERROR($G195/MAX($P195,1),$G195),$G195))</x:f>
      </x:c>
      <x:c r="R195" s="36"/>
      <x:c r="S195" s="36"/>
    </x:row>
    <x:row r="196">
      <x:c r="A196" s="36"/>
      <x:c r="B196" s="59"/>
      <x:c r="C196" s="36"/>
      <x:c r="D196" s="36"/>
      <x:c r="E196" s="36"/>
      <x:c r="F196" s="36"/>
      <x:c r="G196" s="37"/>
      <x:c r="H196" s="37"/>
      <x:c r="I196" s="37"/>
      <x:c r="J196" s="38"/>
      <x:c r="K196" s="36"/>
      <x:c r="L196" s="36"/>
      <x:c r="M196" s="36"/>
      <x:c r="N196" s="36"/>
      <x:c r="O196" s="36"/>
      <x:c r="P196" s="75"/>
      <x:c r="Q196" s="63" t="str">
        <x:f>IF($A196="","",IF($O196="Sim",IFERROR($G196/MAX($P196,1),$G196),$G196))</x:f>
      </x:c>
      <x:c r="R196" s="36"/>
      <x:c r="S196" s="36"/>
    </x:row>
    <x:row r="197">
      <x:c r="A197" s="36"/>
      <x:c r="B197" s="59"/>
      <x:c r="C197" s="36"/>
      <x:c r="D197" s="36"/>
      <x:c r="E197" s="36"/>
      <x:c r="F197" s="36"/>
      <x:c r="G197" s="37"/>
      <x:c r="H197" s="37"/>
      <x:c r="I197" s="37"/>
      <x:c r="J197" s="38"/>
      <x:c r="K197" s="36"/>
      <x:c r="L197" s="36"/>
      <x:c r="M197" s="36"/>
      <x:c r="N197" s="36"/>
      <x:c r="O197" s="36"/>
      <x:c r="P197" s="75"/>
      <x:c r="Q197" s="63" t="str">
        <x:f>IF($A197="","",IF($O197="Sim",IFERROR($G197/MAX($P197,1),$G197),$G197))</x:f>
      </x:c>
      <x:c r="R197" s="36"/>
      <x:c r="S197" s="36"/>
    </x:row>
    <x:row r="198">
      <x:c r="A198" s="36"/>
      <x:c r="B198" s="59"/>
      <x:c r="C198" s="36"/>
      <x:c r="D198" s="36"/>
      <x:c r="E198" s="36"/>
      <x:c r="F198" s="36"/>
      <x:c r="G198" s="37"/>
      <x:c r="H198" s="37"/>
      <x:c r="I198" s="37"/>
      <x:c r="J198" s="38"/>
      <x:c r="K198" s="36"/>
      <x:c r="L198" s="36"/>
      <x:c r="M198" s="36"/>
      <x:c r="N198" s="36"/>
      <x:c r="O198" s="36"/>
      <x:c r="P198" s="75"/>
      <x:c r="Q198" s="63" t="str">
        <x:f>IF($A198="","",IF($O198="Sim",IFERROR($G198/MAX($P198,1),$G198),$G198))</x:f>
      </x:c>
      <x:c r="R198" s="36"/>
      <x:c r="S198" s="36"/>
    </x:row>
    <x:row r="199">
      <x:c r="A199" s="36"/>
      <x:c r="B199" s="59"/>
      <x:c r="C199" s="36"/>
      <x:c r="D199" s="36"/>
      <x:c r="E199" s="36"/>
      <x:c r="F199" s="36"/>
      <x:c r="G199" s="37"/>
      <x:c r="H199" s="37"/>
      <x:c r="I199" s="37"/>
      <x:c r="J199" s="38"/>
      <x:c r="K199" s="36"/>
      <x:c r="L199" s="36"/>
      <x:c r="M199" s="36"/>
      <x:c r="N199" s="36"/>
      <x:c r="O199" s="36"/>
      <x:c r="P199" s="75"/>
      <x:c r="Q199" s="63" t="str">
        <x:f>IF($A199="","",IF($O199="Sim",IFERROR($G199/MAX($P199,1),$G199),$G199))</x:f>
      </x:c>
      <x:c r="R199" s="36"/>
      <x:c r="S199" s="36"/>
    </x:row>
    <x:row r="200">
      <x:c r="A200" s="36"/>
      <x:c r="B200" s="59"/>
      <x:c r="C200" s="36"/>
      <x:c r="D200" s="36"/>
      <x:c r="E200" s="36"/>
      <x:c r="F200" s="36"/>
      <x:c r="G200" s="37"/>
      <x:c r="H200" s="37"/>
      <x:c r="I200" s="37"/>
      <x:c r="J200" s="38"/>
      <x:c r="K200" s="36"/>
      <x:c r="L200" s="36"/>
      <x:c r="M200" s="36"/>
      <x:c r="N200" s="36"/>
      <x:c r="O200" s="36"/>
      <x:c r="P200" s="75"/>
      <x:c r="Q200" s="63" t="str">
        <x:f>IF($A200="","",IF($O200="Sim",IFERROR($G200/MAX($P200,1),$G200),$G200))</x:f>
      </x:c>
      <x:c r="R200" s="36"/>
      <x:c r="S200" s="36"/>
    </x:row>
    <x:row r="201">
      <x:c r="A201" s="36"/>
      <x:c r="B201" s="59"/>
      <x:c r="C201" s="36"/>
      <x:c r="D201" s="36"/>
      <x:c r="E201" s="36"/>
      <x:c r="F201" s="36"/>
      <x:c r="G201" s="37"/>
      <x:c r="H201" s="37"/>
      <x:c r="I201" s="37"/>
      <x:c r="J201" s="38"/>
      <x:c r="K201" s="36"/>
      <x:c r="L201" s="36"/>
      <x:c r="M201" s="36"/>
      <x:c r="N201" s="36"/>
      <x:c r="O201" s="36"/>
      <x:c r="P201" s="75"/>
      <x:c r="Q201" s="63" t="str">
        <x:f>IF($A201="","",IF($O201="Sim",IFERROR($G201/MAX($P201,1),$G201),$G201))</x:f>
      </x:c>
      <x:c r="R201" s="36"/>
      <x:c r="S201" s="36"/>
    </x:row>
    <x:row r="202">
      <x:c r="A202" s="36"/>
      <x:c r="B202" s="59"/>
      <x:c r="C202" s="36"/>
      <x:c r="D202" s="36"/>
      <x:c r="E202" s="36"/>
      <x:c r="F202" s="36"/>
      <x:c r="G202" s="37"/>
      <x:c r="H202" s="37"/>
      <x:c r="I202" s="37"/>
      <x:c r="J202" s="38"/>
      <x:c r="K202" s="36"/>
      <x:c r="L202" s="36"/>
      <x:c r="M202" s="36"/>
      <x:c r="N202" s="36"/>
      <x:c r="O202" s="36"/>
      <x:c r="P202" s="75"/>
      <x:c r="Q202" s="63" t="str">
        <x:f>IF($A202="","",IF($O202="Sim",IFERROR($G202/MAX($P202,1),$G202),$G202))</x:f>
      </x:c>
      <x:c r="R202" s="36"/>
      <x:c r="S202" s="36"/>
    </x:row>
    <x:row r="203">
      <x:c r="A203" s="36"/>
      <x:c r="B203" s="59"/>
      <x:c r="C203" s="36"/>
      <x:c r="D203" s="36"/>
      <x:c r="E203" s="36"/>
      <x:c r="F203" s="36"/>
      <x:c r="G203" s="37"/>
      <x:c r="H203" s="37"/>
      <x:c r="I203" s="37"/>
      <x:c r="J203" s="38"/>
      <x:c r="K203" s="36"/>
      <x:c r="L203" s="36"/>
      <x:c r="M203" s="36"/>
      <x:c r="N203" s="36"/>
      <x:c r="O203" s="36"/>
      <x:c r="P203" s="75"/>
      <x:c r="Q203" s="63" t="str">
        <x:f>IF($A203="","",IF($O203="Sim",IFERROR($G203/MAX($P203,1),$G203),$G203))</x:f>
      </x:c>
      <x:c r="R203" s="36"/>
      <x:c r="S203" s="36"/>
    </x:row>
    <x:row r="204">
      <x:c r="A204" s="36"/>
      <x:c r="B204" s="59"/>
      <x:c r="C204" s="36"/>
      <x:c r="D204" s="36"/>
      <x:c r="E204" s="36"/>
      <x:c r="F204" s="36"/>
      <x:c r="G204" s="37"/>
      <x:c r="H204" s="37"/>
      <x:c r="I204" s="37"/>
      <x:c r="J204" s="38"/>
      <x:c r="K204" s="36"/>
      <x:c r="L204" s="36"/>
      <x:c r="M204" s="36"/>
      <x:c r="N204" s="36"/>
      <x:c r="O204" s="36"/>
      <x:c r="P204" s="75"/>
      <x:c r="Q204" s="63" t="str">
        <x:f>IF($A204="","",IF($O204="Sim",IFERROR($G204/MAX($P204,1),$G204),$G204))</x:f>
      </x:c>
      <x:c r="R204" s="36"/>
      <x:c r="S204" s="36"/>
    </x:row>
    <x:row r="205">
      <x:c r="A205" s="36"/>
      <x:c r="B205" s="59"/>
      <x:c r="C205" s="36"/>
      <x:c r="D205" s="36"/>
      <x:c r="E205" s="36"/>
      <x:c r="F205" s="36"/>
      <x:c r="G205" s="37"/>
      <x:c r="H205" s="37"/>
      <x:c r="I205" s="37"/>
      <x:c r="J205" s="38"/>
      <x:c r="K205" s="36"/>
      <x:c r="L205" s="36"/>
      <x:c r="M205" s="36"/>
      <x:c r="N205" s="36"/>
      <x:c r="O205" s="36"/>
      <x:c r="P205" s="75"/>
      <x:c r="Q205" s="63" t="str">
        <x:f>IF($A205="","",IF($O205="Sim",IFERROR($G205/MAX($P205,1),$G205),$G205))</x:f>
      </x:c>
      <x:c r="R205" s="36"/>
      <x:c r="S205" s="36"/>
    </x:row>
  </x:sheetData>
  <x:mergeCells>
    <x:mergeCell ref="A1:S1"/>
    <x:mergeCell ref="A2:S2"/>
    <x:mergeCell ref="A3:S3"/>
  </x:mergeCells>
  <x:conditionalFormatting sqref="G6:G205">
    <x:cfRule type="cellIs" dxfId="3" priority="1" operator="greaterThan">
      <x:formula>I6</x:formula>
    </x:cfRule>
  </x:conditionalFormatting>
  <x:conditionalFormatting sqref="R6:R205">
    <x:cfRule type="containsText" dxfId="4" priority="2" operator="containsText" text="Cancelado"/>
  </x:conditionalFormatting>
  <x:dataValidations count="9">
    <x:dataValidation type="list" sqref="A6:A205">
      <x:formula1>'Planejamento de Viagens'!$A$6:$A$205</x:formula1>
    </x:dataValidation>
    <x:dataValidation type="list" sqref="C6:C205">
      <x:formula1>'Base de Categorias'!$B$2:$B$15</x:formula1>
    </x:dataValidation>
    <x:dataValidation type="list" sqref="D6:D205">
      <x:formula1>'Base de Categorias'!$C$2:$C$160</x:formula1>
    </x:dataValidation>
    <x:dataValidation type="list" sqref="E6:E205">
      <x:formula1>'Base de Categorias'!$I$2:$I$8</x:formula1>
    </x:dataValidation>
    <x:dataValidation type="list" sqref="K6:K205">
      <x:formula1>'Base de Categorias'!$M$2:$M$3</x:formula1>
    </x:dataValidation>
    <x:dataValidation type="list" sqref="L6:M205">
      <x:formula1>'Base de Categorias'!$A$2:$A$4</x:formula1>
    </x:dataValidation>
    <x:dataValidation type="list" sqref="N6:N205">
      <x:formula1>'Base de Categorias'!$D$2:$D$20</x:formula1>
    </x:dataValidation>
    <x:dataValidation type="list" sqref="O6:O205">
      <x:formula1>'Base de Categorias'!$M$2:$M$3</x:formula1>
    </x:dataValidation>
    <x:dataValidation type="list" sqref="R6:R205">
      <x:formula1>'Base de Categorias'!$N$2:$N$10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5a6452d6124c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3.75" hidden="0" customWidth="1"/>
    <x:col min="3" max="3" width="21.25" hidden="0" customWidth="1"/>
    <x:col min="4" max="4" width="26.25" hidden="0" customWidth="1"/>
    <x:col min="5" max="5" width="16.25" hidden="0" customWidth="1"/>
    <x:col min="6" max="6" width="32.5" hidden="0" customWidth="1"/>
    <x:col min="7" max="7" width="16.25" hidden="0" customWidth="1"/>
    <x:col min="8" max="8" width="17.5" hidden="0" customWidth="1"/>
    <x:col min="9" max="9" width="17.5" hidden="0" customWidth="1"/>
    <x:col min="10" max="10" width="18.1299991607666" hidden="0" customWidth="1"/>
    <x:col min="11" max="11" width="13.130000114440918" hidden="0" customWidth="1"/>
    <x:col min="12" max="12" width="21.8799991607666" hidden="0" customWidth="1"/>
    <x:col min="13" max="13" width="20" hidden="0" customWidth="1"/>
    <x:col min="14" max="14" width="21.25" hidden="0" customWidth="1"/>
    <x:col min="15" max="15" width="13.130000114440918" hidden="0" customWidth="1"/>
    <x:col min="16" max="16" width="15" hidden="0" customWidth="1"/>
    <x:col min="17" max="17" width="15.630000114440918" hidden="0" customWidth="1"/>
    <x:col min="18" max="18" width="18.75" hidden="0" customWidth="1"/>
    <x:col min="19" max="19" width="30" hidden="0" customWidth="1"/>
  </x:cols>
  <x:sheetData>
    <x:row r="1" ht="25.5" customHeight="1">
      <x:c r="A1" s="4" t="str">
        <x:v>Custos Planejados - Camilly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21" customHeight="1">
      <x:c r="A2" s="9" t="str">
        <x:v>Planeje custos antes da viagem. As linhas de exemplo podem ser substituídas por gastos reais previstos.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</x:row>
    <x:row r="3" ht="22.5" customHeight="1">
      <x:c r="A3" s="47" t="str">
        <x:v>Células em azul são preenchidas manualmente. Células em cinza são calculadas automaticamente.</x:v>
      </x:c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9"/>
    </x:row>
    <x:row r="5">
      <x:c r="A5" s="81" t="str">
        <x:v>ID da viagem</x:v>
      </x:c>
      <x:c r="B5" s="81" t="str">
        <x:v>Data prevista</x:v>
      </x:c>
      <x:c r="C5" s="81" t="str">
        <x:v>Categoria</x:v>
      </x:c>
      <x:c r="D5" s="81" t="str">
        <x:v>Subcategoria</x:v>
      </x:c>
      <x:c r="E5" s="81" t="str">
        <x:v>Tipo de custo</x:v>
      </x:c>
      <x:c r="F5" s="81" t="str">
        <x:v>Descrição</x:v>
      </x:c>
      <x:c r="G5" s="81" t="str">
        <x:v>Valor planejado</x:v>
      </x:c>
      <x:c r="H5" s="81" t="str">
        <x:v>Valor mínimo estimado</x:v>
      </x:c>
      <x:c r="I5" s="81" t="str">
        <x:v>Valor máximo estimado</x:v>
      </x:c>
      <x:c r="J5" s="81" t="str">
        <x:v>Probabilidade de acontecer</x:v>
      </x:c>
      <x:c r="K5" s="81" t="str">
        <x:v>Obrigatório?</x:v>
      </x:c>
      <x:c r="L5" s="81" t="str">
        <x:v>Pago por</x:v>
      </x:c>
      <x:c r="M5" s="81" t="str">
        <x:v>Beneficiário</x:v>
      </x:c>
      <x:c r="N5" s="81" t="str">
        <x:v>Forma de pagamento prevista</x:v>
      </x:c>
      <x:c r="O5" s="81" t="str">
        <x:v>Parcelado?</x:v>
      </x:c>
      <x:c r="P5" s="81" t="str">
        <x:v>Número de parcelas</x:v>
      </x:c>
      <x:c r="Q5" s="81" t="str">
        <x:v>Valor por parcela</x:v>
      </x:c>
      <x:c r="R5" s="81" t="str">
        <x:v>Status do planejamento</x:v>
      </x:c>
      <x:c r="S5" s="81" t="str">
        <x:v>Observações</x:v>
      </x:c>
    </x:row>
    <x:row r="6">
      <x:c r="A6" s="36" t="str">
        <x:v>V001</x:v>
      </x:c>
      <x:c r="B6" s="59" t="n">
        <x:v>46191</x:v>
      </x:c>
      <x:c r="C6" s="36" t="str">
        <x:v>Transporte principal</x:v>
      </x:c>
      <x:c r="D6" s="36" t="str">
        <x:v>Passagem aérea</x:v>
      </x:c>
      <x:c r="E6" s="36" t="str">
        <x:v>Fixo</x:v>
      </x:c>
      <x:c r="F6" s="36" t="str">
        <x:v>Passagem Cuiabá - João Pessoa</x:v>
      </x:c>
      <x:c r="G6" s="37" t="n">
        <x:v>1320</x:v>
      </x:c>
      <x:c r="H6" s="37" t="n">
        <x:v>1100</x:v>
      </x:c>
      <x:c r="I6" s="37" t="n">
        <x:v>1500</x:v>
      </x:c>
      <x:c r="J6" s="38" t="n">
        <x:v>1</x:v>
      </x:c>
      <x:c r="K6" s="36" t="str">
        <x:v>Sim</x:v>
      </x:c>
      <x:c r="L6" s="36" t="str">
        <x:v>Camilly Queiroz</x:v>
      </x:c>
      <x:c r="M6" s="36" t="str">
        <x:v>Camilly Queiroz</x:v>
      </x:c>
      <x:c r="N6" s="36" t="str">
        <x:v>Cartão de crédito</x:v>
      </x:c>
      <x:c r="O6" s="36" t="str">
        <x:v>Sim</x:v>
      </x:c>
      <x:c r="P6" s="75" t="n">
        <x:v>3</x:v>
      </x:c>
      <x:c r="Q6" s="63" t="n">
        <x:f>IF($A6="","",IF($O6="Sim",IFERROR($G6/MAX($P6,1),$G6),$G6))</x:f>
        <x:v>440</x:v>
      </x:c>
      <x:c r="R6" s="36" t="str">
        <x:v>Reservado</x:v>
      </x:c>
      <x:c r="S6" s="36" t="str"/>
    </x:row>
    <x:row r="7">
      <x:c r="A7" s="36" t="str">
        <x:v>V001</x:v>
      </x:c>
      <x:c r="B7" s="59" t="n">
        <x:v>46215</x:v>
      </x:c>
      <x:c r="C7" s="36" t="str">
        <x:v>Transporte principal</x:v>
      </x:c>
      <x:c r="D7" s="36" t="str">
        <x:v>Bagagem despachada</x:v>
      </x:c>
      <x:c r="E7" s="36" t="str">
        <x:v>Opcional</x:v>
      </x:c>
      <x:c r="F7" s="36" t="str">
        <x:v>Mala para uma semana</x:v>
      </x:c>
      <x:c r="G7" s="37" t="n">
        <x:v>180</x:v>
      </x:c>
      <x:c r="H7" s="37" t="n">
        <x:v>150</x:v>
      </x:c>
      <x:c r="I7" s="37" t="n">
        <x:v>220</x:v>
      </x:c>
      <x:c r="J7" s="38" t="n">
        <x:v>0.7</x:v>
      </x:c>
      <x:c r="K7" s="36" t="str">
        <x:v>Não</x:v>
      </x:c>
      <x:c r="L7" s="36" t="str">
        <x:v>Camilly Queiroz</x:v>
      </x:c>
      <x:c r="M7" s="36" t="str">
        <x:v>Camilly Queiroz</x:v>
      </x:c>
      <x:c r="N7" s="36" t="str">
        <x:v>Cartão de crédito</x:v>
      </x:c>
      <x:c r="O7" s="36" t="str">
        <x:v>Não</x:v>
      </x:c>
      <x:c r="P7" s="75" t="n">
        <x:v>1</x:v>
      </x:c>
      <x:c r="Q7" s="63" t="n">
        <x:f>IF($A7="","",IF($O7="Sim",IFERROR($G7/MAX($P7,1),$G7),$G7))</x:f>
        <x:v>180</x:v>
      </x:c>
      <x:c r="R7" s="36" t="str">
        <x:v>Orçado</x:v>
      </x:c>
      <x:c r="S7" s="36" t="str"/>
    </x:row>
    <x:row r="8">
      <x:c r="A8" s="36" t="str">
        <x:v>V001</x:v>
      </x:c>
      <x:c r="B8" s="59" t="n">
        <x:v>46215</x:v>
      </x:c>
      <x:c r="C8" s="36" t="str">
        <x:v>Transporte local</x:v>
      </x:c>
      <x:c r="D8" s="36" t="str">
        <x:v>Uber</x:v>
      </x:c>
      <x:c r="E8" s="36" t="str">
        <x:v>Variável</x:v>
      </x:c>
      <x:c r="F8" s="36" t="str">
        <x:v>Aeroporto para casa</x:v>
      </x:c>
      <x:c r="G8" s="37" t="n">
        <x:v>95</x:v>
      </x:c>
      <x:c r="H8" s="37" t="n">
        <x:v>75</x:v>
      </x:c>
      <x:c r="I8" s="37" t="n">
        <x:v>130</x:v>
      </x:c>
      <x:c r="J8" s="38" t="n">
        <x:v>1</x:v>
      </x:c>
      <x:c r="K8" s="36" t="str">
        <x:v>Sim</x:v>
      </x:c>
      <x:c r="L8" s="36" t="str">
        <x:v>Pedro Américo Paletot</x:v>
      </x:c>
      <x:c r="M8" s="36" t="str">
        <x:v>Ambos</x:v>
      </x:c>
      <x:c r="N8" s="36" t="str">
        <x:v>Pix</x:v>
      </x:c>
      <x:c r="O8" s="36" t="str">
        <x:v>Não</x:v>
      </x:c>
      <x:c r="P8" s="75" t="n">
        <x:v>1</x:v>
      </x:c>
      <x:c r="Q8" s="63" t="n">
        <x:f>IF($A8="","",IF($O8="Sim",IFERROR($G8/MAX($P8,1),$G8),$G8))</x:f>
        <x:v>95</x:v>
      </x:c>
      <x:c r="R8" s="36" t="str">
        <x:v>Orçado</x:v>
      </x:c>
      <x:c r="S8" s="36" t="str"/>
    </x:row>
    <x:row r="9">
      <x:c r="A9" s="36" t="str">
        <x:v>V001</x:v>
      </x:c>
      <x:c r="B9" s="59" t="n">
        <x:v>46216</x:v>
      </x:c>
      <x:c r="C9" s="36" t="str">
        <x:v>Alimentação</x:v>
      </x:c>
      <x:c r="D9" s="36" t="str">
        <x:v>Mercado</x:v>
      </x:c>
      <x:c r="E9" s="36" t="str">
        <x:v>Variável</x:v>
      </x:c>
      <x:c r="F9" s="36" t="str">
        <x:v>Mercado para dias em casa</x:v>
      </x:c>
      <x:c r="G9" s="37" t="n">
        <x:v>310</x:v>
      </x:c>
      <x:c r="H9" s="37" t="n">
        <x:v>240</x:v>
      </x:c>
      <x:c r="I9" s="37" t="n">
        <x:v>380</x:v>
      </x:c>
      <x:c r="J9" s="38" t="n">
        <x:v>1</x:v>
      </x:c>
      <x:c r="K9" s="36" t="str">
        <x:v>Sim</x:v>
      </x:c>
      <x:c r="L9" s="36" t="str">
        <x:v>Pedro Américo Paletot</x:v>
      </x:c>
      <x:c r="M9" s="36" t="str">
        <x:v>Ambos</x:v>
      </x:c>
      <x:c r="N9" s="36" t="str">
        <x:v>Pix</x:v>
      </x:c>
      <x:c r="O9" s="36" t="str">
        <x:v>Não</x:v>
      </x:c>
      <x:c r="P9" s="75" t="n">
        <x:v>1</x:v>
      </x:c>
      <x:c r="Q9" s="63" t="n">
        <x:f>IF($A9="","",IF($O9="Sim",IFERROR($G9/MAX($P9,1),$G9),$G9))</x:f>
        <x:v>310</x:v>
      </x:c>
      <x:c r="R9" s="36" t="str">
        <x:v>Orçado</x:v>
      </x:c>
      <x:c r="S9" s="36" t="str"/>
    </x:row>
    <x:row r="10">
      <x:c r="A10" s="36" t="str">
        <x:v>V001</x:v>
      </x:c>
      <x:c r="B10" s="59" t="n">
        <x:v>46218</x:v>
      </x:c>
      <x:c r="C10" s="36" t="str">
        <x:v>Lazer e encontros</x:v>
      </x:c>
      <x:c r="D10" s="36" t="str">
        <x:v>Praia</x:v>
      </x:c>
      <x:c r="E10" s="36" t="str">
        <x:v>Opcional</x:v>
      </x:c>
      <x:c r="F10" s="36" t="str">
        <x:v>Dia na praia com almoço</x:v>
      </x:c>
      <x:c r="G10" s="37" t="n">
        <x:v>190</x:v>
      </x:c>
      <x:c r="H10" s="37" t="n">
        <x:v>120</x:v>
      </x:c>
      <x:c r="I10" s="37" t="n">
        <x:v>260</x:v>
      </x:c>
      <x:c r="J10" s="38" t="n">
        <x:v>0.8</x:v>
      </x:c>
      <x:c r="K10" s="36" t="str">
        <x:v>Não</x:v>
      </x:c>
      <x:c r="L10" s="36" t="str">
        <x:v>Ambos</x:v>
      </x:c>
      <x:c r="M10" s="36" t="str">
        <x:v>Ambos</x:v>
      </x:c>
      <x:c r="N10" s="36" t="str">
        <x:v>Pix</x:v>
      </x:c>
      <x:c r="O10" s="36" t="str">
        <x:v>Não</x:v>
      </x:c>
      <x:c r="P10" s="75" t="n">
        <x:v>1</x:v>
      </x:c>
      <x:c r="Q10" s="63" t="n">
        <x:f>IF($A10="","",IF($O10="Sim",IFERROR($G10/MAX($P10,1),$G10),$G10))</x:f>
        <x:v>190</x:v>
      </x:c>
      <x:c r="R10" s="36" t="str">
        <x:v>Ideia</x:v>
      </x:c>
      <x:c r="S10" s="36" t="str"/>
    </x:row>
    <x:row r="11">
      <x:c r="A11" s="36" t="str">
        <x:v>V001</x:v>
      </x:c>
      <x:c r="B11" s="59" t="n">
        <x:v>46219</x:v>
      </x:c>
      <x:c r="C11" s="36" t="str">
        <x:v>Saúde e segurança</x:v>
      </x:c>
      <x:c r="D11" s="36" t="str">
        <x:v>Farmácia</x:v>
      </x:c>
      <x:c r="E11" s="36" t="str">
        <x:v>Emergencial</x:v>
      </x:c>
      <x:c r="F11" s="36" t="str">
        <x:v>Reserva farmácia</x:v>
      </x:c>
      <x:c r="G11" s="37" t="n">
        <x:v>80</x:v>
      </x:c>
      <x:c r="H11" s="37" t="n">
        <x:v>40</x:v>
      </x:c>
      <x:c r="I11" s="37" t="n">
        <x:v>140</x:v>
      </x:c>
      <x:c r="J11" s="38" t="n">
        <x:v>0.5</x:v>
      </x:c>
      <x:c r="K11" s="36" t="str">
        <x:v>Não</x:v>
      </x:c>
      <x:c r="L11" s="36" t="str">
        <x:v>Camilly Queiroz</x:v>
      </x:c>
      <x:c r="M11" s="36" t="str">
        <x:v>Camilly Queiroz</x:v>
      </x:c>
      <x:c r="N11" s="36" t="str">
        <x:v>Pix</x:v>
      </x:c>
      <x:c r="O11" s="36" t="str">
        <x:v>Não</x:v>
      </x:c>
      <x:c r="P11" s="75" t="n">
        <x:v>1</x:v>
      </x:c>
      <x:c r="Q11" s="63" t="n">
        <x:f>IF($A11="","",IF($O11="Sim",IFERROR($G11/MAX($P11,1),$G11),$G11))</x:f>
        <x:v>80</x:v>
      </x:c>
      <x:c r="R11" s="36" t="str">
        <x:v>Ideia</x:v>
      </x:c>
      <x:c r="S11" s="36" t="str"/>
    </x:row>
    <x:row r="12">
      <x:c r="A12" s="36" t="str">
        <x:v>V001</x:v>
      </x:c>
      <x:c r="B12" s="59" t="n">
        <x:v>46220</x:v>
      </x:c>
      <x:c r="C12" s="36" t="str">
        <x:v>Presentes e relacionamento</x:v>
      </x:c>
      <x:c r="D12" s="36" t="str">
        <x:v>Flores</x:v>
      </x:c>
      <x:c r="E12" s="36" t="str">
        <x:v>Opcional</x:v>
      </x:c>
      <x:c r="F12" s="36" t="str">
        <x:v>Flores de boas-vindas</x:v>
      </x:c>
      <x:c r="G12" s="37" t="n">
        <x:v>90</x:v>
      </x:c>
      <x:c r="H12" s="37" t="n">
        <x:v>60</x:v>
      </x:c>
      <x:c r="I12" s="37" t="n">
        <x:v>130</x:v>
      </x:c>
      <x:c r="J12" s="38" t="n">
        <x:v>0.8</x:v>
      </x:c>
      <x:c r="K12" s="36" t="str">
        <x:v>Não</x:v>
      </x:c>
      <x:c r="L12" s="36" t="str">
        <x:v>Pedro Américo Paletot</x:v>
      </x:c>
      <x:c r="M12" s="36" t="str">
        <x:v>Camilly Queiroz</x:v>
      </x:c>
      <x:c r="N12" s="36" t="str">
        <x:v>Pix</x:v>
      </x:c>
      <x:c r="O12" s="36" t="str">
        <x:v>Não</x:v>
      </x:c>
      <x:c r="P12" s="75" t="n">
        <x:v>1</x:v>
      </x:c>
      <x:c r="Q12" s="63" t="n">
        <x:f>IF($A12="","",IF($O12="Sim",IFERROR($G12/MAX($P12,1),$G12),$G12))</x:f>
        <x:v>90</x:v>
      </x:c>
      <x:c r="R12" s="36" t="str">
        <x:v>Ideia</x:v>
      </x:c>
      <x:c r="S12" s="36" t="str"/>
    </x:row>
    <x:row r="13">
      <x:c r="A13" s="36" t="str">
        <x:v>V003</x:v>
      </x:c>
      <x:c r="B13" s="59" t="n">
        <x:v>46158</x:v>
      </x:c>
      <x:c r="C13" s="36" t="str">
        <x:v>Hospedagem</x:v>
      </x:c>
      <x:c r="D13" s="36" t="str">
        <x:v>Hotel</x:v>
      </x:c>
      <x:c r="E13" s="36" t="str">
        <x:v>Fixo</x:v>
      </x:c>
      <x:c r="F13" s="36" t="str">
        <x:v>Hotel para duas diárias</x:v>
      </x:c>
      <x:c r="G13" s="37" t="n">
        <x:v>620</x:v>
      </x:c>
      <x:c r="H13" s="37" t="n">
        <x:v>520</x:v>
      </x:c>
      <x:c r="I13" s="37" t="n">
        <x:v>760</x:v>
      </x:c>
      <x:c r="J13" s="38" t="n">
        <x:v>1</x:v>
      </x:c>
      <x:c r="K13" s="36" t="str">
        <x:v>Sim</x:v>
      </x:c>
      <x:c r="L13" s="36" t="str">
        <x:v>Camilly Queiroz</x:v>
      </x:c>
      <x:c r="M13" s="36" t="str">
        <x:v>Ambos</x:v>
      </x:c>
      <x:c r="N13" s="36" t="str">
        <x:v>Cartão de crédito</x:v>
      </x:c>
      <x:c r="O13" s="36" t="str">
        <x:v>Sim</x:v>
      </x:c>
      <x:c r="P13" s="75" t="n">
        <x:v>2</x:v>
      </x:c>
      <x:c r="Q13" s="63" t="n">
        <x:f>IF($A13="","",IF($O13="Sim",IFERROR($G13/MAX($P13,1),$G13),$G13))</x:f>
        <x:v>310</x:v>
      </x:c>
      <x:c r="R13" s="36" t="str">
        <x:v>Comprado</x:v>
      </x:c>
      <x:c r="S13" s="36" t="str"/>
    </x:row>
    <x:row r="14">
      <x:c r="A14" s="36" t="str">
        <x:v>V003</x:v>
      </x:c>
      <x:c r="B14" s="59" t="n">
        <x:v>46159</x:v>
      </x:c>
      <x:c r="C14" s="36" t="str">
        <x:v>Alimentação</x:v>
      </x:c>
      <x:c r="D14" s="36" t="str">
        <x:v>Delivery</x:v>
      </x:c>
      <x:c r="E14" s="36" t="str">
        <x:v>Variável</x:v>
      </x:c>
      <x:c r="F14" s="36" t="str">
        <x:v>Delivery domingo à noite</x:v>
      </x:c>
      <x:c r="G14" s="37" t="n">
        <x:v>95</x:v>
      </x:c>
      <x:c r="H14" s="37" t="n">
        <x:v>70</x:v>
      </x:c>
      <x:c r="I14" s="37" t="n">
        <x:v>130</x:v>
      </x:c>
      <x:c r="J14" s="38" t="n">
        <x:v>1</x:v>
      </x:c>
      <x:c r="K14" s="36" t="str">
        <x:v>Sim</x:v>
      </x:c>
      <x:c r="L14" s="36" t="str">
        <x:v>Camilly Queiroz</x:v>
      </x:c>
      <x:c r="M14" s="36" t="str">
        <x:v>Ambos</x:v>
      </x:c>
      <x:c r="N14" s="36" t="str">
        <x:v>Pix</x:v>
      </x:c>
      <x:c r="O14" s="36" t="str">
        <x:v>Não</x:v>
      </x:c>
      <x:c r="P14" s="75" t="n">
        <x:v>1</x:v>
      </x:c>
      <x:c r="Q14" s="63" t="n">
        <x:f>IF($A14="","",IF($O14="Sim",IFERROR($G14/MAX($P14,1),$G14),$G14))</x:f>
        <x:v>95</x:v>
      </x:c>
      <x:c r="R14" s="36" t="str">
        <x:v>Comprado</x:v>
      </x:c>
      <x:c r="S14" s="36" t="str"/>
    </x:row>
    <x:row r="15">
      <x:c r="A15" s="36" t="str">
        <x:v>V003</x:v>
      </x:c>
      <x:c r="B15" s="59" t="n">
        <x:v>46160</x:v>
      </x:c>
      <x:c r="C15" s="36" t="str">
        <x:v>Imprevistos</x:v>
      </x:c>
      <x:c r="D15" s="36" t="str">
        <x:v>Transporte extra</x:v>
      </x:c>
      <x:c r="E15" s="36" t="str">
        <x:v>Emergencial</x:v>
      </x:c>
      <x:c r="F15" s="36" t="str">
        <x:v>Corrida extra para rodoviária</x:v>
      </x:c>
      <x:c r="G15" s="37" t="n">
        <x:v>65</x:v>
      </x:c>
      <x:c r="H15" s="37" t="n">
        <x:v>40</x:v>
      </x:c>
      <x:c r="I15" s="37" t="n">
        <x:v>90</x:v>
      </x:c>
      <x:c r="J15" s="38" t="n">
        <x:v>1</x:v>
      </x:c>
      <x:c r="K15" s="36" t="str">
        <x:v>Sim</x:v>
      </x:c>
      <x:c r="L15" s="36" t="str">
        <x:v>Camilly Queiroz</x:v>
      </x:c>
      <x:c r="M15" s="36" t="str">
        <x:v>Ambos</x:v>
      </x:c>
      <x:c r="N15" s="36" t="str">
        <x:v>Pix</x:v>
      </x:c>
      <x:c r="O15" s="36" t="str">
        <x:v>Não</x:v>
      </x:c>
      <x:c r="P15" s="75" t="n">
        <x:v>1</x:v>
      </x:c>
      <x:c r="Q15" s="63" t="n">
        <x:f>IF($A15="","",IF($O15="Sim",IFERROR($G15/MAX($P15,1),$G15),$G15))</x:f>
        <x:v>65</x:v>
      </x:c>
      <x:c r="R15" s="36" t="str">
        <x:v>Comprado</x:v>
      </x:c>
      <x:c r="S15" s="36" t="str"/>
    </x:row>
    <x:row r="16">
      <x:c r="A16" s="36"/>
      <x:c r="B16" s="59"/>
      <x:c r="C16" s="36"/>
      <x:c r="D16" s="36"/>
      <x:c r="E16" s="36"/>
      <x:c r="F16" s="36"/>
      <x:c r="G16" s="37"/>
      <x:c r="H16" s="37"/>
      <x:c r="I16" s="37"/>
      <x:c r="J16" s="38"/>
      <x:c r="K16" s="36"/>
      <x:c r="L16" s="36"/>
      <x:c r="M16" s="36"/>
      <x:c r="N16" s="36"/>
      <x:c r="O16" s="36"/>
      <x:c r="P16" s="75"/>
      <x:c r="Q16" s="63" t="str">
        <x:f>IF($A16="","",IF($O16="Sim",IFERROR($G16/MAX($P16,1),$G16),$G16))</x:f>
      </x:c>
      <x:c r="R16" s="36"/>
      <x:c r="S16" s="36"/>
    </x:row>
    <x:row r="17">
      <x:c r="A17" s="36"/>
      <x:c r="B17" s="59"/>
      <x:c r="C17" s="36"/>
      <x:c r="D17" s="36"/>
      <x:c r="E17" s="36"/>
      <x:c r="F17" s="36"/>
      <x:c r="G17" s="37"/>
      <x:c r="H17" s="37"/>
      <x:c r="I17" s="37"/>
      <x:c r="J17" s="38"/>
      <x:c r="K17" s="36"/>
      <x:c r="L17" s="36"/>
      <x:c r="M17" s="36"/>
      <x:c r="N17" s="36"/>
      <x:c r="O17" s="36"/>
      <x:c r="P17" s="75"/>
      <x:c r="Q17" s="63" t="str">
        <x:f>IF($A17="","",IF($O17="Sim",IFERROR($G17/MAX($P17,1),$G17),$G17))</x:f>
      </x:c>
      <x:c r="R17" s="36"/>
      <x:c r="S17" s="36"/>
    </x:row>
    <x:row r="18">
      <x:c r="A18" s="36"/>
      <x:c r="B18" s="59"/>
      <x:c r="C18" s="36"/>
      <x:c r="D18" s="36"/>
      <x:c r="E18" s="36"/>
      <x:c r="F18" s="36"/>
      <x:c r="G18" s="37"/>
      <x:c r="H18" s="37"/>
      <x:c r="I18" s="37"/>
      <x:c r="J18" s="38"/>
      <x:c r="K18" s="36"/>
      <x:c r="L18" s="36"/>
      <x:c r="M18" s="36"/>
      <x:c r="N18" s="36"/>
      <x:c r="O18" s="36"/>
      <x:c r="P18" s="75"/>
      <x:c r="Q18" s="63" t="str">
        <x:f>IF($A18="","",IF($O18="Sim",IFERROR($G18/MAX($P18,1),$G18),$G18))</x:f>
      </x:c>
      <x:c r="R18" s="36"/>
      <x:c r="S18" s="36"/>
    </x:row>
    <x:row r="19">
      <x:c r="A19" s="36"/>
      <x:c r="B19" s="59"/>
      <x:c r="C19" s="36"/>
      <x:c r="D19" s="36"/>
      <x:c r="E19" s="36"/>
      <x:c r="F19" s="36"/>
      <x:c r="G19" s="37"/>
      <x:c r="H19" s="37"/>
      <x:c r="I19" s="37"/>
      <x:c r="J19" s="38"/>
      <x:c r="K19" s="36"/>
      <x:c r="L19" s="36"/>
      <x:c r="M19" s="36"/>
      <x:c r="N19" s="36"/>
      <x:c r="O19" s="36"/>
      <x:c r="P19" s="75"/>
      <x:c r="Q19" s="63" t="str">
        <x:f>IF($A19="","",IF($O19="Sim",IFERROR($G19/MAX($P19,1),$G19),$G19))</x:f>
      </x:c>
      <x:c r="R19" s="36"/>
      <x:c r="S19" s="36"/>
    </x:row>
    <x:row r="20">
      <x:c r="A20" s="36"/>
      <x:c r="B20" s="59"/>
      <x:c r="C20" s="36"/>
      <x:c r="D20" s="36"/>
      <x:c r="E20" s="36"/>
      <x:c r="F20" s="36"/>
      <x:c r="G20" s="37"/>
      <x:c r="H20" s="37"/>
      <x:c r="I20" s="37"/>
      <x:c r="J20" s="38"/>
      <x:c r="K20" s="36"/>
      <x:c r="L20" s="36"/>
      <x:c r="M20" s="36"/>
      <x:c r="N20" s="36"/>
      <x:c r="O20" s="36"/>
      <x:c r="P20" s="75"/>
      <x:c r="Q20" s="63" t="str">
        <x:f>IF($A20="","",IF($O20="Sim",IFERROR($G20/MAX($P20,1),$G20),$G20))</x:f>
      </x:c>
      <x:c r="R20" s="36"/>
      <x:c r="S20" s="36"/>
    </x:row>
    <x:row r="21">
      <x:c r="A21" s="36"/>
      <x:c r="B21" s="59"/>
      <x:c r="C21" s="36"/>
      <x:c r="D21" s="36"/>
      <x:c r="E21" s="36"/>
      <x:c r="F21" s="36"/>
      <x:c r="G21" s="37"/>
      <x:c r="H21" s="37"/>
      <x:c r="I21" s="37"/>
      <x:c r="J21" s="38"/>
      <x:c r="K21" s="36"/>
      <x:c r="L21" s="36"/>
      <x:c r="M21" s="36"/>
      <x:c r="N21" s="36"/>
      <x:c r="O21" s="36"/>
      <x:c r="P21" s="75"/>
      <x:c r="Q21" s="63" t="str">
        <x:f>IF($A21="","",IF($O21="Sim",IFERROR($G21/MAX($P21,1),$G21),$G21))</x:f>
      </x:c>
      <x:c r="R21" s="36"/>
      <x:c r="S21" s="36"/>
    </x:row>
    <x:row r="22">
      <x:c r="A22" s="36"/>
      <x:c r="B22" s="59"/>
      <x:c r="C22" s="36"/>
      <x:c r="D22" s="36"/>
      <x:c r="E22" s="36"/>
      <x:c r="F22" s="36"/>
      <x:c r="G22" s="37"/>
      <x:c r="H22" s="37"/>
      <x:c r="I22" s="37"/>
      <x:c r="J22" s="38"/>
      <x:c r="K22" s="36"/>
      <x:c r="L22" s="36"/>
      <x:c r="M22" s="36"/>
      <x:c r="N22" s="36"/>
      <x:c r="O22" s="36"/>
      <x:c r="P22" s="75"/>
      <x:c r="Q22" s="63" t="str">
        <x:f>IF($A22="","",IF($O22="Sim",IFERROR($G22/MAX($P22,1),$G22),$G22))</x:f>
      </x:c>
      <x:c r="R22" s="36"/>
      <x:c r="S22" s="36"/>
    </x:row>
    <x:row r="23">
      <x:c r="A23" s="36"/>
      <x:c r="B23" s="59"/>
      <x:c r="C23" s="36"/>
      <x:c r="D23" s="36"/>
      <x:c r="E23" s="36"/>
      <x:c r="F23" s="36"/>
      <x:c r="G23" s="37"/>
      <x:c r="H23" s="37"/>
      <x:c r="I23" s="37"/>
      <x:c r="J23" s="38"/>
      <x:c r="K23" s="36"/>
      <x:c r="L23" s="36"/>
      <x:c r="M23" s="36"/>
      <x:c r="N23" s="36"/>
      <x:c r="O23" s="36"/>
      <x:c r="P23" s="75"/>
      <x:c r="Q23" s="63" t="str">
        <x:f>IF($A23="","",IF($O23="Sim",IFERROR($G23/MAX($P23,1),$G23),$G23))</x:f>
      </x:c>
      <x:c r="R23" s="36"/>
      <x:c r="S23" s="36"/>
    </x:row>
    <x:row r="24">
      <x:c r="A24" s="36"/>
      <x:c r="B24" s="59"/>
      <x:c r="C24" s="36"/>
      <x:c r="D24" s="36"/>
      <x:c r="E24" s="36"/>
      <x:c r="F24" s="36"/>
      <x:c r="G24" s="37"/>
      <x:c r="H24" s="37"/>
      <x:c r="I24" s="37"/>
      <x:c r="J24" s="38"/>
      <x:c r="K24" s="36"/>
      <x:c r="L24" s="36"/>
      <x:c r="M24" s="36"/>
      <x:c r="N24" s="36"/>
      <x:c r="O24" s="36"/>
      <x:c r="P24" s="75"/>
      <x:c r="Q24" s="63" t="str">
        <x:f>IF($A24="","",IF($O24="Sim",IFERROR($G24/MAX($P24,1),$G24),$G24))</x:f>
      </x:c>
      <x:c r="R24" s="36"/>
      <x:c r="S24" s="36"/>
    </x:row>
    <x:row r="25">
      <x:c r="A25" s="36"/>
      <x:c r="B25" s="59"/>
      <x:c r="C25" s="36"/>
      <x:c r="D25" s="36"/>
      <x:c r="E25" s="36"/>
      <x:c r="F25" s="36"/>
      <x:c r="G25" s="37"/>
      <x:c r="H25" s="37"/>
      <x:c r="I25" s="37"/>
      <x:c r="J25" s="38"/>
      <x:c r="K25" s="36"/>
      <x:c r="L25" s="36"/>
      <x:c r="M25" s="36"/>
      <x:c r="N25" s="36"/>
      <x:c r="O25" s="36"/>
      <x:c r="P25" s="75"/>
      <x:c r="Q25" s="63" t="str">
        <x:f>IF($A25="","",IF($O25="Sim",IFERROR($G25/MAX($P25,1),$G25),$G25))</x:f>
      </x:c>
      <x:c r="R25" s="36"/>
      <x:c r="S25" s="36"/>
    </x:row>
    <x:row r="26">
      <x:c r="A26" s="36"/>
      <x:c r="B26" s="59"/>
      <x:c r="C26" s="36"/>
      <x:c r="D26" s="36"/>
      <x:c r="E26" s="36"/>
      <x:c r="F26" s="36"/>
      <x:c r="G26" s="37"/>
      <x:c r="H26" s="37"/>
      <x:c r="I26" s="37"/>
      <x:c r="J26" s="38"/>
      <x:c r="K26" s="36"/>
      <x:c r="L26" s="36"/>
      <x:c r="M26" s="36"/>
      <x:c r="N26" s="36"/>
      <x:c r="O26" s="36"/>
      <x:c r="P26" s="75"/>
      <x:c r="Q26" s="63" t="str">
        <x:f>IF($A26="","",IF($O26="Sim",IFERROR($G26/MAX($P26,1),$G26),$G26))</x:f>
      </x:c>
      <x:c r="R26" s="36"/>
      <x:c r="S26" s="36"/>
    </x:row>
    <x:row r="27">
      <x:c r="A27" s="36"/>
      <x:c r="B27" s="59"/>
      <x:c r="C27" s="36"/>
      <x:c r="D27" s="36"/>
      <x:c r="E27" s="36"/>
      <x:c r="F27" s="36"/>
      <x:c r="G27" s="37"/>
      <x:c r="H27" s="37"/>
      <x:c r="I27" s="37"/>
      <x:c r="J27" s="38"/>
      <x:c r="K27" s="36"/>
      <x:c r="L27" s="36"/>
      <x:c r="M27" s="36"/>
      <x:c r="N27" s="36"/>
      <x:c r="O27" s="36"/>
      <x:c r="P27" s="75"/>
      <x:c r="Q27" s="63" t="str">
        <x:f>IF($A27="","",IF($O27="Sim",IFERROR($G27/MAX($P27,1),$G27),$G27))</x:f>
      </x:c>
      <x:c r="R27" s="36"/>
      <x:c r="S27" s="36"/>
    </x:row>
    <x:row r="28">
      <x:c r="A28" s="36"/>
      <x:c r="B28" s="59"/>
      <x:c r="C28" s="36"/>
      <x:c r="D28" s="36"/>
      <x:c r="E28" s="36"/>
      <x:c r="F28" s="36"/>
      <x:c r="G28" s="37"/>
      <x:c r="H28" s="37"/>
      <x:c r="I28" s="37"/>
      <x:c r="J28" s="38"/>
      <x:c r="K28" s="36"/>
      <x:c r="L28" s="36"/>
      <x:c r="M28" s="36"/>
      <x:c r="N28" s="36"/>
      <x:c r="O28" s="36"/>
      <x:c r="P28" s="75"/>
      <x:c r="Q28" s="63" t="str">
        <x:f>IF($A28="","",IF($O28="Sim",IFERROR($G28/MAX($P28,1),$G28),$G28))</x:f>
      </x:c>
      <x:c r="R28" s="36"/>
      <x:c r="S28" s="36"/>
    </x:row>
    <x:row r="29">
      <x:c r="A29" s="36"/>
      <x:c r="B29" s="59"/>
      <x:c r="C29" s="36"/>
      <x:c r="D29" s="36"/>
      <x:c r="E29" s="36"/>
      <x:c r="F29" s="36"/>
      <x:c r="G29" s="37"/>
      <x:c r="H29" s="37"/>
      <x:c r="I29" s="37"/>
      <x:c r="J29" s="38"/>
      <x:c r="K29" s="36"/>
      <x:c r="L29" s="36"/>
      <x:c r="M29" s="36"/>
      <x:c r="N29" s="36"/>
      <x:c r="O29" s="36"/>
      <x:c r="P29" s="75"/>
      <x:c r="Q29" s="63" t="str">
        <x:f>IF($A29="","",IF($O29="Sim",IFERROR($G29/MAX($P29,1),$G29),$G29))</x:f>
      </x:c>
      <x:c r="R29" s="36"/>
      <x:c r="S29" s="36"/>
    </x:row>
    <x:row r="30">
      <x:c r="A30" s="36"/>
      <x:c r="B30" s="59"/>
      <x:c r="C30" s="36"/>
      <x:c r="D30" s="36"/>
      <x:c r="E30" s="36"/>
      <x:c r="F30" s="36"/>
      <x:c r="G30" s="37"/>
      <x:c r="H30" s="37"/>
      <x:c r="I30" s="37"/>
      <x:c r="J30" s="38"/>
      <x:c r="K30" s="36"/>
      <x:c r="L30" s="36"/>
      <x:c r="M30" s="36"/>
      <x:c r="N30" s="36"/>
      <x:c r="O30" s="36"/>
      <x:c r="P30" s="75"/>
      <x:c r="Q30" s="63" t="str">
        <x:f>IF($A30="","",IF($O30="Sim",IFERROR($G30/MAX($P30,1),$G30),$G30))</x:f>
      </x:c>
      <x:c r="R30" s="36"/>
      <x:c r="S30" s="36"/>
    </x:row>
    <x:row r="31">
      <x:c r="A31" s="36"/>
      <x:c r="B31" s="59"/>
      <x:c r="C31" s="36"/>
      <x:c r="D31" s="36"/>
      <x:c r="E31" s="36"/>
      <x:c r="F31" s="36"/>
      <x:c r="G31" s="37"/>
      <x:c r="H31" s="37"/>
      <x:c r="I31" s="37"/>
      <x:c r="J31" s="38"/>
      <x:c r="K31" s="36"/>
      <x:c r="L31" s="36"/>
      <x:c r="M31" s="36"/>
      <x:c r="N31" s="36"/>
      <x:c r="O31" s="36"/>
      <x:c r="P31" s="75"/>
      <x:c r="Q31" s="63" t="str">
        <x:f>IF($A31="","",IF($O31="Sim",IFERROR($G31/MAX($P31,1),$G31),$G31))</x:f>
      </x:c>
      <x:c r="R31" s="36"/>
      <x:c r="S31" s="36"/>
    </x:row>
    <x:row r="32">
      <x:c r="A32" s="36"/>
      <x:c r="B32" s="59"/>
      <x:c r="C32" s="36"/>
      <x:c r="D32" s="36"/>
      <x:c r="E32" s="36"/>
      <x:c r="F32" s="36"/>
      <x:c r="G32" s="37"/>
      <x:c r="H32" s="37"/>
      <x:c r="I32" s="37"/>
      <x:c r="J32" s="38"/>
      <x:c r="K32" s="36"/>
      <x:c r="L32" s="36"/>
      <x:c r="M32" s="36"/>
      <x:c r="N32" s="36"/>
      <x:c r="O32" s="36"/>
      <x:c r="P32" s="75"/>
      <x:c r="Q32" s="63" t="str">
        <x:f>IF($A32="","",IF($O32="Sim",IFERROR($G32/MAX($P32,1),$G32),$G32))</x:f>
      </x:c>
      <x:c r="R32" s="36"/>
      <x:c r="S32" s="36"/>
    </x:row>
    <x:row r="33">
      <x:c r="A33" s="36"/>
      <x:c r="B33" s="59"/>
      <x:c r="C33" s="36"/>
      <x:c r="D33" s="36"/>
      <x:c r="E33" s="36"/>
      <x:c r="F33" s="36"/>
      <x:c r="G33" s="37"/>
      <x:c r="H33" s="37"/>
      <x:c r="I33" s="37"/>
      <x:c r="J33" s="38"/>
      <x:c r="K33" s="36"/>
      <x:c r="L33" s="36"/>
      <x:c r="M33" s="36"/>
      <x:c r="N33" s="36"/>
      <x:c r="O33" s="36"/>
      <x:c r="P33" s="75"/>
      <x:c r="Q33" s="63" t="str">
        <x:f>IF($A33="","",IF($O33="Sim",IFERROR($G33/MAX($P33,1),$G33),$G33))</x:f>
      </x:c>
      <x:c r="R33" s="36"/>
      <x:c r="S33" s="36"/>
    </x:row>
    <x:row r="34">
      <x:c r="A34" s="36"/>
      <x:c r="B34" s="59"/>
      <x:c r="C34" s="36"/>
      <x:c r="D34" s="36"/>
      <x:c r="E34" s="36"/>
      <x:c r="F34" s="36"/>
      <x:c r="G34" s="37"/>
      <x:c r="H34" s="37"/>
      <x:c r="I34" s="37"/>
      <x:c r="J34" s="38"/>
      <x:c r="K34" s="36"/>
      <x:c r="L34" s="36"/>
      <x:c r="M34" s="36"/>
      <x:c r="N34" s="36"/>
      <x:c r="O34" s="36"/>
      <x:c r="P34" s="75"/>
      <x:c r="Q34" s="63" t="str">
        <x:f>IF($A34="","",IF($O34="Sim",IFERROR($G34/MAX($P34,1),$G34),$G34))</x:f>
      </x:c>
      <x:c r="R34" s="36"/>
      <x:c r="S34" s="36"/>
    </x:row>
    <x:row r="35">
      <x:c r="A35" s="36"/>
      <x:c r="B35" s="59"/>
      <x:c r="C35" s="36"/>
      <x:c r="D35" s="36"/>
      <x:c r="E35" s="36"/>
      <x:c r="F35" s="36"/>
      <x:c r="G35" s="37"/>
      <x:c r="H35" s="37"/>
      <x:c r="I35" s="37"/>
      <x:c r="J35" s="38"/>
      <x:c r="K35" s="36"/>
      <x:c r="L35" s="36"/>
      <x:c r="M35" s="36"/>
      <x:c r="N35" s="36"/>
      <x:c r="O35" s="36"/>
      <x:c r="P35" s="75"/>
      <x:c r="Q35" s="63" t="str">
        <x:f>IF($A35="","",IF($O35="Sim",IFERROR($G35/MAX($P35,1),$G35),$G35))</x:f>
      </x:c>
      <x:c r="R35" s="36"/>
      <x:c r="S35" s="36"/>
    </x:row>
    <x:row r="36">
      <x:c r="A36" s="36"/>
      <x:c r="B36" s="59"/>
      <x:c r="C36" s="36"/>
      <x:c r="D36" s="36"/>
      <x:c r="E36" s="36"/>
      <x:c r="F36" s="36"/>
      <x:c r="G36" s="37"/>
      <x:c r="H36" s="37"/>
      <x:c r="I36" s="37"/>
      <x:c r="J36" s="38"/>
      <x:c r="K36" s="36"/>
      <x:c r="L36" s="36"/>
      <x:c r="M36" s="36"/>
      <x:c r="N36" s="36"/>
      <x:c r="O36" s="36"/>
      <x:c r="P36" s="75"/>
      <x:c r="Q36" s="63" t="str">
        <x:f>IF($A36="","",IF($O36="Sim",IFERROR($G36/MAX($P36,1),$G36),$G36))</x:f>
      </x:c>
      <x:c r="R36" s="36"/>
      <x:c r="S36" s="36"/>
    </x:row>
    <x:row r="37">
      <x:c r="A37" s="36"/>
      <x:c r="B37" s="59"/>
      <x:c r="C37" s="36"/>
      <x:c r="D37" s="36"/>
      <x:c r="E37" s="36"/>
      <x:c r="F37" s="36"/>
      <x:c r="G37" s="37"/>
      <x:c r="H37" s="37"/>
      <x:c r="I37" s="37"/>
      <x:c r="J37" s="38"/>
      <x:c r="K37" s="36"/>
      <x:c r="L37" s="36"/>
      <x:c r="M37" s="36"/>
      <x:c r="N37" s="36"/>
      <x:c r="O37" s="36"/>
      <x:c r="P37" s="75"/>
      <x:c r="Q37" s="63" t="str">
        <x:f>IF($A37="","",IF($O37="Sim",IFERROR($G37/MAX($P37,1),$G37),$G37))</x:f>
      </x:c>
      <x:c r="R37" s="36"/>
      <x:c r="S37" s="36"/>
    </x:row>
    <x:row r="38">
      <x:c r="A38" s="36"/>
      <x:c r="B38" s="59"/>
      <x:c r="C38" s="36"/>
      <x:c r="D38" s="36"/>
      <x:c r="E38" s="36"/>
      <x:c r="F38" s="36"/>
      <x:c r="G38" s="37"/>
      <x:c r="H38" s="37"/>
      <x:c r="I38" s="37"/>
      <x:c r="J38" s="38"/>
      <x:c r="K38" s="36"/>
      <x:c r="L38" s="36"/>
      <x:c r="M38" s="36"/>
      <x:c r="N38" s="36"/>
      <x:c r="O38" s="36"/>
      <x:c r="P38" s="75"/>
      <x:c r="Q38" s="63" t="str">
        <x:f>IF($A38="","",IF($O38="Sim",IFERROR($G38/MAX($P38,1),$G38),$G38))</x:f>
      </x:c>
      <x:c r="R38" s="36"/>
      <x:c r="S38" s="36"/>
    </x:row>
    <x:row r="39">
      <x:c r="A39" s="36"/>
      <x:c r="B39" s="59"/>
      <x:c r="C39" s="36"/>
      <x:c r="D39" s="36"/>
      <x:c r="E39" s="36"/>
      <x:c r="F39" s="36"/>
      <x:c r="G39" s="37"/>
      <x:c r="H39" s="37"/>
      <x:c r="I39" s="37"/>
      <x:c r="J39" s="38"/>
      <x:c r="K39" s="36"/>
      <x:c r="L39" s="36"/>
      <x:c r="M39" s="36"/>
      <x:c r="N39" s="36"/>
      <x:c r="O39" s="36"/>
      <x:c r="P39" s="75"/>
      <x:c r="Q39" s="63" t="str">
        <x:f>IF($A39="","",IF($O39="Sim",IFERROR($G39/MAX($P39,1),$G39),$G39))</x:f>
      </x:c>
      <x:c r="R39" s="36"/>
      <x:c r="S39" s="36"/>
    </x:row>
    <x:row r="40">
      <x:c r="A40" s="36"/>
      <x:c r="B40" s="59"/>
      <x:c r="C40" s="36"/>
      <x:c r="D40" s="36"/>
      <x:c r="E40" s="36"/>
      <x:c r="F40" s="36"/>
      <x:c r="G40" s="37"/>
      <x:c r="H40" s="37"/>
      <x:c r="I40" s="37"/>
      <x:c r="J40" s="38"/>
      <x:c r="K40" s="36"/>
      <x:c r="L40" s="36"/>
      <x:c r="M40" s="36"/>
      <x:c r="N40" s="36"/>
      <x:c r="O40" s="36"/>
      <x:c r="P40" s="75"/>
      <x:c r="Q40" s="63" t="str">
        <x:f>IF($A40="","",IF($O40="Sim",IFERROR($G40/MAX($P40,1),$G40),$G40))</x:f>
      </x:c>
      <x:c r="R40" s="36"/>
      <x:c r="S40" s="36"/>
    </x:row>
    <x:row r="41">
      <x:c r="A41" s="36"/>
      <x:c r="B41" s="59"/>
      <x:c r="C41" s="36"/>
      <x:c r="D41" s="36"/>
      <x:c r="E41" s="36"/>
      <x:c r="F41" s="36"/>
      <x:c r="G41" s="37"/>
      <x:c r="H41" s="37"/>
      <x:c r="I41" s="37"/>
      <x:c r="J41" s="38"/>
      <x:c r="K41" s="36"/>
      <x:c r="L41" s="36"/>
      <x:c r="M41" s="36"/>
      <x:c r="N41" s="36"/>
      <x:c r="O41" s="36"/>
      <x:c r="P41" s="75"/>
      <x:c r="Q41" s="63" t="str">
        <x:f>IF($A41="","",IF($O41="Sim",IFERROR($G41/MAX($P41,1),$G41),$G41))</x:f>
      </x:c>
      <x:c r="R41" s="36"/>
      <x:c r="S41" s="36"/>
    </x:row>
    <x:row r="42">
      <x:c r="A42" s="36"/>
      <x:c r="B42" s="59"/>
      <x:c r="C42" s="36"/>
      <x:c r="D42" s="36"/>
      <x:c r="E42" s="36"/>
      <x:c r="F42" s="36"/>
      <x:c r="G42" s="37"/>
      <x:c r="H42" s="37"/>
      <x:c r="I42" s="37"/>
      <x:c r="J42" s="38"/>
      <x:c r="K42" s="36"/>
      <x:c r="L42" s="36"/>
      <x:c r="M42" s="36"/>
      <x:c r="N42" s="36"/>
      <x:c r="O42" s="36"/>
      <x:c r="P42" s="75"/>
      <x:c r="Q42" s="63" t="str">
        <x:f>IF($A42="","",IF($O42="Sim",IFERROR($G42/MAX($P42,1),$G42),$G42))</x:f>
      </x:c>
      <x:c r="R42" s="36"/>
      <x:c r="S42" s="36"/>
    </x:row>
    <x:row r="43">
      <x:c r="A43" s="36"/>
      <x:c r="B43" s="59"/>
      <x:c r="C43" s="36"/>
      <x:c r="D43" s="36"/>
      <x:c r="E43" s="36"/>
      <x:c r="F43" s="36"/>
      <x:c r="G43" s="37"/>
      <x:c r="H43" s="37"/>
      <x:c r="I43" s="37"/>
      <x:c r="J43" s="38"/>
      <x:c r="K43" s="36"/>
      <x:c r="L43" s="36"/>
      <x:c r="M43" s="36"/>
      <x:c r="N43" s="36"/>
      <x:c r="O43" s="36"/>
      <x:c r="P43" s="75"/>
      <x:c r="Q43" s="63" t="str">
        <x:f>IF($A43="","",IF($O43="Sim",IFERROR($G43/MAX($P43,1),$G43),$G43))</x:f>
      </x:c>
      <x:c r="R43" s="36"/>
      <x:c r="S43" s="36"/>
    </x:row>
    <x:row r="44">
      <x:c r="A44" s="36"/>
      <x:c r="B44" s="59"/>
      <x:c r="C44" s="36"/>
      <x:c r="D44" s="36"/>
      <x:c r="E44" s="36"/>
      <x:c r="F44" s="36"/>
      <x:c r="G44" s="37"/>
      <x:c r="H44" s="37"/>
      <x:c r="I44" s="37"/>
      <x:c r="J44" s="38"/>
      <x:c r="K44" s="36"/>
      <x:c r="L44" s="36"/>
      <x:c r="M44" s="36"/>
      <x:c r="N44" s="36"/>
      <x:c r="O44" s="36"/>
      <x:c r="P44" s="75"/>
      <x:c r="Q44" s="63" t="str">
        <x:f>IF($A44="","",IF($O44="Sim",IFERROR($G44/MAX($P44,1),$G44),$G44))</x:f>
      </x:c>
      <x:c r="R44" s="36"/>
      <x:c r="S44" s="36"/>
    </x:row>
    <x:row r="45">
      <x:c r="A45" s="36"/>
      <x:c r="B45" s="59"/>
      <x:c r="C45" s="36"/>
      <x:c r="D45" s="36"/>
      <x:c r="E45" s="36"/>
      <x:c r="F45" s="36"/>
      <x:c r="G45" s="37"/>
      <x:c r="H45" s="37"/>
      <x:c r="I45" s="37"/>
      <x:c r="J45" s="38"/>
      <x:c r="K45" s="36"/>
      <x:c r="L45" s="36"/>
      <x:c r="M45" s="36"/>
      <x:c r="N45" s="36"/>
      <x:c r="O45" s="36"/>
      <x:c r="P45" s="75"/>
      <x:c r="Q45" s="63" t="str">
        <x:f>IF($A45="","",IF($O45="Sim",IFERROR($G45/MAX($P45,1),$G45),$G45))</x:f>
      </x:c>
      <x:c r="R45" s="36"/>
      <x:c r="S45" s="36"/>
    </x:row>
    <x:row r="46">
      <x:c r="A46" s="36"/>
      <x:c r="B46" s="59"/>
      <x:c r="C46" s="36"/>
      <x:c r="D46" s="36"/>
      <x:c r="E46" s="36"/>
      <x:c r="F46" s="36"/>
      <x:c r="G46" s="37"/>
      <x:c r="H46" s="37"/>
      <x:c r="I46" s="37"/>
      <x:c r="J46" s="38"/>
      <x:c r="K46" s="36"/>
      <x:c r="L46" s="36"/>
      <x:c r="M46" s="36"/>
      <x:c r="N46" s="36"/>
      <x:c r="O46" s="36"/>
      <x:c r="P46" s="75"/>
      <x:c r="Q46" s="63" t="str">
        <x:f>IF($A46="","",IF($O46="Sim",IFERROR($G46/MAX($P46,1),$G46),$G46))</x:f>
      </x:c>
      <x:c r="R46" s="36"/>
      <x:c r="S46" s="36"/>
    </x:row>
    <x:row r="47">
      <x:c r="A47" s="36"/>
      <x:c r="B47" s="59"/>
      <x:c r="C47" s="36"/>
      <x:c r="D47" s="36"/>
      <x:c r="E47" s="36"/>
      <x:c r="F47" s="36"/>
      <x:c r="G47" s="37"/>
      <x:c r="H47" s="37"/>
      <x:c r="I47" s="37"/>
      <x:c r="J47" s="38"/>
      <x:c r="K47" s="36"/>
      <x:c r="L47" s="36"/>
      <x:c r="M47" s="36"/>
      <x:c r="N47" s="36"/>
      <x:c r="O47" s="36"/>
      <x:c r="P47" s="75"/>
      <x:c r="Q47" s="63" t="str">
        <x:f>IF($A47="","",IF($O47="Sim",IFERROR($G47/MAX($P47,1),$G47),$G47))</x:f>
      </x:c>
      <x:c r="R47" s="36"/>
      <x:c r="S47" s="36"/>
    </x:row>
    <x:row r="48">
      <x:c r="A48" s="36"/>
      <x:c r="B48" s="59"/>
      <x:c r="C48" s="36"/>
      <x:c r="D48" s="36"/>
      <x:c r="E48" s="36"/>
      <x:c r="F48" s="36"/>
      <x:c r="G48" s="37"/>
      <x:c r="H48" s="37"/>
      <x:c r="I48" s="37"/>
      <x:c r="J48" s="38"/>
      <x:c r="K48" s="36"/>
      <x:c r="L48" s="36"/>
      <x:c r="M48" s="36"/>
      <x:c r="N48" s="36"/>
      <x:c r="O48" s="36"/>
      <x:c r="P48" s="75"/>
      <x:c r="Q48" s="63" t="str">
        <x:f>IF($A48="","",IF($O48="Sim",IFERROR($G48/MAX($P48,1),$G48),$G48))</x:f>
      </x:c>
      <x:c r="R48" s="36"/>
      <x:c r="S48" s="36"/>
    </x:row>
    <x:row r="49">
      <x:c r="A49" s="36"/>
      <x:c r="B49" s="59"/>
      <x:c r="C49" s="36"/>
      <x:c r="D49" s="36"/>
      <x:c r="E49" s="36"/>
      <x:c r="F49" s="36"/>
      <x:c r="G49" s="37"/>
      <x:c r="H49" s="37"/>
      <x:c r="I49" s="37"/>
      <x:c r="J49" s="38"/>
      <x:c r="K49" s="36"/>
      <x:c r="L49" s="36"/>
      <x:c r="M49" s="36"/>
      <x:c r="N49" s="36"/>
      <x:c r="O49" s="36"/>
      <x:c r="P49" s="75"/>
      <x:c r="Q49" s="63" t="str">
        <x:f>IF($A49="","",IF($O49="Sim",IFERROR($G49/MAX($P49,1),$G49),$G49))</x:f>
      </x:c>
      <x:c r="R49" s="36"/>
      <x:c r="S49" s="36"/>
    </x:row>
    <x:row r="50">
      <x:c r="A50" s="36"/>
      <x:c r="B50" s="59"/>
      <x:c r="C50" s="36"/>
      <x:c r="D50" s="36"/>
      <x:c r="E50" s="36"/>
      <x:c r="F50" s="36"/>
      <x:c r="G50" s="37"/>
      <x:c r="H50" s="37"/>
      <x:c r="I50" s="37"/>
      <x:c r="J50" s="38"/>
      <x:c r="K50" s="36"/>
      <x:c r="L50" s="36"/>
      <x:c r="M50" s="36"/>
      <x:c r="N50" s="36"/>
      <x:c r="O50" s="36"/>
      <x:c r="P50" s="75"/>
      <x:c r="Q50" s="63" t="str">
        <x:f>IF($A50="","",IF($O50="Sim",IFERROR($G50/MAX($P50,1),$G50),$G50))</x:f>
      </x:c>
      <x:c r="R50" s="36"/>
      <x:c r="S50" s="36"/>
    </x:row>
    <x:row r="51">
      <x:c r="A51" s="36"/>
      <x:c r="B51" s="59"/>
      <x:c r="C51" s="36"/>
      <x:c r="D51" s="36"/>
      <x:c r="E51" s="36"/>
      <x:c r="F51" s="36"/>
      <x:c r="G51" s="37"/>
      <x:c r="H51" s="37"/>
      <x:c r="I51" s="37"/>
      <x:c r="J51" s="38"/>
      <x:c r="K51" s="36"/>
      <x:c r="L51" s="36"/>
      <x:c r="M51" s="36"/>
      <x:c r="N51" s="36"/>
      <x:c r="O51" s="36"/>
      <x:c r="P51" s="75"/>
      <x:c r="Q51" s="63" t="str">
        <x:f>IF($A51="","",IF($O51="Sim",IFERROR($G51/MAX($P51,1),$G51),$G51))</x:f>
      </x:c>
      <x:c r="R51" s="36"/>
      <x:c r="S51" s="36"/>
    </x:row>
    <x:row r="52">
      <x:c r="A52" s="36"/>
      <x:c r="B52" s="59"/>
      <x:c r="C52" s="36"/>
      <x:c r="D52" s="36"/>
      <x:c r="E52" s="36"/>
      <x:c r="F52" s="36"/>
      <x:c r="G52" s="37"/>
      <x:c r="H52" s="37"/>
      <x:c r="I52" s="37"/>
      <x:c r="J52" s="38"/>
      <x:c r="K52" s="36"/>
      <x:c r="L52" s="36"/>
      <x:c r="M52" s="36"/>
      <x:c r="N52" s="36"/>
      <x:c r="O52" s="36"/>
      <x:c r="P52" s="75"/>
      <x:c r="Q52" s="63" t="str">
        <x:f>IF($A52="","",IF($O52="Sim",IFERROR($G52/MAX($P52,1),$G52),$G52))</x:f>
      </x:c>
      <x:c r="R52" s="36"/>
      <x:c r="S52" s="36"/>
    </x:row>
    <x:row r="53">
      <x:c r="A53" s="36"/>
      <x:c r="B53" s="59"/>
      <x:c r="C53" s="36"/>
      <x:c r="D53" s="36"/>
      <x:c r="E53" s="36"/>
      <x:c r="F53" s="36"/>
      <x:c r="G53" s="37"/>
      <x:c r="H53" s="37"/>
      <x:c r="I53" s="37"/>
      <x:c r="J53" s="38"/>
      <x:c r="K53" s="36"/>
      <x:c r="L53" s="36"/>
      <x:c r="M53" s="36"/>
      <x:c r="N53" s="36"/>
      <x:c r="O53" s="36"/>
      <x:c r="P53" s="75"/>
      <x:c r="Q53" s="63" t="str">
        <x:f>IF($A53="","",IF($O53="Sim",IFERROR($G53/MAX($P53,1),$G53),$G53))</x:f>
      </x:c>
      <x:c r="R53" s="36"/>
      <x:c r="S53" s="36"/>
    </x:row>
    <x:row r="54">
      <x:c r="A54" s="36"/>
      <x:c r="B54" s="59"/>
      <x:c r="C54" s="36"/>
      <x:c r="D54" s="36"/>
      <x:c r="E54" s="36"/>
      <x:c r="F54" s="36"/>
      <x:c r="G54" s="37"/>
      <x:c r="H54" s="37"/>
      <x:c r="I54" s="37"/>
      <x:c r="J54" s="38"/>
      <x:c r="K54" s="36"/>
      <x:c r="L54" s="36"/>
      <x:c r="M54" s="36"/>
      <x:c r="N54" s="36"/>
      <x:c r="O54" s="36"/>
      <x:c r="P54" s="75"/>
      <x:c r="Q54" s="63" t="str">
        <x:f>IF($A54="","",IF($O54="Sim",IFERROR($G54/MAX($P54,1),$G54),$G54))</x:f>
      </x:c>
      <x:c r="R54" s="36"/>
      <x:c r="S54" s="36"/>
    </x:row>
    <x:row r="55">
      <x:c r="A55" s="36"/>
      <x:c r="B55" s="59"/>
      <x:c r="C55" s="36"/>
      <x:c r="D55" s="36"/>
      <x:c r="E55" s="36"/>
      <x:c r="F55" s="36"/>
      <x:c r="G55" s="37"/>
      <x:c r="H55" s="37"/>
      <x:c r="I55" s="37"/>
      <x:c r="J55" s="38"/>
      <x:c r="K55" s="36"/>
      <x:c r="L55" s="36"/>
      <x:c r="M55" s="36"/>
      <x:c r="N55" s="36"/>
      <x:c r="O55" s="36"/>
      <x:c r="P55" s="75"/>
      <x:c r="Q55" s="63" t="str">
        <x:f>IF($A55="","",IF($O55="Sim",IFERROR($G55/MAX($P55,1),$G55),$G55))</x:f>
      </x:c>
      <x:c r="R55" s="36"/>
      <x:c r="S55" s="36"/>
    </x:row>
    <x:row r="56">
      <x:c r="A56" s="36"/>
      <x:c r="B56" s="59"/>
      <x:c r="C56" s="36"/>
      <x:c r="D56" s="36"/>
      <x:c r="E56" s="36"/>
      <x:c r="F56" s="36"/>
      <x:c r="G56" s="37"/>
      <x:c r="H56" s="37"/>
      <x:c r="I56" s="37"/>
      <x:c r="J56" s="38"/>
      <x:c r="K56" s="36"/>
      <x:c r="L56" s="36"/>
      <x:c r="M56" s="36"/>
      <x:c r="N56" s="36"/>
      <x:c r="O56" s="36"/>
      <x:c r="P56" s="75"/>
      <x:c r="Q56" s="63" t="str">
        <x:f>IF($A56="","",IF($O56="Sim",IFERROR($G56/MAX($P56,1),$G56),$G56))</x:f>
      </x:c>
      <x:c r="R56" s="36"/>
      <x:c r="S56" s="36"/>
    </x:row>
    <x:row r="57">
      <x:c r="A57" s="36"/>
      <x:c r="B57" s="59"/>
      <x:c r="C57" s="36"/>
      <x:c r="D57" s="36"/>
      <x:c r="E57" s="36"/>
      <x:c r="F57" s="36"/>
      <x:c r="G57" s="37"/>
      <x:c r="H57" s="37"/>
      <x:c r="I57" s="37"/>
      <x:c r="J57" s="38"/>
      <x:c r="K57" s="36"/>
      <x:c r="L57" s="36"/>
      <x:c r="M57" s="36"/>
      <x:c r="N57" s="36"/>
      <x:c r="O57" s="36"/>
      <x:c r="P57" s="75"/>
      <x:c r="Q57" s="63" t="str">
        <x:f>IF($A57="","",IF($O57="Sim",IFERROR($G57/MAX($P57,1),$G57),$G57))</x:f>
      </x:c>
      <x:c r="R57" s="36"/>
      <x:c r="S57" s="36"/>
    </x:row>
    <x:row r="58">
      <x:c r="A58" s="36"/>
      <x:c r="B58" s="59"/>
      <x:c r="C58" s="36"/>
      <x:c r="D58" s="36"/>
      <x:c r="E58" s="36"/>
      <x:c r="F58" s="36"/>
      <x:c r="G58" s="37"/>
      <x:c r="H58" s="37"/>
      <x:c r="I58" s="37"/>
      <x:c r="J58" s="38"/>
      <x:c r="K58" s="36"/>
      <x:c r="L58" s="36"/>
      <x:c r="M58" s="36"/>
      <x:c r="N58" s="36"/>
      <x:c r="O58" s="36"/>
      <x:c r="P58" s="75"/>
      <x:c r="Q58" s="63" t="str">
        <x:f>IF($A58="","",IF($O58="Sim",IFERROR($G58/MAX($P58,1),$G58),$G58))</x:f>
      </x:c>
      <x:c r="R58" s="36"/>
      <x:c r="S58" s="36"/>
    </x:row>
    <x:row r="59">
      <x:c r="A59" s="36"/>
      <x:c r="B59" s="59"/>
      <x:c r="C59" s="36"/>
      <x:c r="D59" s="36"/>
      <x:c r="E59" s="36"/>
      <x:c r="F59" s="36"/>
      <x:c r="G59" s="37"/>
      <x:c r="H59" s="37"/>
      <x:c r="I59" s="37"/>
      <x:c r="J59" s="38"/>
      <x:c r="K59" s="36"/>
      <x:c r="L59" s="36"/>
      <x:c r="M59" s="36"/>
      <x:c r="N59" s="36"/>
      <x:c r="O59" s="36"/>
      <x:c r="P59" s="75"/>
      <x:c r="Q59" s="63" t="str">
        <x:f>IF($A59="","",IF($O59="Sim",IFERROR($G59/MAX($P59,1),$G59),$G59))</x:f>
      </x:c>
      <x:c r="R59" s="36"/>
      <x:c r="S59" s="36"/>
    </x:row>
    <x:row r="60">
      <x:c r="A60" s="36"/>
      <x:c r="B60" s="59"/>
      <x:c r="C60" s="36"/>
      <x:c r="D60" s="36"/>
      <x:c r="E60" s="36"/>
      <x:c r="F60" s="36"/>
      <x:c r="G60" s="37"/>
      <x:c r="H60" s="37"/>
      <x:c r="I60" s="37"/>
      <x:c r="J60" s="38"/>
      <x:c r="K60" s="36"/>
      <x:c r="L60" s="36"/>
      <x:c r="M60" s="36"/>
      <x:c r="N60" s="36"/>
      <x:c r="O60" s="36"/>
      <x:c r="P60" s="75"/>
      <x:c r="Q60" s="63" t="str">
        <x:f>IF($A60="","",IF($O60="Sim",IFERROR($G60/MAX($P60,1),$G60),$G60))</x:f>
      </x:c>
      <x:c r="R60" s="36"/>
      <x:c r="S60" s="36"/>
    </x:row>
    <x:row r="61">
      <x:c r="A61" s="36"/>
      <x:c r="B61" s="59"/>
      <x:c r="C61" s="36"/>
      <x:c r="D61" s="36"/>
      <x:c r="E61" s="36"/>
      <x:c r="F61" s="36"/>
      <x:c r="G61" s="37"/>
      <x:c r="H61" s="37"/>
      <x:c r="I61" s="37"/>
      <x:c r="J61" s="38"/>
      <x:c r="K61" s="36"/>
      <x:c r="L61" s="36"/>
      <x:c r="M61" s="36"/>
      <x:c r="N61" s="36"/>
      <x:c r="O61" s="36"/>
      <x:c r="P61" s="75"/>
      <x:c r="Q61" s="63" t="str">
        <x:f>IF($A61="","",IF($O61="Sim",IFERROR($G61/MAX($P61,1),$G61),$G61))</x:f>
      </x:c>
      <x:c r="R61" s="36"/>
      <x:c r="S61" s="36"/>
    </x:row>
    <x:row r="62">
      <x:c r="A62" s="36"/>
      <x:c r="B62" s="59"/>
      <x:c r="C62" s="36"/>
      <x:c r="D62" s="36"/>
      <x:c r="E62" s="36"/>
      <x:c r="F62" s="36"/>
      <x:c r="G62" s="37"/>
      <x:c r="H62" s="37"/>
      <x:c r="I62" s="37"/>
      <x:c r="J62" s="38"/>
      <x:c r="K62" s="36"/>
      <x:c r="L62" s="36"/>
      <x:c r="M62" s="36"/>
      <x:c r="N62" s="36"/>
      <x:c r="O62" s="36"/>
      <x:c r="P62" s="75"/>
      <x:c r="Q62" s="63" t="str">
        <x:f>IF($A62="","",IF($O62="Sim",IFERROR($G62/MAX($P62,1),$G62),$G62))</x:f>
      </x:c>
      <x:c r="R62" s="36"/>
      <x:c r="S62" s="36"/>
    </x:row>
    <x:row r="63">
      <x:c r="A63" s="36"/>
      <x:c r="B63" s="59"/>
      <x:c r="C63" s="36"/>
      <x:c r="D63" s="36"/>
      <x:c r="E63" s="36"/>
      <x:c r="F63" s="36"/>
      <x:c r="G63" s="37"/>
      <x:c r="H63" s="37"/>
      <x:c r="I63" s="37"/>
      <x:c r="J63" s="38"/>
      <x:c r="K63" s="36"/>
      <x:c r="L63" s="36"/>
      <x:c r="M63" s="36"/>
      <x:c r="N63" s="36"/>
      <x:c r="O63" s="36"/>
      <x:c r="P63" s="75"/>
      <x:c r="Q63" s="63" t="str">
        <x:f>IF($A63="","",IF($O63="Sim",IFERROR($G63/MAX($P63,1),$G63),$G63))</x:f>
      </x:c>
      <x:c r="R63" s="36"/>
      <x:c r="S63" s="36"/>
    </x:row>
    <x:row r="64">
      <x:c r="A64" s="36"/>
      <x:c r="B64" s="59"/>
      <x:c r="C64" s="36"/>
      <x:c r="D64" s="36"/>
      <x:c r="E64" s="36"/>
      <x:c r="F64" s="36"/>
      <x:c r="G64" s="37"/>
      <x:c r="H64" s="37"/>
      <x:c r="I64" s="37"/>
      <x:c r="J64" s="38"/>
      <x:c r="K64" s="36"/>
      <x:c r="L64" s="36"/>
      <x:c r="M64" s="36"/>
      <x:c r="N64" s="36"/>
      <x:c r="O64" s="36"/>
      <x:c r="P64" s="75"/>
      <x:c r="Q64" s="63" t="str">
        <x:f>IF($A64="","",IF($O64="Sim",IFERROR($G64/MAX($P64,1),$G64),$G64))</x:f>
      </x:c>
      <x:c r="R64" s="36"/>
      <x:c r="S64" s="36"/>
    </x:row>
    <x:row r="65">
      <x:c r="A65" s="36"/>
      <x:c r="B65" s="59"/>
      <x:c r="C65" s="36"/>
      <x:c r="D65" s="36"/>
      <x:c r="E65" s="36"/>
      <x:c r="F65" s="36"/>
      <x:c r="G65" s="37"/>
      <x:c r="H65" s="37"/>
      <x:c r="I65" s="37"/>
      <x:c r="J65" s="38"/>
      <x:c r="K65" s="36"/>
      <x:c r="L65" s="36"/>
      <x:c r="M65" s="36"/>
      <x:c r="N65" s="36"/>
      <x:c r="O65" s="36"/>
      <x:c r="P65" s="75"/>
      <x:c r="Q65" s="63" t="str">
        <x:f>IF($A65="","",IF($O65="Sim",IFERROR($G65/MAX($P65,1),$G65),$G65))</x:f>
      </x:c>
      <x:c r="R65" s="36"/>
      <x:c r="S65" s="36"/>
    </x:row>
    <x:row r="66">
      <x:c r="A66" s="36"/>
      <x:c r="B66" s="59"/>
      <x:c r="C66" s="36"/>
      <x:c r="D66" s="36"/>
      <x:c r="E66" s="36"/>
      <x:c r="F66" s="36"/>
      <x:c r="G66" s="37"/>
      <x:c r="H66" s="37"/>
      <x:c r="I66" s="37"/>
      <x:c r="J66" s="38"/>
      <x:c r="K66" s="36"/>
      <x:c r="L66" s="36"/>
      <x:c r="M66" s="36"/>
      <x:c r="N66" s="36"/>
      <x:c r="O66" s="36"/>
      <x:c r="P66" s="75"/>
      <x:c r="Q66" s="63" t="str">
        <x:f>IF($A66="","",IF($O66="Sim",IFERROR($G66/MAX($P66,1),$G66),$G66))</x:f>
      </x:c>
      <x:c r="R66" s="36"/>
      <x:c r="S66" s="36"/>
    </x:row>
    <x:row r="67">
      <x:c r="A67" s="36"/>
      <x:c r="B67" s="59"/>
      <x:c r="C67" s="36"/>
      <x:c r="D67" s="36"/>
      <x:c r="E67" s="36"/>
      <x:c r="F67" s="36"/>
      <x:c r="G67" s="37"/>
      <x:c r="H67" s="37"/>
      <x:c r="I67" s="37"/>
      <x:c r="J67" s="38"/>
      <x:c r="K67" s="36"/>
      <x:c r="L67" s="36"/>
      <x:c r="M67" s="36"/>
      <x:c r="N67" s="36"/>
      <x:c r="O67" s="36"/>
      <x:c r="P67" s="75"/>
      <x:c r="Q67" s="63" t="str">
        <x:f>IF($A67="","",IF($O67="Sim",IFERROR($G67/MAX($P67,1),$G67),$G67))</x:f>
      </x:c>
      <x:c r="R67" s="36"/>
      <x:c r="S67" s="36"/>
    </x:row>
    <x:row r="68">
      <x:c r="A68" s="36"/>
      <x:c r="B68" s="59"/>
      <x:c r="C68" s="36"/>
      <x:c r="D68" s="36"/>
      <x:c r="E68" s="36"/>
      <x:c r="F68" s="36"/>
      <x:c r="G68" s="37"/>
      <x:c r="H68" s="37"/>
      <x:c r="I68" s="37"/>
      <x:c r="J68" s="38"/>
      <x:c r="K68" s="36"/>
      <x:c r="L68" s="36"/>
      <x:c r="M68" s="36"/>
      <x:c r="N68" s="36"/>
      <x:c r="O68" s="36"/>
      <x:c r="P68" s="75"/>
      <x:c r="Q68" s="63" t="str">
        <x:f>IF($A68="","",IF($O68="Sim",IFERROR($G68/MAX($P68,1),$G68),$G68))</x:f>
      </x:c>
      <x:c r="R68" s="36"/>
      <x:c r="S68" s="36"/>
    </x:row>
    <x:row r="69">
      <x:c r="A69" s="36"/>
      <x:c r="B69" s="59"/>
      <x:c r="C69" s="36"/>
      <x:c r="D69" s="36"/>
      <x:c r="E69" s="36"/>
      <x:c r="F69" s="36"/>
      <x:c r="G69" s="37"/>
      <x:c r="H69" s="37"/>
      <x:c r="I69" s="37"/>
      <x:c r="J69" s="38"/>
      <x:c r="K69" s="36"/>
      <x:c r="L69" s="36"/>
      <x:c r="M69" s="36"/>
      <x:c r="N69" s="36"/>
      <x:c r="O69" s="36"/>
      <x:c r="P69" s="75"/>
      <x:c r="Q69" s="63" t="str">
        <x:f>IF($A69="","",IF($O69="Sim",IFERROR($G69/MAX($P69,1),$G69),$G69))</x:f>
      </x:c>
      <x:c r="R69" s="36"/>
      <x:c r="S69" s="36"/>
    </x:row>
    <x:row r="70">
      <x:c r="A70" s="36"/>
      <x:c r="B70" s="59"/>
      <x:c r="C70" s="36"/>
      <x:c r="D70" s="36"/>
      <x:c r="E70" s="36"/>
      <x:c r="F70" s="36"/>
      <x:c r="G70" s="37"/>
      <x:c r="H70" s="37"/>
      <x:c r="I70" s="37"/>
      <x:c r="J70" s="38"/>
      <x:c r="K70" s="36"/>
      <x:c r="L70" s="36"/>
      <x:c r="M70" s="36"/>
      <x:c r="N70" s="36"/>
      <x:c r="O70" s="36"/>
      <x:c r="P70" s="75"/>
      <x:c r="Q70" s="63" t="str">
        <x:f>IF($A70="","",IF($O70="Sim",IFERROR($G70/MAX($P70,1),$G70),$G70))</x:f>
      </x:c>
      <x:c r="R70" s="36"/>
      <x:c r="S70" s="36"/>
    </x:row>
    <x:row r="71">
      <x:c r="A71" s="36"/>
      <x:c r="B71" s="59"/>
      <x:c r="C71" s="36"/>
      <x:c r="D71" s="36"/>
      <x:c r="E71" s="36"/>
      <x:c r="F71" s="36"/>
      <x:c r="G71" s="37"/>
      <x:c r="H71" s="37"/>
      <x:c r="I71" s="37"/>
      <x:c r="J71" s="38"/>
      <x:c r="K71" s="36"/>
      <x:c r="L71" s="36"/>
      <x:c r="M71" s="36"/>
      <x:c r="N71" s="36"/>
      <x:c r="O71" s="36"/>
      <x:c r="P71" s="75"/>
      <x:c r="Q71" s="63" t="str">
        <x:f>IF($A71="","",IF($O71="Sim",IFERROR($G71/MAX($P71,1),$G71),$G71))</x:f>
      </x:c>
      <x:c r="R71" s="36"/>
      <x:c r="S71" s="36"/>
    </x:row>
    <x:row r="72">
      <x:c r="A72" s="36"/>
      <x:c r="B72" s="59"/>
      <x:c r="C72" s="36"/>
      <x:c r="D72" s="36"/>
      <x:c r="E72" s="36"/>
      <x:c r="F72" s="36"/>
      <x:c r="G72" s="37"/>
      <x:c r="H72" s="37"/>
      <x:c r="I72" s="37"/>
      <x:c r="J72" s="38"/>
      <x:c r="K72" s="36"/>
      <x:c r="L72" s="36"/>
      <x:c r="M72" s="36"/>
      <x:c r="N72" s="36"/>
      <x:c r="O72" s="36"/>
      <x:c r="P72" s="75"/>
      <x:c r="Q72" s="63" t="str">
        <x:f>IF($A72="","",IF($O72="Sim",IFERROR($G72/MAX($P72,1),$G72),$G72))</x:f>
      </x:c>
      <x:c r="R72" s="36"/>
      <x:c r="S72" s="36"/>
    </x:row>
    <x:row r="73">
      <x:c r="A73" s="36"/>
      <x:c r="B73" s="59"/>
      <x:c r="C73" s="36"/>
      <x:c r="D73" s="36"/>
      <x:c r="E73" s="36"/>
      <x:c r="F73" s="36"/>
      <x:c r="G73" s="37"/>
      <x:c r="H73" s="37"/>
      <x:c r="I73" s="37"/>
      <x:c r="J73" s="38"/>
      <x:c r="K73" s="36"/>
      <x:c r="L73" s="36"/>
      <x:c r="M73" s="36"/>
      <x:c r="N73" s="36"/>
      <x:c r="O73" s="36"/>
      <x:c r="P73" s="75"/>
      <x:c r="Q73" s="63" t="str">
        <x:f>IF($A73="","",IF($O73="Sim",IFERROR($G73/MAX($P73,1),$G73),$G73))</x:f>
      </x:c>
      <x:c r="R73" s="36"/>
      <x:c r="S73" s="36"/>
    </x:row>
    <x:row r="74">
      <x:c r="A74" s="36"/>
      <x:c r="B74" s="59"/>
      <x:c r="C74" s="36"/>
      <x:c r="D74" s="36"/>
      <x:c r="E74" s="36"/>
      <x:c r="F74" s="36"/>
      <x:c r="G74" s="37"/>
      <x:c r="H74" s="37"/>
      <x:c r="I74" s="37"/>
      <x:c r="J74" s="38"/>
      <x:c r="K74" s="36"/>
      <x:c r="L74" s="36"/>
      <x:c r="M74" s="36"/>
      <x:c r="N74" s="36"/>
      <x:c r="O74" s="36"/>
      <x:c r="P74" s="75"/>
      <x:c r="Q74" s="63" t="str">
        <x:f>IF($A74="","",IF($O74="Sim",IFERROR($G74/MAX($P74,1),$G74),$G74))</x:f>
      </x:c>
      <x:c r="R74" s="36"/>
      <x:c r="S74" s="36"/>
    </x:row>
    <x:row r="75">
      <x:c r="A75" s="36"/>
      <x:c r="B75" s="59"/>
      <x:c r="C75" s="36"/>
      <x:c r="D75" s="36"/>
      <x:c r="E75" s="36"/>
      <x:c r="F75" s="36"/>
      <x:c r="G75" s="37"/>
      <x:c r="H75" s="37"/>
      <x:c r="I75" s="37"/>
      <x:c r="J75" s="38"/>
      <x:c r="K75" s="36"/>
      <x:c r="L75" s="36"/>
      <x:c r="M75" s="36"/>
      <x:c r="N75" s="36"/>
      <x:c r="O75" s="36"/>
      <x:c r="P75" s="75"/>
      <x:c r="Q75" s="63" t="str">
        <x:f>IF($A75="","",IF($O75="Sim",IFERROR($G75/MAX($P75,1),$G75),$G75))</x:f>
      </x:c>
      <x:c r="R75" s="36"/>
      <x:c r="S75" s="36"/>
    </x:row>
    <x:row r="76">
      <x:c r="A76" s="36"/>
      <x:c r="B76" s="59"/>
      <x:c r="C76" s="36"/>
      <x:c r="D76" s="36"/>
      <x:c r="E76" s="36"/>
      <x:c r="F76" s="36"/>
      <x:c r="G76" s="37"/>
      <x:c r="H76" s="37"/>
      <x:c r="I76" s="37"/>
      <x:c r="J76" s="38"/>
      <x:c r="K76" s="36"/>
      <x:c r="L76" s="36"/>
      <x:c r="M76" s="36"/>
      <x:c r="N76" s="36"/>
      <x:c r="O76" s="36"/>
      <x:c r="P76" s="75"/>
      <x:c r="Q76" s="63" t="str">
        <x:f>IF($A76="","",IF($O76="Sim",IFERROR($G76/MAX($P76,1),$G76),$G76))</x:f>
      </x:c>
      <x:c r="R76" s="36"/>
      <x:c r="S76" s="36"/>
    </x:row>
    <x:row r="77">
      <x:c r="A77" s="36"/>
      <x:c r="B77" s="59"/>
      <x:c r="C77" s="36"/>
      <x:c r="D77" s="36"/>
      <x:c r="E77" s="36"/>
      <x:c r="F77" s="36"/>
      <x:c r="G77" s="37"/>
      <x:c r="H77" s="37"/>
      <x:c r="I77" s="37"/>
      <x:c r="J77" s="38"/>
      <x:c r="K77" s="36"/>
      <x:c r="L77" s="36"/>
      <x:c r="M77" s="36"/>
      <x:c r="N77" s="36"/>
      <x:c r="O77" s="36"/>
      <x:c r="P77" s="75"/>
      <x:c r="Q77" s="63" t="str">
        <x:f>IF($A77="","",IF($O77="Sim",IFERROR($G77/MAX($P77,1),$G77),$G77))</x:f>
      </x:c>
      <x:c r="R77" s="36"/>
      <x:c r="S77" s="36"/>
    </x:row>
    <x:row r="78">
      <x:c r="A78" s="36"/>
      <x:c r="B78" s="59"/>
      <x:c r="C78" s="36"/>
      <x:c r="D78" s="36"/>
      <x:c r="E78" s="36"/>
      <x:c r="F78" s="36"/>
      <x:c r="G78" s="37"/>
      <x:c r="H78" s="37"/>
      <x:c r="I78" s="37"/>
      <x:c r="J78" s="38"/>
      <x:c r="K78" s="36"/>
      <x:c r="L78" s="36"/>
      <x:c r="M78" s="36"/>
      <x:c r="N78" s="36"/>
      <x:c r="O78" s="36"/>
      <x:c r="P78" s="75"/>
      <x:c r="Q78" s="63" t="str">
        <x:f>IF($A78="","",IF($O78="Sim",IFERROR($G78/MAX($P78,1),$G78),$G78))</x:f>
      </x:c>
      <x:c r="R78" s="36"/>
      <x:c r="S78" s="36"/>
    </x:row>
    <x:row r="79">
      <x:c r="A79" s="36"/>
      <x:c r="B79" s="59"/>
      <x:c r="C79" s="36"/>
      <x:c r="D79" s="36"/>
      <x:c r="E79" s="36"/>
      <x:c r="F79" s="36"/>
      <x:c r="G79" s="37"/>
      <x:c r="H79" s="37"/>
      <x:c r="I79" s="37"/>
      <x:c r="J79" s="38"/>
      <x:c r="K79" s="36"/>
      <x:c r="L79" s="36"/>
      <x:c r="M79" s="36"/>
      <x:c r="N79" s="36"/>
      <x:c r="O79" s="36"/>
      <x:c r="P79" s="75"/>
      <x:c r="Q79" s="63" t="str">
        <x:f>IF($A79="","",IF($O79="Sim",IFERROR($G79/MAX($P79,1),$G79),$G79))</x:f>
      </x:c>
      <x:c r="R79" s="36"/>
      <x:c r="S79" s="36"/>
    </x:row>
    <x:row r="80">
      <x:c r="A80" s="36"/>
      <x:c r="B80" s="59"/>
      <x:c r="C80" s="36"/>
      <x:c r="D80" s="36"/>
      <x:c r="E80" s="36"/>
      <x:c r="F80" s="36"/>
      <x:c r="G80" s="37"/>
      <x:c r="H80" s="37"/>
      <x:c r="I80" s="37"/>
      <x:c r="J80" s="38"/>
      <x:c r="K80" s="36"/>
      <x:c r="L80" s="36"/>
      <x:c r="M80" s="36"/>
      <x:c r="N80" s="36"/>
      <x:c r="O80" s="36"/>
      <x:c r="P80" s="75"/>
      <x:c r="Q80" s="63" t="str">
        <x:f>IF($A80="","",IF($O80="Sim",IFERROR($G80/MAX($P80,1),$G80),$G80))</x:f>
      </x:c>
      <x:c r="R80" s="36"/>
      <x:c r="S80" s="36"/>
    </x:row>
    <x:row r="81">
      <x:c r="A81" s="36"/>
      <x:c r="B81" s="59"/>
      <x:c r="C81" s="36"/>
      <x:c r="D81" s="36"/>
      <x:c r="E81" s="36"/>
      <x:c r="F81" s="36"/>
      <x:c r="G81" s="37"/>
      <x:c r="H81" s="37"/>
      <x:c r="I81" s="37"/>
      <x:c r="J81" s="38"/>
      <x:c r="K81" s="36"/>
      <x:c r="L81" s="36"/>
      <x:c r="M81" s="36"/>
      <x:c r="N81" s="36"/>
      <x:c r="O81" s="36"/>
      <x:c r="P81" s="75"/>
      <x:c r="Q81" s="63" t="str">
        <x:f>IF($A81="","",IF($O81="Sim",IFERROR($G81/MAX($P81,1),$G81),$G81))</x:f>
      </x:c>
      <x:c r="R81" s="36"/>
      <x:c r="S81" s="36"/>
    </x:row>
    <x:row r="82">
      <x:c r="A82" s="36"/>
      <x:c r="B82" s="59"/>
      <x:c r="C82" s="36"/>
      <x:c r="D82" s="36"/>
      <x:c r="E82" s="36"/>
      <x:c r="F82" s="36"/>
      <x:c r="G82" s="37"/>
      <x:c r="H82" s="37"/>
      <x:c r="I82" s="37"/>
      <x:c r="J82" s="38"/>
      <x:c r="K82" s="36"/>
      <x:c r="L82" s="36"/>
      <x:c r="M82" s="36"/>
      <x:c r="N82" s="36"/>
      <x:c r="O82" s="36"/>
      <x:c r="P82" s="75"/>
      <x:c r="Q82" s="63" t="str">
        <x:f>IF($A82="","",IF($O82="Sim",IFERROR($G82/MAX($P82,1),$G82),$G82))</x:f>
      </x:c>
      <x:c r="R82" s="36"/>
      <x:c r="S82" s="36"/>
    </x:row>
    <x:row r="83">
      <x:c r="A83" s="36"/>
      <x:c r="B83" s="59"/>
      <x:c r="C83" s="36"/>
      <x:c r="D83" s="36"/>
      <x:c r="E83" s="36"/>
      <x:c r="F83" s="36"/>
      <x:c r="G83" s="37"/>
      <x:c r="H83" s="37"/>
      <x:c r="I83" s="37"/>
      <x:c r="J83" s="38"/>
      <x:c r="K83" s="36"/>
      <x:c r="L83" s="36"/>
      <x:c r="M83" s="36"/>
      <x:c r="N83" s="36"/>
      <x:c r="O83" s="36"/>
      <x:c r="P83" s="75"/>
      <x:c r="Q83" s="63" t="str">
        <x:f>IF($A83="","",IF($O83="Sim",IFERROR($G83/MAX($P83,1),$G83),$G83))</x:f>
      </x:c>
      <x:c r="R83" s="36"/>
      <x:c r="S83" s="36"/>
    </x:row>
    <x:row r="84">
      <x:c r="A84" s="36"/>
      <x:c r="B84" s="59"/>
      <x:c r="C84" s="36"/>
      <x:c r="D84" s="36"/>
      <x:c r="E84" s="36"/>
      <x:c r="F84" s="36"/>
      <x:c r="G84" s="37"/>
      <x:c r="H84" s="37"/>
      <x:c r="I84" s="37"/>
      <x:c r="J84" s="38"/>
      <x:c r="K84" s="36"/>
      <x:c r="L84" s="36"/>
      <x:c r="M84" s="36"/>
      <x:c r="N84" s="36"/>
      <x:c r="O84" s="36"/>
      <x:c r="P84" s="75"/>
      <x:c r="Q84" s="63" t="str">
        <x:f>IF($A84="","",IF($O84="Sim",IFERROR($G84/MAX($P84,1),$G84),$G84))</x:f>
      </x:c>
      <x:c r="R84" s="36"/>
      <x:c r="S84" s="36"/>
    </x:row>
    <x:row r="85">
      <x:c r="A85" s="36"/>
      <x:c r="B85" s="59"/>
      <x:c r="C85" s="36"/>
      <x:c r="D85" s="36"/>
      <x:c r="E85" s="36"/>
      <x:c r="F85" s="36"/>
      <x:c r="G85" s="37"/>
      <x:c r="H85" s="37"/>
      <x:c r="I85" s="37"/>
      <x:c r="J85" s="38"/>
      <x:c r="K85" s="36"/>
      <x:c r="L85" s="36"/>
      <x:c r="M85" s="36"/>
      <x:c r="N85" s="36"/>
      <x:c r="O85" s="36"/>
      <x:c r="P85" s="75"/>
      <x:c r="Q85" s="63" t="str">
        <x:f>IF($A85="","",IF($O85="Sim",IFERROR($G85/MAX($P85,1),$G85),$G85))</x:f>
      </x:c>
      <x:c r="R85" s="36"/>
      <x:c r="S85" s="36"/>
    </x:row>
    <x:row r="86">
      <x:c r="A86" s="36"/>
      <x:c r="B86" s="59"/>
      <x:c r="C86" s="36"/>
      <x:c r="D86" s="36"/>
      <x:c r="E86" s="36"/>
      <x:c r="F86" s="36"/>
      <x:c r="G86" s="37"/>
      <x:c r="H86" s="37"/>
      <x:c r="I86" s="37"/>
      <x:c r="J86" s="38"/>
      <x:c r="K86" s="36"/>
      <x:c r="L86" s="36"/>
      <x:c r="M86" s="36"/>
      <x:c r="N86" s="36"/>
      <x:c r="O86" s="36"/>
      <x:c r="P86" s="75"/>
      <x:c r="Q86" s="63" t="str">
        <x:f>IF($A86="","",IF($O86="Sim",IFERROR($G86/MAX($P86,1),$G86),$G86))</x:f>
      </x:c>
      <x:c r="R86" s="36"/>
      <x:c r="S86" s="36"/>
    </x:row>
    <x:row r="87">
      <x:c r="A87" s="36"/>
      <x:c r="B87" s="59"/>
      <x:c r="C87" s="36"/>
      <x:c r="D87" s="36"/>
      <x:c r="E87" s="36"/>
      <x:c r="F87" s="36"/>
      <x:c r="G87" s="37"/>
      <x:c r="H87" s="37"/>
      <x:c r="I87" s="37"/>
      <x:c r="J87" s="38"/>
      <x:c r="K87" s="36"/>
      <x:c r="L87" s="36"/>
      <x:c r="M87" s="36"/>
      <x:c r="N87" s="36"/>
      <x:c r="O87" s="36"/>
      <x:c r="P87" s="75"/>
      <x:c r="Q87" s="63" t="str">
        <x:f>IF($A87="","",IF($O87="Sim",IFERROR($G87/MAX($P87,1),$G87),$G87))</x:f>
      </x:c>
      <x:c r="R87" s="36"/>
      <x:c r="S87" s="36"/>
    </x:row>
    <x:row r="88">
      <x:c r="A88" s="36"/>
      <x:c r="B88" s="59"/>
      <x:c r="C88" s="36"/>
      <x:c r="D88" s="36"/>
      <x:c r="E88" s="36"/>
      <x:c r="F88" s="36"/>
      <x:c r="G88" s="37"/>
      <x:c r="H88" s="37"/>
      <x:c r="I88" s="37"/>
      <x:c r="J88" s="38"/>
      <x:c r="K88" s="36"/>
      <x:c r="L88" s="36"/>
      <x:c r="M88" s="36"/>
      <x:c r="N88" s="36"/>
      <x:c r="O88" s="36"/>
      <x:c r="P88" s="75"/>
      <x:c r="Q88" s="63" t="str">
        <x:f>IF($A88="","",IF($O88="Sim",IFERROR($G88/MAX($P88,1),$G88),$G88))</x:f>
      </x:c>
      <x:c r="R88" s="36"/>
      <x:c r="S88" s="36"/>
    </x:row>
    <x:row r="89">
      <x:c r="A89" s="36"/>
      <x:c r="B89" s="59"/>
      <x:c r="C89" s="36"/>
      <x:c r="D89" s="36"/>
      <x:c r="E89" s="36"/>
      <x:c r="F89" s="36"/>
      <x:c r="G89" s="37"/>
      <x:c r="H89" s="37"/>
      <x:c r="I89" s="37"/>
      <x:c r="J89" s="38"/>
      <x:c r="K89" s="36"/>
      <x:c r="L89" s="36"/>
      <x:c r="M89" s="36"/>
      <x:c r="N89" s="36"/>
      <x:c r="O89" s="36"/>
      <x:c r="P89" s="75"/>
      <x:c r="Q89" s="63" t="str">
        <x:f>IF($A89="","",IF($O89="Sim",IFERROR($G89/MAX($P89,1),$G89),$G89))</x:f>
      </x:c>
      <x:c r="R89" s="36"/>
      <x:c r="S89" s="36"/>
    </x:row>
    <x:row r="90">
      <x:c r="A90" s="36"/>
      <x:c r="B90" s="59"/>
      <x:c r="C90" s="36"/>
      <x:c r="D90" s="36"/>
      <x:c r="E90" s="36"/>
      <x:c r="F90" s="36"/>
      <x:c r="G90" s="37"/>
      <x:c r="H90" s="37"/>
      <x:c r="I90" s="37"/>
      <x:c r="J90" s="38"/>
      <x:c r="K90" s="36"/>
      <x:c r="L90" s="36"/>
      <x:c r="M90" s="36"/>
      <x:c r="N90" s="36"/>
      <x:c r="O90" s="36"/>
      <x:c r="P90" s="75"/>
      <x:c r="Q90" s="63" t="str">
        <x:f>IF($A90="","",IF($O90="Sim",IFERROR($G90/MAX($P90,1),$G90),$G90))</x:f>
      </x:c>
      <x:c r="R90" s="36"/>
      <x:c r="S90" s="36"/>
    </x:row>
    <x:row r="91">
      <x:c r="A91" s="36"/>
      <x:c r="B91" s="59"/>
      <x:c r="C91" s="36"/>
      <x:c r="D91" s="36"/>
      <x:c r="E91" s="36"/>
      <x:c r="F91" s="36"/>
      <x:c r="G91" s="37"/>
      <x:c r="H91" s="37"/>
      <x:c r="I91" s="37"/>
      <x:c r="J91" s="38"/>
      <x:c r="K91" s="36"/>
      <x:c r="L91" s="36"/>
      <x:c r="M91" s="36"/>
      <x:c r="N91" s="36"/>
      <x:c r="O91" s="36"/>
      <x:c r="P91" s="75"/>
      <x:c r="Q91" s="63" t="str">
        <x:f>IF($A91="","",IF($O91="Sim",IFERROR($G91/MAX($P91,1),$G91),$G91))</x:f>
      </x:c>
      <x:c r="R91" s="36"/>
      <x:c r="S91" s="36"/>
    </x:row>
    <x:row r="92">
      <x:c r="A92" s="36"/>
      <x:c r="B92" s="59"/>
      <x:c r="C92" s="36"/>
      <x:c r="D92" s="36"/>
      <x:c r="E92" s="36"/>
      <x:c r="F92" s="36"/>
      <x:c r="G92" s="37"/>
      <x:c r="H92" s="37"/>
      <x:c r="I92" s="37"/>
      <x:c r="J92" s="38"/>
      <x:c r="K92" s="36"/>
      <x:c r="L92" s="36"/>
      <x:c r="M92" s="36"/>
      <x:c r="N92" s="36"/>
      <x:c r="O92" s="36"/>
      <x:c r="P92" s="75"/>
      <x:c r="Q92" s="63" t="str">
        <x:f>IF($A92="","",IF($O92="Sim",IFERROR($G92/MAX($P92,1),$G92),$G92))</x:f>
      </x:c>
      <x:c r="R92" s="36"/>
      <x:c r="S92" s="36"/>
    </x:row>
    <x:row r="93">
      <x:c r="A93" s="36"/>
      <x:c r="B93" s="59"/>
      <x:c r="C93" s="36"/>
      <x:c r="D93" s="36"/>
      <x:c r="E93" s="36"/>
      <x:c r="F93" s="36"/>
      <x:c r="G93" s="37"/>
      <x:c r="H93" s="37"/>
      <x:c r="I93" s="37"/>
      <x:c r="J93" s="38"/>
      <x:c r="K93" s="36"/>
      <x:c r="L93" s="36"/>
      <x:c r="M93" s="36"/>
      <x:c r="N93" s="36"/>
      <x:c r="O93" s="36"/>
      <x:c r="P93" s="75"/>
      <x:c r="Q93" s="63" t="str">
        <x:f>IF($A93="","",IF($O93="Sim",IFERROR($G93/MAX($P93,1),$G93),$G93))</x:f>
      </x:c>
      <x:c r="R93" s="36"/>
      <x:c r="S93" s="36"/>
    </x:row>
    <x:row r="94">
      <x:c r="A94" s="36"/>
      <x:c r="B94" s="59"/>
      <x:c r="C94" s="36"/>
      <x:c r="D94" s="36"/>
      <x:c r="E94" s="36"/>
      <x:c r="F94" s="36"/>
      <x:c r="G94" s="37"/>
      <x:c r="H94" s="37"/>
      <x:c r="I94" s="37"/>
      <x:c r="J94" s="38"/>
      <x:c r="K94" s="36"/>
      <x:c r="L94" s="36"/>
      <x:c r="M94" s="36"/>
      <x:c r="N94" s="36"/>
      <x:c r="O94" s="36"/>
      <x:c r="P94" s="75"/>
      <x:c r="Q94" s="63" t="str">
        <x:f>IF($A94="","",IF($O94="Sim",IFERROR($G94/MAX($P94,1),$G94),$G94))</x:f>
      </x:c>
      <x:c r="R94" s="36"/>
      <x:c r="S94" s="36"/>
    </x:row>
    <x:row r="95">
      <x:c r="A95" s="36"/>
      <x:c r="B95" s="59"/>
      <x:c r="C95" s="36"/>
      <x:c r="D95" s="36"/>
      <x:c r="E95" s="36"/>
      <x:c r="F95" s="36"/>
      <x:c r="G95" s="37"/>
      <x:c r="H95" s="37"/>
      <x:c r="I95" s="37"/>
      <x:c r="J95" s="38"/>
      <x:c r="K95" s="36"/>
      <x:c r="L95" s="36"/>
      <x:c r="M95" s="36"/>
      <x:c r="N95" s="36"/>
      <x:c r="O95" s="36"/>
      <x:c r="P95" s="75"/>
      <x:c r="Q95" s="63" t="str">
        <x:f>IF($A95="","",IF($O95="Sim",IFERROR($G95/MAX($P95,1),$G95),$G95))</x:f>
      </x:c>
      <x:c r="R95" s="36"/>
      <x:c r="S95" s="36"/>
    </x:row>
    <x:row r="96">
      <x:c r="A96" s="36"/>
      <x:c r="B96" s="59"/>
      <x:c r="C96" s="36"/>
      <x:c r="D96" s="36"/>
      <x:c r="E96" s="36"/>
      <x:c r="F96" s="36"/>
      <x:c r="G96" s="37"/>
      <x:c r="H96" s="37"/>
      <x:c r="I96" s="37"/>
      <x:c r="J96" s="38"/>
      <x:c r="K96" s="36"/>
      <x:c r="L96" s="36"/>
      <x:c r="M96" s="36"/>
      <x:c r="N96" s="36"/>
      <x:c r="O96" s="36"/>
      <x:c r="P96" s="75"/>
      <x:c r="Q96" s="63" t="str">
        <x:f>IF($A96="","",IF($O96="Sim",IFERROR($G96/MAX($P96,1),$G96),$G96))</x:f>
      </x:c>
      <x:c r="R96" s="36"/>
      <x:c r="S96" s="36"/>
    </x:row>
    <x:row r="97">
      <x:c r="A97" s="36"/>
      <x:c r="B97" s="59"/>
      <x:c r="C97" s="36"/>
      <x:c r="D97" s="36"/>
      <x:c r="E97" s="36"/>
      <x:c r="F97" s="36"/>
      <x:c r="G97" s="37"/>
      <x:c r="H97" s="37"/>
      <x:c r="I97" s="37"/>
      <x:c r="J97" s="38"/>
      <x:c r="K97" s="36"/>
      <x:c r="L97" s="36"/>
      <x:c r="M97" s="36"/>
      <x:c r="N97" s="36"/>
      <x:c r="O97" s="36"/>
      <x:c r="P97" s="75"/>
      <x:c r="Q97" s="63" t="str">
        <x:f>IF($A97="","",IF($O97="Sim",IFERROR($G97/MAX($P97,1),$G97),$G97))</x:f>
      </x:c>
      <x:c r="R97" s="36"/>
      <x:c r="S97" s="36"/>
    </x:row>
    <x:row r="98">
      <x:c r="A98" s="36"/>
      <x:c r="B98" s="59"/>
      <x:c r="C98" s="36"/>
      <x:c r="D98" s="36"/>
      <x:c r="E98" s="36"/>
      <x:c r="F98" s="36"/>
      <x:c r="G98" s="37"/>
      <x:c r="H98" s="37"/>
      <x:c r="I98" s="37"/>
      <x:c r="J98" s="38"/>
      <x:c r="K98" s="36"/>
      <x:c r="L98" s="36"/>
      <x:c r="M98" s="36"/>
      <x:c r="N98" s="36"/>
      <x:c r="O98" s="36"/>
      <x:c r="P98" s="75"/>
      <x:c r="Q98" s="63" t="str">
        <x:f>IF($A98="","",IF($O98="Sim",IFERROR($G98/MAX($P98,1),$G98),$G98))</x:f>
      </x:c>
      <x:c r="R98" s="36"/>
      <x:c r="S98" s="36"/>
    </x:row>
    <x:row r="99">
      <x:c r="A99" s="36"/>
      <x:c r="B99" s="59"/>
      <x:c r="C99" s="36"/>
      <x:c r="D99" s="36"/>
      <x:c r="E99" s="36"/>
      <x:c r="F99" s="36"/>
      <x:c r="G99" s="37"/>
      <x:c r="H99" s="37"/>
      <x:c r="I99" s="37"/>
      <x:c r="J99" s="38"/>
      <x:c r="K99" s="36"/>
      <x:c r="L99" s="36"/>
      <x:c r="M99" s="36"/>
      <x:c r="N99" s="36"/>
      <x:c r="O99" s="36"/>
      <x:c r="P99" s="75"/>
      <x:c r="Q99" s="63" t="str">
        <x:f>IF($A99="","",IF($O99="Sim",IFERROR($G99/MAX($P99,1),$G99),$G99))</x:f>
      </x:c>
      <x:c r="R99" s="36"/>
      <x:c r="S99" s="36"/>
    </x:row>
    <x:row r="100">
      <x:c r="A100" s="36"/>
      <x:c r="B100" s="59"/>
      <x:c r="C100" s="36"/>
      <x:c r="D100" s="36"/>
      <x:c r="E100" s="36"/>
      <x:c r="F100" s="36"/>
      <x:c r="G100" s="37"/>
      <x:c r="H100" s="37"/>
      <x:c r="I100" s="37"/>
      <x:c r="J100" s="38"/>
      <x:c r="K100" s="36"/>
      <x:c r="L100" s="36"/>
      <x:c r="M100" s="36"/>
      <x:c r="N100" s="36"/>
      <x:c r="O100" s="36"/>
      <x:c r="P100" s="75"/>
      <x:c r="Q100" s="63" t="str">
        <x:f>IF($A100="","",IF($O100="Sim",IFERROR($G100/MAX($P100,1),$G100),$G100))</x:f>
      </x:c>
      <x:c r="R100" s="36"/>
      <x:c r="S100" s="36"/>
    </x:row>
    <x:row r="101">
      <x:c r="A101" s="36"/>
      <x:c r="B101" s="59"/>
      <x:c r="C101" s="36"/>
      <x:c r="D101" s="36"/>
      <x:c r="E101" s="36"/>
      <x:c r="F101" s="36"/>
      <x:c r="G101" s="37"/>
      <x:c r="H101" s="37"/>
      <x:c r="I101" s="37"/>
      <x:c r="J101" s="38"/>
      <x:c r="K101" s="36"/>
      <x:c r="L101" s="36"/>
      <x:c r="M101" s="36"/>
      <x:c r="N101" s="36"/>
      <x:c r="O101" s="36"/>
      <x:c r="P101" s="75"/>
      <x:c r="Q101" s="63" t="str">
        <x:f>IF($A101="","",IF($O101="Sim",IFERROR($G101/MAX($P101,1),$G101),$G101))</x:f>
      </x:c>
      <x:c r="R101" s="36"/>
      <x:c r="S101" s="36"/>
    </x:row>
    <x:row r="102">
      <x:c r="A102" s="36"/>
      <x:c r="B102" s="59"/>
      <x:c r="C102" s="36"/>
      <x:c r="D102" s="36"/>
      <x:c r="E102" s="36"/>
      <x:c r="F102" s="36"/>
      <x:c r="G102" s="37"/>
      <x:c r="H102" s="37"/>
      <x:c r="I102" s="37"/>
      <x:c r="J102" s="38"/>
      <x:c r="K102" s="36"/>
      <x:c r="L102" s="36"/>
      <x:c r="M102" s="36"/>
      <x:c r="N102" s="36"/>
      <x:c r="O102" s="36"/>
      <x:c r="P102" s="75"/>
      <x:c r="Q102" s="63" t="str">
        <x:f>IF($A102="","",IF($O102="Sim",IFERROR($G102/MAX($P102,1),$G102),$G102))</x:f>
      </x:c>
      <x:c r="R102" s="36"/>
      <x:c r="S102" s="36"/>
    </x:row>
    <x:row r="103">
      <x:c r="A103" s="36"/>
      <x:c r="B103" s="59"/>
      <x:c r="C103" s="36"/>
      <x:c r="D103" s="36"/>
      <x:c r="E103" s="36"/>
      <x:c r="F103" s="36"/>
      <x:c r="G103" s="37"/>
      <x:c r="H103" s="37"/>
      <x:c r="I103" s="37"/>
      <x:c r="J103" s="38"/>
      <x:c r="K103" s="36"/>
      <x:c r="L103" s="36"/>
      <x:c r="M103" s="36"/>
      <x:c r="N103" s="36"/>
      <x:c r="O103" s="36"/>
      <x:c r="P103" s="75"/>
      <x:c r="Q103" s="63" t="str">
        <x:f>IF($A103="","",IF($O103="Sim",IFERROR($G103/MAX($P103,1),$G103),$G103))</x:f>
      </x:c>
      <x:c r="R103" s="36"/>
      <x:c r="S103" s="36"/>
    </x:row>
    <x:row r="104">
      <x:c r="A104" s="36"/>
      <x:c r="B104" s="59"/>
      <x:c r="C104" s="36"/>
      <x:c r="D104" s="36"/>
      <x:c r="E104" s="36"/>
      <x:c r="F104" s="36"/>
      <x:c r="G104" s="37"/>
      <x:c r="H104" s="37"/>
      <x:c r="I104" s="37"/>
      <x:c r="J104" s="38"/>
      <x:c r="K104" s="36"/>
      <x:c r="L104" s="36"/>
      <x:c r="M104" s="36"/>
      <x:c r="N104" s="36"/>
      <x:c r="O104" s="36"/>
      <x:c r="P104" s="75"/>
      <x:c r="Q104" s="63" t="str">
        <x:f>IF($A104="","",IF($O104="Sim",IFERROR($G104/MAX($P104,1),$G104),$G104))</x:f>
      </x:c>
      <x:c r="R104" s="36"/>
      <x:c r="S104" s="36"/>
    </x:row>
    <x:row r="105">
      <x:c r="A105" s="36"/>
      <x:c r="B105" s="59"/>
      <x:c r="C105" s="36"/>
      <x:c r="D105" s="36"/>
      <x:c r="E105" s="36"/>
      <x:c r="F105" s="36"/>
      <x:c r="G105" s="37"/>
      <x:c r="H105" s="37"/>
      <x:c r="I105" s="37"/>
      <x:c r="J105" s="38"/>
      <x:c r="K105" s="36"/>
      <x:c r="L105" s="36"/>
      <x:c r="M105" s="36"/>
      <x:c r="N105" s="36"/>
      <x:c r="O105" s="36"/>
      <x:c r="P105" s="75"/>
      <x:c r="Q105" s="63" t="str">
        <x:f>IF($A105="","",IF($O105="Sim",IFERROR($G105/MAX($P105,1),$G105),$G105))</x:f>
      </x:c>
      <x:c r="R105" s="36"/>
      <x:c r="S105" s="36"/>
    </x:row>
    <x:row r="106">
      <x:c r="A106" s="36"/>
      <x:c r="B106" s="59"/>
      <x:c r="C106" s="36"/>
      <x:c r="D106" s="36"/>
      <x:c r="E106" s="36"/>
      <x:c r="F106" s="36"/>
      <x:c r="G106" s="37"/>
      <x:c r="H106" s="37"/>
      <x:c r="I106" s="37"/>
      <x:c r="J106" s="38"/>
      <x:c r="K106" s="36"/>
      <x:c r="L106" s="36"/>
      <x:c r="M106" s="36"/>
      <x:c r="N106" s="36"/>
      <x:c r="O106" s="36"/>
      <x:c r="P106" s="75"/>
      <x:c r="Q106" s="63" t="str">
        <x:f>IF($A106="","",IF($O106="Sim",IFERROR($G106/MAX($P106,1),$G106),$G106))</x:f>
      </x:c>
      <x:c r="R106" s="36"/>
      <x:c r="S106" s="36"/>
    </x:row>
    <x:row r="107">
      <x:c r="A107" s="36"/>
      <x:c r="B107" s="59"/>
      <x:c r="C107" s="36"/>
      <x:c r="D107" s="36"/>
      <x:c r="E107" s="36"/>
      <x:c r="F107" s="36"/>
      <x:c r="G107" s="37"/>
      <x:c r="H107" s="37"/>
      <x:c r="I107" s="37"/>
      <x:c r="J107" s="38"/>
      <x:c r="K107" s="36"/>
      <x:c r="L107" s="36"/>
      <x:c r="M107" s="36"/>
      <x:c r="N107" s="36"/>
      <x:c r="O107" s="36"/>
      <x:c r="P107" s="75"/>
      <x:c r="Q107" s="63" t="str">
        <x:f>IF($A107="","",IF($O107="Sim",IFERROR($G107/MAX($P107,1),$G107),$G107))</x:f>
      </x:c>
      <x:c r="R107" s="36"/>
      <x:c r="S107" s="36"/>
    </x:row>
    <x:row r="108">
      <x:c r="A108" s="36"/>
      <x:c r="B108" s="59"/>
      <x:c r="C108" s="36"/>
      <x:c r="D108" s="36"/>
      <x:c r="E108" s="36"/>
      <x:c r="F108" s="36"/>
      <x:c r="G108" s="37"/>
      <x:c r="H108" s="37"/>
      <x:c r="I108" s="37"/>
      <x:c r="J108" s="38"/>
      <x:c r="K108" s="36"/>
      <x:c r="L108" s="36"/>
      <x:c r="M108" s="36"/>
      <x:c r="N108" s="36"/>
      <x:c r="O108" s="36"/>
      <x:c r="P108" s="75"/>
      <x:c r="Q108" s="63" t="str">
        <x:f>IF($A108="","",IF($O108="Sim",IFERROR($G108/MAX($P108,1),$G108),$G108))</x:f>
      </x:c>
      <x:c r="R108" s="36"/>
      <x:c r="S108" s="36"/>
    </x:row>
    <x:row r="109">
      <x:c r="A109" s="36"/>
      <x:c r="B109" s="59"/>
      <x:c r="C109" s="36"/>
      <x:c r="D109" s="36"/>
      <x:c r="E109" s="36"/>
      <x:c r="F109" s="36"/>
      <x:c r="G109" s="37"/>
      <x:c r="H109" s="37"/>
      <x:c r="I109" s="37"/>
      <x:c r="J109" s="38"/>
      <x:c r="K109" s="36"/>
      <x:c r="L109" s="36"/>
      <x:c r="M109" s="36"/>
      <x:c r="N109" s="36"/>
      <x:c r="O109" s="36"/>
      <x:c r="P109" s="75"/>
      <x:c r="Q109" s="63" t="str">
        <x:f>IF($A109="","",IF($O109="Sim",IFERROR($G109/MAX($P109,1),$G109),$G109))</x:f>
      </x:c>
      <x:c r="R109" s="36"/>
      <x:c r="S109" s="36"/>
    </x:row>
    <x:row r="110">
      <x:c r="A110" s="36"/>
      <x:c r="B110" s="59"/>
      <x:c r="C110" s="36"/>
      <x:c r="D110" s="36"/>
      <x:c r="E110" s="36"/>
      <x:c r="F110" s="36"/>
      <x:c r="G110" s="37"/>
      <x:c r="H110" s="37"/>
      <x:c r="I110" s="37"/>
      <x:c r="J110" s="38"/>
      <x:c r="K110" s="36"/>
      <x:c r="L110" s="36"/>
      <x:c r="M110" s="36"/>
      <x:c r="N110" s="36"/>
      <x:c r="O110" s="36"/>
      <x:c r="P110" s="75"/>
      <x:c r="Q110" s="63" t="str">
        <x:f>IF($A110="","",IF($O110="Sim",IFERROR($G110/MAX($P110,1),$G110),$G110))</x:f>
      </x:c>
      <x:c r="R110" s="36"/>
      <x:c r="S110" s="36"/>
    </x:row>
    <x:row r="111">
      <x:c r="A111" s="36"/>
      <x:c r="B111" s="59"/>
      <x:c r="C111" s="36"/>
      <x:c r="D111" s="36"/>
      <x:c r="E111" s="36"/>
      <x:c r="F111" s="36"/>
      <x:c r="G111" s="37"/>
      <x:c r="H111" s="37"/>
      <x:c r="I111" s="37"/>
      <x:c r="J111" s="38"/>
      <x:c r="K111" s="36"/>
      <x:c r="L111" s="36"/>
      <x:c r="M111" s="36"/>
      <x:c r="N111" s="36"/>
      <x:c r="O111" s="36"/>
      <x:c r="P111" s="75"/>
      <x:c r="Q111" s="63" t="str">
        <x:f>IF($A111="","",IF($O111="Sim",IFERROR($G111/MAX($P111,1),$G111),$G111))</x:f>
      </x:c>
      <x:c r="R111" s="36"/>
      <x:c r="S111" s="36"/>
    </x:row>
    <x:row r="112">
      <x:c r="A112" s="36"/>
      <x:c r="B112" s="59"/>
      <x:c r="C112" s="36"/>
      <x:c r="D112" s="36"/>
      <x:c r="E112" s="36"/>
      <x:c r="F112" s="36"/>
      <x:c r="G112" s="37"/>
      <x:c r="H112" s="37"/>
      <x:c r="I112" s="37"/>
      <x:c r="J112" s="38"/>
      <x:c r="K112" s="36"/>
      <x:c r="L112" s="36"/>
      <x:c r="M112" s="36"/>
      <x:c r="N112" s="36"/>
      <x:c r="O112" s="36"/>
      <x:c r="P112" s="75"/>
      <x:c r="Q112" s="63" t="str">
        <x:f>IF($A112="","",IF($O112="Sim",IFERROR($G112/MAX($P112,1),$G112),$G112))</x:f>
      </x:c>
      <x:c r="R112" s="36"/>
      <x:c r="S112" s="36"/>
    </x:row>
    <x:row r="113">
      <x:c r="A113" s="36"/>
      <x:c r="B113" s="59"/>
      <x:c r="C113" s="36"/>
      <x:c r="D113" s="36"/>
      <x:c r="E113" s="36"/>
      <x:c r="F113" s="36"/>
      <x:c r="G113" s="37"/>
      <x:c r="H113" s="37"/>
      <x:c r="I113" s="37"/>
      <x:c r="J113" s="38"/>
      <x:c r="K113" s="36"/>
      <x:c r="L113" s="36"/>
      <x:c r="M113" s="36"/>
      <x:c r="N113" s="36"/>
      <x:c r="O113" s="36"/>
      <x:c r="P113" s="75"/>
      <x:c r="Q113" s="63" t="str">
        <x:f>IF($A113="","",IF($O113="Sim",IFERROR($G113/MAX($P113,1),$G113),$G113))</x:f>
      </x:c>
      <x:c r="R113" s="36"/>
      <x:c r="S113" s="36"/>
    </x:row>
    <x:row r="114">
      <x:c r="A114" s="36"/>
      <x:c r="B114" s="59"/>
      <x:c r="C114" s="36"/>
      <x:c r="D114" s="36"/>
      <x:c r="E114" s="36"/>
      <x:c r="F114" s="36"/>
      <x:c r="G114" s="37"/>
      <x:c r="H114" s="37"/>
      <x:c r="I114" s="37"/>
      <x:c r="J114" s="38"/>
      <x:c r="K114" s="36"/>
      <x:c r="L114" s="36"/>
      <x:c r="M114" s="36"/>
      <x:c r="N114" s="36"/>
      <x:c r="O114" s="36"/>
      <x:c r="P114" s="75"/>
      <x:c r="Q114" s="63" t="str">
        <x:f>IF($A114="","",IF($O114="Sim",IFERROR($G114/MAX($P114,1),$G114),$G114))</x:f>
      </x:c>
      <x:c r="R114" s="36"/>
      <x:c r="S114" s="36"/>
    </x:row>
    <x:row r="115">
      <x:c r="A115" s="36"/>
      <x:c r="B115" s="59"/>
      <x:c r="C115" s="36"/>
      <x:c r="D115" s="36"/>
      <x:c r="E115" s="36"/>
      <x:c r="F115" s="36"/>
      <x:c r="G115" s="37"/>
      <x:c r="H115" s="37"/>
      <x:c r="I115" s="37"/>
      <x:c r="J115" s="38"/>
      <x:c r="K115" s="36"/>
      <x:c r="L115" s="36"/>
      <x:c r="M115" s="36"/>
      <x:c r="N115" s="36"/>
      <x:c r="O115" s="36"/>
      <x:c r="P115" s="75"/>
      <x:c r="Q115" s="63" t="str">
        <x:f>IF($A115="","",IF($O115="Sim",IFERROR($G115/MAX($P115,1),$G115),$G115))</x:f>
      </x:c>
      <x:c r="R115" s="36"/>
      <x:c r="S115" s="36"/>
    </x:row>
    <x:row r="116">
      <x:c r="A116" s="36"/>
      <x:c r="B116" s="59"/>
      <x:c r="C116" s="36"/>
      <x:c r="D116" s="36"/>
      <x:c r="E116" s="36"/>
      <x:c r="F116" s="36"/>
      <x:c r="G116" s="37"/>
      <x:c r="H116" s="37"/>
      <x:c r="I116" s="37"/>
      <x:c r="J116" s="38"/>
      <x:c r="K116" s="36"/>
      <x:c r="L116" s="36"/>
      <x:c r="M116" s="36"/>
      <x:c r="N116" s="36"/>
      <x:c r="O116" s="36"/>
      <x:c r="P116" s="75"/>
      <x:c r="Q116" s="63" t="str">
        <x:f>IF($A116="","",IF($O116="Sim",IFERROR($G116/MAX($P116,1),$G116),$G116))</x:f>
      </x:c>
      <x:c r="R116" s="36"/>
      <x:c r="S116" s="36"/>
    </x:row>
    <x:row r="117">
      <x:c r="A117" s="36"/>
      <x:c r="B117" s="59"/>
      <x:c r="C117" s="36"/>
      <x:c r="D117" s="36"/>
      <x:c r="E117" s="36"/>
      <x:c r="F117" s="36"/>
      <x:c r="G117" s="37"/>
      <x:c r="H117" s="37"/>
      <x:c r="I117" s="37"/>
      <x:c r="J117" s="38"/>
      <x:c r="K117" s="36"/>
      <x:c r="L117" s="36"/>
      <x:c r="M117" s="36"/>
      <x:c r="N117" s="36"/>
      <x:c r="O117" s="36"/>
      <x:c r="P117" s="75"/>
      <x:c r="Q117" s="63" t="str">
        <x:f>IF($A117="","",IF($O117="Sim",IFERROR($G117/MAX($P117,1),$G117),$G117))</x:f>
      </x:c>
      <x:c r="R117" s="36"/>
      <x:c r="S117" s="36"/>
    </x:row>
    <x:row r="118">
      <x:c r="A118" s="36"/>
      <x:c r="B118" s="59"/>
      <x:c r="C118" s="36"/>
      <x:c r="D118" s="36"/>
      <x:c r="E118" s="36"/>
      <x:c r="F118" s="36"/>
      <x:c r="G118" s="37"/>
      <x:c r="H118" s="37"/>
      <x:c r="I118" s="37"/>
      <x:c r="J118" s="38"/>
      <x:c r="K118" s="36"/>
      <x:c r="L118" s="36"/>
      <x:c r="M118" s="36"/>
      <x:c r="N118" s="36"/>
      <x:c r="O118" s="36"/>
      <x:c r="P118" s="75"/>
      <x:c r="Q118" s="63" t="str">
        <x:f>IF($A118="","",IF($O118="Sim",IFERROR($G118/MAX($P118,1),$G118),$G118))</x:f>
      </x:c>
      <x:c r="R118" s="36"/>
      <x:c r="S118" s="36"/>
    </x:row>
    <x:row r="119">
      <x:c r="A119" s="36"/>
      <x:c r="B119" s="59"/>
      <x:c r="C119" s="36"/>
      <x:c r="D119" s="36"/>
      <x:c r="E119" s="36"/>
      <x:c r="F119" s="36"/>
      <x:c r="G119" s="37"/>
      <x:c r="H119" s="37"/>
      <x:c r="I119" s="37"/>
      <x:c r="J119" s="38"/>
      <x:c r="K119" s="36"/>
      <x:c r="L119" s="36"/>
      <x:c r="M119" s="36"/>
      <x:c r="N119" s="36"/>
      <x:c r="O119" s="36"/>
      <x:c r="P119" s="75"/>
      <x:c r="Q119" s="63" t="str">
        <x:f>IF($A119="","",IF($O119="Sim",IFERROR($G119/MAX($P119,1),$G119),$G119))</x:f>
      </x:c>
      <x:c r="R119" s="36"/>
      <x:c r="S119" s="36"/>
    </x:row>
    <x:row r="120">
      <x:c r="A120" s="36"/>
      <x:c r="B120" s="59"/>
      <x:c r="C120" s="36"/>
      <x:c r="D120" s="36"/>
      <x:c r="E120" s="36"/>
      <x:c r="F120" s="36"/>
      <x:c r="G120" s="37"/>
      <x:c r="H120" s="37"/>
      <x:c r="I120" s="37"/>
      <x:c r="J120" s="38"/>
      <x:c r="K120" s="36"/>
      <x:c r="L120" s="36"/>
      <x:c r="M120" s="36"/>
      <x:c r="N120" s="36"/>
      <x:c r="O120" s="36"/>
      <x:c r="P120" s="75"/>
      <x:c r="Q120" s="63" t="str">
        <x:f>IF($A120="","",IF($O120="Sim",IFERROR($G120/MAX($P120,1),$G120),$G120))</x:f>
      </x:c>
      <x:c r="R120" s="36"/>
      <x:c r="S120" s="36"/>
    </x:row>
    <x:row r="121">
      <x:c r="A121" s="36"/>
      <x:c r="B121" s="59"/>
      <x:c r="C121" s="36"/>
      <x:c r="D121" s="36"/>
      <x:c r="E121" s="36"/>
      <x:c r="F121" s="36"/>
      <x:c r="G121" s="37"/>
      <x:c r="H121" s="37"/>
      <x:c r="I121" s="37"/>
      <x:c r="J121" s="38"/>
      <x:c r="K121" s="36"/>
      <x:c r="L121" s="36"/>
      <x:c r="M121" s="36"/>
      <x:c r="N121" s="36"/>
      <x:c r="O121" s="36"/>
      <x:c r="P121" s="75"/>
      <x:c r="Q121" s="63" t="str">
        <x:f>IF($A121="","",IF($O121="Sim",IFERROR($G121/MAX($P121,1),$G121),$G121))</x:f>
      </x:c>
      <x:c r="R121" s="36"/>
      <x:c r="S121" s="36"/>
    </x:row>
    <x:row r="122">
      <x:c r="A122" s="36"/>
      <x:c r="B122" s="59"/>
      <x:c r="C122" s="36"/>
      <x:c r="D122" s="36"/>
      <x:c r="E122" s="36"/>
      <x:c r="F122" s="36"/>
      <x:c r="G122" s="37"/>
      <x:c r="H122" s="37"/>
      <x:c r="I122" s="37"/>
      <x:c r="J122" s="38"/>
      <x:c r="K122" s="36"/>
      <x:c r="L122" s="36"/>
      <x:c r="M122" s="36"/>
      <x:c r="N122" s="36"/>
      <x:c r="O122" s="36"/>
      <x:c r="P122" s="75"/>
      <x:c r="Q122" s="63" t="str">
        <x:f>IF($A122="","",IF($O122="Sim",IFERROR($G122/MAX($P122,1),$G122),$G122))</x:f>
      </x:c>
      <x:c r="R122" s="36"/>
      <x:c r="S122" s="36"/>
    </x:row>
    <x:row r="123">
      <x:c r="A123" s="36"/>
      <x:c r="B123" s="59"/>
      <x:c r="C123" s="36"/>
      <x:c r="D123" s="36"/>
      <x:c r="E123" s="36"/>
      <x:c r="F123" s="36"/>
      <x:c r="G123" s="37"/>
      <x:c r="H123" s="37"/>
      <x:c r="I123" s="37"/>
      <x:c r="J123" s="38"/>
      <x:c r="K123" s="36"/>
      <x:c r="L123" s="36"/>
      <x:c r="M123" s="36"/>
      <x:c r="N123" s="36"/>
      <x:c r="O123" s="36"/>
      <x:c r="P123" s="75"/>
      <x:c r="Q123" s="63" t="str">
        <x:f>IF($A123="","",IF($O123="Sim",IFERROR($G123/MAX($P123,1),$G123),$G123))</x:f>
      </x:c>
      <x:c r="R123" s="36"/>
      <x:c r="S123" s="36"/>
    </x:row>
    <x:row r="124">
      <x:c r="A124" s="36"/>
      <x:c r="B124" s="59"/>
      <x:c r="C124" s="36"/>
      <x:c r="D124" s="36"/>
      <x:c r="E124" s="36"/>
      <x:c r="F124" s="36"/>
      <x:c r="G124" s="37"/>
      <x:c r="H124" s="37"/>
      <x:c r="I124" s="37"/>
      <x:c r="J124" s="38"/>
      <x:c r="K124" s="36"/>
      <x:c r="L124" s="36"/>
      <x:c r="M124" s="36"/>
      <x:c r="N124" s="36"/>
      <x:c r="O124" s="36"/>
      <x:c r="P124" s="75"/>
      <x:c r="Q124" s="63" t="str">
        <x:f>IF($A124="","",IF($O124="Sim",IFERROR($G124/MAX($P124,1),$G124),$G124))</x:f>
      </x:c>
      <x:c r="R124" s="36"/>
      <x:c r="S124" s="36"/>
    </x:row>
    <x:row r="125">
      <x:c r="A125" s="36"/>
      <x:c r="B125" s="59"/>
      <x:c r="C125" s="36"/>
      <x:c r="D125" s="36"/>
      <x:c r="E125" s="36"/>
      <x:c r="F125" s="36"/>
      <x:c r="G125" s="37"/>
      <x:c r="H125" s="37"/>
      <x:c r="I125" s="37"/>
      <x:c r="J125" s="38"/>
      <x:c r="K125" s="36"/>
      <x:c r="L125" s="36"/>
      <x:c r="M125" s="36"/>
      <x:c r="N125" s="36"/>
      <x:c r="O125" s="36"/>
      <x:c r="P125" s="75"/>
      <x:c r="Q125" s="63" t="str">
        <x:f>IF($A125="","",IF($O125="Sim",IFERROR($G125/MAX($P125,1),$G125),$G125))</x:f>
      </x:c>
      <x:c r="R125" s="36"/>
      <x:c r="S125" s="36"/>
    </x:row>
    <x:row r="126">
      <x:c r="A126" s="36"/>
      <x:c r="B126" s="59"/>
      <x:c r="C126" s="36"/>
      <x:c r="D126" s="36"/>
      <x:c r="E126" s="36"/>
      <x:c r="F126" s="36"/>
      <x:c r="G126" s="37"/>
      <x:c r="H126" s="37"/>
      <x:c r="I126" s="37"/>
      <x:c r="J126" s="38"/>
      <x:c r="K126" s="36"/>
      <x:c r="L126" s="36"/>
      <x:c r="M126" s="36"/>
      <x:c r="N126" s="36"/>
      <x:c r="O126" s="36"/>
      <x:c r="P126" s="75"/>
      <x:c r="Q126" s="63" t="str">
        <x:f>IF($A126="","",IF($O126="Sim",IFERROR($G126/MAX($P126,1),$G126),$G126))</x:f>
      </x:c>
      <x:c r="R126" s="36"/>
      <x:c r="S126" s="36"/>
    </x:row>
    <x:row r="127">
      <x:c r="A127" s="36"/>
      <x:c r="B127" s="59"/>
      <x:c r="C127" s="36"/>
      <x:c r="D127" s="36"/>
      <x:c r="E127" s="36"/>
      <x:c r="F127" s="36"/>
      <x:c r="G127" s="37"/>
      <x:c r="H127" s="37"/>
      <x:c r="I127" s="37"/>
      <x:c r="J127" s="38"/>
      <x:c r="K127" s="36"/>
      <x:c r="L127" s="36"/>
      <x:c r="M127" s="36"/>
      <x:c r="N127" s="36"/>
      <x:c r="O127" s="36"/>
      <x:c r="P127" s="75"/>
      <x:c r="Q127" s="63" t="str">
        <x:f>IF($A127="","",IF($O127="Sim",IFERROR($G127/MAX($P127,1),$G127),$G127))</x:f>
      </x:c>
      <x:c r="R127" s="36"/>
      <x:c r="S127" s="36"/>
    </x:row>
    <x:row r="128">
      <x:c r="A128" s="36"/>
      <x:c r="B128" s="59"/>
      <x:c r="C128" s="36"/>
      <x:c r="D128" s="36"/>
      <x:c r="E128" s="36"/>
      <x:c r="F128" s="36"/>
      <x:c r="G128" s="37"/>
      <x:c r="H128" s="37"/>
      <x:c r="I128" s="37"/>
      <x:c r="J128" s="38"/>
      <x:c r="K128" s="36"/>
      <x:c r="L128" s="36"/>
      <x:c r="M128" s="36"/>
      <x:c r="N128" s="36"/>
      <x:c r="O128" s="36"/>
      <x:c r="P128" s="75"/>
      <x:c r="Q128" s="63" t="str">
        <x:f>IF($A128="","",IF($O128="Sim",IFERROR($G128/MAX($P128,1),$G128),$G128))</x:f>
      </x:c>
      <x:c r="R128" s="36"/>
      <x:c r="S128" s="36"/>
    </x:row>
    <x:row r="129">
      <x:c r="A129" s="36"/>
      <x:c r="B129" s="59"/>
      <x:c r="C129" s="36"/>
      <x:c r="D129" s="36"/>
      <x:c r="E129" s="36"/>
      <x:c r="F129" s="36"/>
      <x:c r="G129" s="37"/>
      <x:c r="H129" s="37"/>
      <x:c r="I129" s="37"/>
      <x:c r="J129" s="38"/>
      <x:c r="K129" s="36"/>
      <x:c r="L129" s="36"/>
      <x:c r="M129" s="36"/>
      <x:c r="N129" s="36"/>
      <x:c r="O129" s="36"/>
      <x:c r="P129" s="75"/>
      <x:c r="Q129" s="63" t="str">
        <x:f>IF($A129="","",IF($O129="Sim",IFERROR($G129/MAX($P129,1),$G129),$G129))</x:f>
      </x:c>
      <x:c r="R129" s="36"/>
      <x:c r="S129" s="36"/>
    </x:row>
    <x:row r="130">
      <x:c r="A130" s="36"/>
      <x:c r="B130" s="59"/>
      <x:c r="C130" s="36"/>
      <x:c r="D130" s="36"/>
      <x:c r="E130" s="36"/>
      <x:c r="F130" s="36"/>
      <x:c r="G130" s="37"/>
      <x:c r="H130" s="37"/>
      <x:c r="I130" s="37"/>
      <x:c r="J130" s="38"/>
      <x:c r="K130" s="36"/>
      <x:c r="L130" s="36"/>
      <x:c r="M130" s="36"/>
      <x:c r="N130" s="36"/>
      <x:c r="O130" s="36"/>
      <x:c r="P130" s="75"/>
      <x:c r="Q130" s="63" t="str">
        <x:f>IF($A130="","",IF($O130="Sim",IFERROR($G130/MAX($P130,1),$G130),$G130))</x:f>
      </x:c>
      <x:c r="R130" s="36"/>
      <x:c r="S130" s="36"/>
    </x:row>
    <x:row r="131">
      <x:c r="A131" s="36"/>
      <x:c r="B131" s="59"/>
      <x:c r="C131" s="36"/>
      <x:c r="D131" s="36"/>
      <x:c r="E131" s="36"/>
      <x:c r="F131" s="36"/>
      <x:c r="G131" s="37"/>
      <x:c r="H131" s="37"/>
      <x:c r="I131" s="37"/>
      <x:c r="J131" s="38"/>
      <x:c r="K131" s="36"/>
      <x:c r="L131" s="36"/>
      <x:c r="M131" s="36"/>
      <x:c r="N131" s="36"/>
      <x:c r="O131" s="36"/>
      <x:c r="P131" s="75"/>
      <x:c r="Q131" s="63" t="str">
        <x:f>IF($A131="","",IF($O131="Sim",IFERROR($G131/MAX($P131,1),$G131),$G131))</x:f>
      </x:c>
      <x:c r="R131" s="36"/>
      <x:c r="S131" s="36"/>
    </x:row>
    <x:row r="132">
      <x:c r="A132" s="36"/>
      <x:c r="B132" s="59"/>
      <x:c r="C132" s="36"/>
      <x:c r="D132" s="36"/>
      <x:c r="E132" s="36"/>
      <x:c r="F132" s="36"/>
      <x:c r="G132" s="37"/>
      <x:c r="H132" s="37"/>
      <x:c r="I132" s="37"/>
      <x:c r="J132" s="38"/>
      <x:c r="K132" s="36"/>
      <x:c r="L132" s="36"/>
      <x:c r="M132" s="36"/>
      <x:c r="N132" s="36"/>
      <x:c r="O132" s="36"/>
      <x:c r="P132" s="75"/>
      <x:c r="Q132" s="63" t="str">
        <x:f>IF($A132="","",IF($O132="Sim",IFERROR($G132/MAX($P132,1),$G132),$G132))</x:f>
      </x:c>
      <x:c r="R132" s="36"/>
      <x:c r="S132" s="36"/>
    </x:row>
    <x:row r="133">
      <x:c r="A133" s="36"/>
      <x:c r="B133" s="59"/>
      <x:c r="C133" s="36"/>
      <x:c r="D133" s="36"/>
      <x:c r="E133" s="36"/>
      <x:c r="F133" s="36"/>
      <x:c r="G133" s="37"/>
      <x:c r="H133" s="37"/>
      <x:c r="I133" s="37"/>
      <x:c r="J133" s="38"/>
      <x:c r="K133" s="36"/>
      <x:c r="L133" s="36"/>
      <x:c r="M133" s="36"/>
      <x:c r="N133" s="36"/>
      <x:c r="O133" s="36"/>
      <x:c r="P133" s="75"/>
      <x:c r="Q133" s="63" t="str">
        <x:f>IF($A133="","",IF($O133="Sim",IFERROR($G133/MAX($P133,1),$G133),$G133))</x:f>
      </x:c>
      <x:c r="R133" s="36"/>
      <x:c r="S133" s="36"/>
    </x:row>
    <x:row r="134">
      <x:c r="A134" s="36"/>
      <x:c r="B134" s="59"/>
      <x:c r="C134" s="36"/>
      <x:c r="D134" s="36"/>
      <x:c r="E134" s="36"/>
      <x:c r="F134" s="36"/>
      <x:c r="G134" s="37"/>
      <x:c r="H134" s="37"/>
      <x:c r="I134" s="37"/>
      <x:c r="J134" s="38"/>
      <x:c r="K134" s="36"/>
      <x:c r="L134" s="36"/>
      <x:c r="M134" s="36"/>
      <x:c r="N134" s="36"/>
      <x:c r="O134" s="36"/>
      <x:c r="P134" s="75"/>
      <x:c r="Q134" s="63" t="str">
        <x:f>IF($A134="","",IF($O134="Sim",IFERROR($G134/MAX($P134,1),$G134),$G134))</x:f>
      </x:c>
      <x:c r="R134" s="36"/>
      <x:c r="S134" s="36"/>
    </x:row>
    <x:row r="135">
      <x:c r="A135" s="36"/>
      <x:c r="B135" s="59"/>
      <x:c r="C135" s="36"/>
      <x:c r="D135" s="36"/>
      <x:c r="E135" s="36"/>
      <x:c r="F135" s="36"/>
      <x:c r="G135" s="37"/>
      <x:c r="H135" s="37"/>
      <x:c r="I135" s="37"/>
      <x:c r="J135" s="38"/>
      <x:c r="K135" s="36"/>
      <x:c r="L135" s="36"/>
      <x:c r="M135" s="36"/>
      <x:c r="N135" s="36"/>
      <x:c r="O135" s="36"/>
      <x:c r="P135" s="75"/>
      <x:c r="Q135" s="63" t="str">
        <x:f>IF($A135="","",IF($O135="Sim",IFERROR($G135/MAX($P135,1),$G135),$G135))</x:f>
      </x:c>
      <x:c r="R135" s="36"/>
      <x:c r="S135" s="36"/>
    </x:row>
    <x:row r="136">
      <x:c r="A136" s="36"/>
      <x:c r="B136" s="59"/>
      <x:c r="C136" s="36"/>
      <x:c r="D136" s="36"/>
      <x:c r="E136" s="36"/>
      <x:c r="F136" s="36"/>
      <x:c r="G136" s="37"/>
      <x:c r="H136" s="37"/>
      <x:c r="I136" s="37"/>
      <x:c r="J136" s="38"/>
      <x:c r="K136" s="36"/>
      <x:c r="L136" s="36"/>
      <x:c r="M136" s="36"/>
      <x:c r="N136" s="36"/>
      <x:c r="O136" s="36"/>
      <x:c r="P136" s="75"/>
      <x:c r="Q136" s="63" t="str">
        <x:f>IF($A136="","",IF($O136="Sim",IFERROR($G136/MAX($P136,1),$G136),$G136))</x:f>
      </x:c>
      <x:c r="R136" s="36"/>
      <x:c r="S136" s="36"/>
    </x:row>
    <x:row r="137">
      <x:c r="A137" s="36"/>
      <x:c r="B137" s="59"/>
      <x:c r="C137" s="36"/>
      <x:c r="D137" s="36"/>
      <x:c r="E137" s="36"/>
      <x:c r="F137" s="36"/>
      <x:c r="G137" s="37"/>
      <x:c r="H137" s="37"/>
      <x:c r="I137" s="37"/>
      <x:c r="J137" s="38"/>
      <x:c r="K137" s="36"/>
      <x:c r="L137" s="36"/>
      <x:c r="M137" s="36"/>
      <x:c r="N137" s="36"/>
      <x:c r="O137" s="36"/>
      <x:c r="P137" s="75"/>
      <x:c r="Q137" s="63" t="str">
        <x:f>IF($A137="","",IF($O137="Sim",IFERROR($G137/MAX($P137,1),$G137),$G137))</x:f>
      </x:c>
      <x:c r="R137" s="36"/>
      <x:c r="S137" s="36"/>
    </x:row>
    <x:row r="138">
      <x:c r="A138" s="36"/>
      <x:c r="B138" s="59"/>
      <x:c r="C138" s="36"/>
      <x:c r="D138" s="36"/>
      <x:c r="E138" s="36"/>
      <x:c r="F138" s="36"/>
      <x:c r="G138" s="37"/>
      <x:c r="H138" s="37"/>
      <x:c r="I138" s="37"/>
      <x:c r="J138" s="38"/>
      <x:c r="K138" s="36"/>
      <x:c r="L138" s="36"/>
      <x:c r="M138" s="36"/>
      <x:c r="N138" s="36"/>
      <x:c r="O138" s="36"/>
      <x:c r="P138" s="75"/>
      <x:c r="Q138" s="63" t="str">
        <x:f>IF($A138="","",IF($O138="Sim",IFERROR($G138/MAX($P138,1),$G138),$G138))</x:f>
      </x:c>
      <x:c r="R138" s="36"/>
      <x:c r="S138" s="36"/>
    </x:row>
    <x:row r="139">
      <x:c r="A139" s="36"/>
      <x:c r="B139" s="59"/>
      <x:c r="C139" s="36"/>
      <x:c r="D139" s="36"/>
      <x:c r="E139" s="36"/>
      <x:c r="F139" s="36"/>
      <x:c r="G139" s="37"/>
      <x:c r="H139" s="37"/>
      <x:c r="I139" s="37"/>
      <x:c r="J139" s="38"/>
      <x:c r="K139" s="36"/>
      <x:c r="L139" s="36"/>
      <x:c r="M139" s="36"/>
      <x:c r="N139" s="36"/>
      <x:c r="O139" s="36"/>
      <x:c r="P139" s="75"/>
      <x:c r="Q139" s="63" t="str">
        <x:f>IF($A139="","",IF($O139="Sim",IFERROR($G139/MAX($P139,1),$G139),$G139))</x:f>
      </x:c>
      <x:c r="R139" s="36"/>
      <x:c r="S139" s="36"/>
    </x:row>
    <x:row r="140">
      <x:c r="A140" s="36"/>
      <x:c r="B140" s="59"/>
      <x:c r="C140" s="36"/>
      <x:c r="D140" s="36"/>
      <x:c r="E140" s="36"/>
      <x:c r="F140" s="36"/>
      <x:c r="G140" s="37"/>
      <x:c r="H140" s="37"/>
      <x:c r="I140" s="37"/>
      <x:c r="J140" s="38"/>
      <x:c r="K140" s="36"/>
      <x:c r="L140" s="36"/>
      <x:c r="M140" s="36"/>
      <x:c r="N140" s="36"/>
      <x:c r="O140" s="36"/>
      <x:c r="P140" s="75"/>
      <x:c r="Q140" s="63" t="str">
        <x:f>IF($A140="","",IF($O140="Sim",IFERROR($G140/MAX($P140,1),$G140),$G140))</x:f>
      </x:c>
      <x:c r="R140" s="36"/>
      <x:c r="S140" s="36"/>
    </x:row>
    <x:row r="141">
      <x:c r="A141" s="36"/>
      <x:c r="B141" s="59"/>
      <x:c r="C141" s="36"/>
      <x:c r="D141" s="36"/>
      <x:c r="E141" s="36"/>
      <x:c r="F141" s="36"/>
      <x:c r="G141" s="37"/>
      <x:c r="H141" s="37"/>
      <x:c r="I141" s="37"/>
      <x:c r="J141" s="38"/>
      <x:c r="K141" s="36"/>
      <x:c r="L141" s="36"/>
      <x:c r="M141" s="36"/>
      <x:c r="N141" s="36"/>
      <x:c r="O141" s="36"/>
      <x:c r="P141" s="75"/>
      <x:c r="Q141" s="63" t="str">
        <x:f>IF($A141="","",IF($O141="Sim",IFERROR($G141/MAX($P141,1),$G141),$G141))</x:f>
      </x:c>
      <x:c r="R141" s="36"/>
      <x:c r="S141" s="36"/>
    </x:row>
    <x:row r="142">
      <x:c r="A142" s="36"/>
      <x:c r="B142" s="59"/>
      <x:c r="C142" s="36"/>
      <x:c r="D142" s="36"/>
      <x:c r="E142" s="36"/>
      <x:c r="F142" s="36"/>
      <x:c r="G142" s="37"/>
      <x:c r="H142" s="37"/>
      <x:c r="I142" s="37"/>
      <x:c r="J142" s="38"/>
      <x:c r="K142" s="36"/>
      <x:c r="L142" s="36"/>
      <x:c r="M142" s="36"/>
      <x:c r="N142" s="36"/>
      <x:c r="O142" s="36"/>
      <x:c r="P142" s="75"/>
      <x:c r="Q142" s="63" t="str">
        <x:f>IF($A142="","",IF($O142="Sim",IFERROR($G142/MAX($P142,1),$G142),$G142))</x:f>
      </x:c>
      <x:c r="R142" s="36"/>
      <x:c r="S142" s="36"/>
    </x:row>
    <x:row r="143">
      <x:c r="A143" s="36"/>
      <x:c r="B143" s="59"/>
      <x:c r="C143" s="36"/>
      <x:c r="D143" s="36"/>
      <x:c r="E143" s="36"/>
      <x:c r="F143" s="36"/>
      <x:c r="G143" s="37"/>
      <x:c r="H143" s="37"/>
      <x:c r="I143" s="37"/>
      <x:c r="J143" s="38"/>
      <x:c r="K143" s="36"/>
      <x:c r="L143" s="36"/>
      <x:c r="M143" s="36"/>
      <x:c r="N143" s="36"/>
      <x:c r="O143" s="36"/>
      <x:c r="P143" s="75"/>
      <x:c r="Q143" s="63" t="str">
        <x:f>IF($A143="","",IF($O143="Sim",IFERROR($G143/MAX($P143,1),$G143),$G143))</x:f>
      </x:c>
      <x:c r="R143" s="36"/>
      <x:c r="S143" s="36"/>
    </x:row>
    <x:row r="144">
      <x:c r="A144" s="36"/>
      <x:c r="B144" s="59"/>
      <x:c r="C144" s="36"/>
      <x:c r="D144" s="36"/>
      <x:c r="E144" s="36"/>
      <x:c r="F144" s="36"/>
      <x:c r="G144" s="37"/>
      <x:c r="H144" s="37"/>
      <x:c r="I144" s="37"/>
      <x:c r="J144" s="38"/>
      <x:c r="K144" s="36"/>
      <x:c r="L144" s="36"/>
      <x:c r="M144" s="36"/>
      <x:c r="N144" s="36"/>
      <x:c r="O144" s="36"/>
      <x:c r="P144" s="75"/>
      <x:c r="Q144" s="63" t="str">
        <x:f>IF($A144="","",IF($O144="Sim",IFERROR($G144/MAX($P144,1),$G144),$G144))</x:f>
      </x:c>
      <x:c r="R144" s="36"/>
      <x:c r="S144" s="36"/>
    </x:row>
    <x:row r="145">
      <x:c r="A145" s="36"/>
      <x:c r="B145" s="59"/>
      <x:c r="C145" s="36"/>
      <x:c r="D145" s="36"/>
      <x:c r="E145" s="36"/>
      <x:c r="F145" s="36"/>
      <x:c r="G145" s="37"/>
      <x:c r="H145" s="37"/>
      <x:c r="I145" s="37"/>
      <x:c r="J145" s="38"/>
      <x:c r="K145" s="36"/>
      <x:c r="L145" s="36"/>
      <x:c r="M145" s="36"/>
      <x:c r="N145" s="36"/>
      <x:c r="O145" s="36"/>
      <x:c r="P145" s="75"/>
      <x:c r="Q145" s="63" t="str">
        <x:f>IF($A145="","",IF($O145="Sim",IFERROR($G145/MAX($P145,1),$G145),$G145))</x:f>
      </x:c>
      <x:c r="R145" s="36"/>
      <x:c r="S145" s="36"/>
    </x:row>
    <x:row r="146">
      <x:c r="A146" s="36"/>
      <x:c r="B146" s="59"/>
      <x:c r="C146" s="36"/>
      <x:c r="D146" s="36"/>
      <x:c r="E146" s="36"/>
      <x:c r="F146" s="36"/>
      <x:c r="G146" s="37"/>
      <x:c r="H146" s="37"/>
      <x:c r="I146" s="37"/>
      <x:c r="J146" s="38"/>
      <x:c r="K146" s="36"/>
      <x:c r="L146" s="36"/>
      <x:c r="M146" s="36"/>
      <x:c r="N146" s="36"/>
      <x:c r="O146" s="36"/>
      <x:c r="P146" s="75"/>
      <x:c r="Q146" s="63" t="str">
        <x:f>IF($A146="","",IF($O146="Sim",IFERROR($G146/MAX($P146,1),$G146),$G146))</x:f>
      </x:c>
      <x:c r="R146" s="36"/>
      <x:c r="S146" s="36"/>
    </x:row>
    <x:row r="147">
      <x:c r="A147" s="36"/>
      <x:c r="B147" s="59"/>
      <x:c r="C147" s="36"/>
      <x:c r="D147" s="36"/>
      <x:c r="E147" s="36"/>
      <x:c r="F147" s="36"/>
      <x:c r="G147" s="37"/>
      <x:c r="H147" s="37"/>
      <x:c r="I147" s="37"/>
      <x:c r="J147" s="38"/>
      <x:c r="K147" s="36"/>
      <x:c r="L147" s="36"/>
      <x:c r="M147" s="36"/>
      <x:c r="N147" s="36"/>
      <x:c r="O147" s="36"/>
      <x:c r="P147" s="75"/>
      <x:c r="Q147" s="63" t="str">
        <x:f>IF($A147="","",IF($O147="Sim",IFERROR($G147/MAX($P147,1),$G147),$G147))</x:f>
      </x:c>
      <x:c r="R147" s="36"/>
      <x:c r="S147" s="36"/>
    </x:row>
    <x:row r="148">
      <x:c r="A148" s="36"/>
      <x:c r="B148" s="59"/>
      <x:c r="C148" s="36"/>
      <x:c r="D148" s="36"/>
      <x:c r="E148" s="36"/>
      <x:c r="F148" s="36"/>
      <x:c r="G148" s="37"/>
      <x:c r="H148" s="37"/>
      <x:c r="I148" s="37"/>
      <x:c r="J148" s="38"/>
      <x:c r="K148" s="36"/>
      <x:c r="L148" s="36"/>
      <x:c r="M148" s="36"/>
      <x:c r="N148" s="36"/>
      <x:c r="O148" s="36"/>
      <x:c r="P148" s="75"/>
      <x:c r="Q148" s="63" t="str">
        <x:f>IF($A148="","",IF($O148="Sim",IFERROR($G148/MAX($P148,1),$G148),$G148))</x:f>
      </x:c>
      <x:c r="R148" s="36"/>
      <x:c r="S148" s="36"/>
    </x:row>
    <x:row r="149">
      <x:c r="A149" s="36"/>
      <x:c r="B149" s="59"/>
      <x:c r="C149" s="36"/>
      <x:c r="D149" s="36"/>
      <x:c r="E149" s="36"/>
      <x:c r="F149" s="36"/>
      <x:c r="G149" s="37"/>
      <x:c r="H149" s="37"/>
      <x:c r="I149" s="37"/>
      <x:c r="J149" s="38"/>
      <x:c r="K149" s="36"/>
      <x:c r="L149" s="36"/>
      <x:c r="M149" s="36"/>
      <x:c r="N149" s="36"/>
      <x:c r="O149" s="36"/>
      <x:c r="P149" s="75"/>
      <x:c r="Q149" s="63" t="str">
        <x:f>IF($A149="","",IF($O149="Sim",IFERROR($G149/MAX($P149,1),$G149),$G149))</x:f>
      </x:c>
      <x:c r="R149" s="36"/>
      <x:c r="S149" s="36"/>
    </x:row>
    <x:row r="150">
      <x:c r="A150" s="36"/>
      <x:c r="B150" s="59"/>
      <x:c r="C150" s="36"/>
      <x:c r="D150" s="36"/>
      <x:c r="E150" s="36"/>
      <x:c r="F150" s="36"/>
      <x:c r="G150" s="37"/>
      <x:c r="H150" s="37"/>
      <x:c r="I150" s="37"/>
      <x:c r="J150" s="38"/>
      <x:c r="K150" s="36"/>
      <x:c r="L150" s="36"/>
      <x:c r="M150" s="36"/>
      <x:c r="N150" s="36"/>
      <x:c r="O150" s="36"/>
      <x:c r="P150" s="75"/>
      <x:c r="Q150" s="63" t="str">
        <x:f>IF($A150="","",IF($O150="Sim",IFERROR($G150/MAX($P150,1),$G150),$G150))</x:f>
      </x:c>
      <x:c r="R150" s="36"/>
      <x:c r="S150" s="36"/>
    </x:row>
    <x:row r="151">
      <x:c r="A151" s="36"/>
      <x:c r="B151" s="59"/>
      <x:c r="C151" s="36"/>
      <x:c r="D151" s="36"/>
      <x:c r="E151" s="36"/>
      <x:c r="F151" s="36"/>
      <x:c r="G151" s="37"/>
      <x:c r="H151" s="37"/>
      <x:c r="I151" s="37"/>
      <x:c r="J151" s="38"/>
      <x:c r="K151" s="36"/>
      <x:c r="L151" s="36"/>
      <x:c r="M151" s="36"/>
      <x:c r="N151" s="36"/>
      <x:c r="O151" s="36"/>
      <x:c r="P151" s="75"/>
      <x:c r="Q151" s="63" t="str">
        <x:f>IF($A151="","",IF($O151="Sim",IFERROR($G151/MAX($P151,1),$G151),$G151))</x:f>
      </x:c>
      <x:c r="R151" s="36"/>
      <x:c r="S151" s="36"/>
    </x:row>
    <x:row r="152">
      <x:c r="A152" s="36"/>
      <x:c r="B152" s="59"/>
      <x:c r="C152" s="36"/>
      <x:c r="D152" s="36"/>
      <x:c r="E152" s="36"/>
      <x:c r="F152" s="36"/>
      <x:c r="G152" s="37"/>
      <x:c r="H152" s="37"/>
      <x:c r="I152" s="37"/>
      <x:c r="J152" s="38"/>
      <x:c r="K152" s="36"/>
      <x:c r="L152" s="36"/>
      <x:c r="M152" s="36"/>
      <x:c r="N152" s="36"/>
      <x:c r="O152" s="36"/>
      <x:c r="P152" s="75"/>
      <x:c r="Q152" s="63" t="str">
        <x:f>IF($A152="","",IF($O152="Sim",IFERROR($G152/MAX($P152,1),$G152),$G152))</x:f>
      </x:c>
      <x:c r="R152" s="36"/>
      <x:c r="S152" s="36"/>
    </x:row>
    <x:row r="153">
      <x:c r="A153" s="36"/>
      <x:c r="B153" s="59"/>
      <x:c r="C153" s="36"/>
      <x:c r="D153" s="36"/>
      <x:c r="E153" s="36"/>
      <x:c r="F153" s="36"/>
      <x:c r="G153" s="37"/>
      <x:c r="H153" s="37"/>
      <x:c r="I153" s="37"/>
      <x:c r="J153" s="38"/>
      <x:c r="K153" s="36"/>
      <x:c r="L153" s="36"/>
      <x:c r="M153" s="36"/>
      <x:c r="N153" s="36"/>
      <x:c r="O153" s="36"/>
      <x:c r="P153" s="75"/>
      <x:c r="Q153" s="63" t="str">
        <x:f>IF($A153="","",IF($O153="Sim",IFERROR($G153/MAX($P153,1),$G153),$G153))</x:f>
      </x:c>
      <x:c r="R153" s="36"/>
      <x:c r="S153" s="36"/>
    </x:row>
    <x:row r="154">
      <x:c r="A154" s="36"/>
      <x:c r="B154" s="59"/>
      <x:c r="C154" s="36"/>
      <x:c r="D154" s="36"/>
      <x:c r="E154" s="36"/>
      <x:c r="F154" s="36"/>
      <x:c r="G154" s="37"/>
      <x:c r="H154" s="37"/>
      <x:c r="I154" s="37"/>
      <x:c r="J154" s="38"/>
      <x:c r="K154" s="36"/>
      <x:c r="L154" s="36"/>
      <x:c r="M154" s="36"/>
      <x:c r="N154" s="36"/>
      <x:c r="O154" s="36"/>
      <x:c r="P154" s="75"/>
      <x:c r="Q154" s="63" t="str">
        <x:f>IF($A154="","",IF($O154="Sim",IFERROR($G154/MAX($P154,1),$G154),$G154))</x:f>
      </x:c>
      <x:c r="R154" s="36"/>
      <x:c r="S154" s="36"/>
    </x:row>
    <x:row r="155">
      <x:c r="A155" s="36"/>
      <x:c r="B155" s="59"/>
      <x:c r="C155" s="36"/>
      <x:c r="D155" s="36"/>
      <x:c r="E155" s="36"/>
      <x:c r="F155" s="36"/>
      <x:c r="G155" s="37"/>
      <x:c r="H155" s="37"/>
      <x:c r="I155" s="37"/>
      <x:c r="J155" s="38"/>
      <x:c r="K155" s="36"/>
      <x:c r="L155" s="36"/>
      <x:c r="M155" s="36"/>
      <x:c r="N155" s="36"/>
      <x:c r="O155" s="36"/>
      <x:c r="P155" s="75"/>
      <x:c r="Q155" s="63" t="str">
        <x:f>IF($A155="","",IF($O155="Sim",IFERROR($G155/MAX($P155,1),$G155),$G155))</x:f>
      </x:c>
      <x:c r="R155" s="36"/>
      <x:c r="S155" s="36"/>
    </x:row>
    <x:row r="156">
      <x:c r="A156" s="36"/>
      <x:c r="B156" s="59"/>
      <x:c r="C156" s="36"/>
      <x:c r="D156" s="36"/>
      <x:c r="E156" s="36"/>
      <x:c r="F156" s="36"/>
      <x:c r="G156" s="37"/>
      <x:c r="H156" s="37"/>
      <x:c r="I156" s="37"/>
      <x:c r="J156" s="38"/>
      <x:c r="K156" s="36"/>
      <x:c r="L156" s="36"/>
      <x:c r="M156" s="36"/>
      <x:c r="N156" s="36"/>
      <x:c r="O156" s="36"/>
      <x:c r="P156" s="75"/>
      <x:c r="Q156" s="63" t="str">
        <x:f>IF($A156="","",IF($O156="Sim",IFERROR($G156/MAX($P156,1),$G156),$G156))</x:f>
      </x:c>
      <x:c r="R156" s="36"/>
      <x:c r="S156" s="36"/>
    </x:row>
    <x:row r="157">
      <x:c r="A157" s="36"/>
      <x:c r="B157" s="59"/>
      <x:c r="C157" s="36"/>
      <x:c r="D157" s="36"/>
      <x:c r="E157" s="36"/>
      <x:c r="F157" s="36"/>
      <x:c r="G157" s="37"/>
      <x:c r="H157" s="37"/>
      <x:c r="I157" s="37"/>
      <x:c r="J157" s="38"/>
      <x:c r="K157" s="36"/>
      <x:c r="L157" s="36"/>
      <x:c r="M157" s="36"/>
      <x:c r="N157" s="36"/>
      <x:c r="O157" s="36"/>
      <x:c r="P157" s="75"/>
      <x:c r="Q157" s="63" t="str">
        <x:f>IF($A157="","",IF($O157="Sim",IFERROR($G157/MAX($P157,1),$G157),$G157))</x:f>
      </x:c>
      <x:c r="R157" s="36"/>
      <x:c r="S157" s="36"/>
    </x:row>
    <x:row r="158">
      <x:c r="A158" s="36"/>
      <x:c r="B158" s="59"/>
      <x:c r="C158" s="36"/>
      <x:c r="D158" s="36"/>
      <x:c r="E158" s="36"/>
      <x:c r="F158" s="36"/>
      <x:c r="G158" s="37"/>
      <x:c r="H158" s="37"/>
      <x:c r="I158" s="37"/>
      <x:c r="J158" s="38"/>
      <x:c r="K158" s="36"/>
      <x:c r="L158" s="36"/>
      <x:c r="M158" s="36"/>
      <x:c r="N158" s="36"/>
      <x:c r="O158" s="36"/>
      <x:c r="P158" s="75"/>
      <x:c r="Q158" s="63" t="str">
        <x:f>IF($A158="","",IF($O158="Sim",IFERROR($G158/MAX($P158,1),$G158),$G158))</x:f>
      </x:c>
      <x:c r="R158" s="36"/>
      <x:c r="S158" s="36"/>
    </x:row>
    <x:row r="159">
      <x:c r="A159" s="36"/>
      <x:c r="B159" s="59"/>
      <x:c r="C159" s="36"/>
      <x:c r="D159" s="36"/>
      <x:c r="E159" s="36"/>
      <x:c r="F159" s="36"/>
      <x:c r="G159" s="37"/>
      <x:c r="H159" s="37"/>
      <x:c r="I159" s="37"/>
      <x:c r="J159" s="38"/>
      <x:c r="K159" s="36"/>
      <x:c r="L159" s="36"/>
      <x:c r="M159" s="36"/>
      <x:c r="N159" s="36"/>
      <x:c r="O159" s="36"/>
      <x:c r="P159" s="75"/>
      <x:c r="Q159" s="63" t="str">
        <x:f>IF($A159="","",IF($O159="Sim",IFERROR($G159/MAX($P159,1),$G159),$G159))</x:f>
      </x:c>
      <x:c r="R159" s="36"/>
      <x:c r="S159" s="36"/>
    </x:row>
    <x:row r="160">
      <x:c r="A160" s="36"/>
      <x:c r="B160" s="59"/>
      <x:c r="C160" s="36"/>
      <x:c r="D160" s="36"/>
      <x:c r="E160" s="36"/>
      <x:c r="F160" s="36"/>
      <x:c r="G160" s="37"/>
      <x:c r="H160" s="37"/>
      <x:c r="I160" s="37"/>
      <x:c r="J160" s="38"/>
      <x:c r="K160" s="36"/>
      <x:c r="L160" s="36"/>
      <x:c r="M160" s="36"/>
      <x:c r="N160" s="36"/>
      <x:c r="O160" s="36"/>
      <x:c r="P160" s="75"/>
      <x:c r="Q160" s="63" t="str">
        <x:f>IF($A160="","",IF($O160="Sim",IFERROR($G160/MAX($P160,1),$G160),$G160))</x:f>
      </x:c>
      <x:c r="R160" s="36"/>
      <x:c r="S160" s="36"/>
    </x:row>
    <x:row r="161">
      <x:c r="A161" s="36"/>
      <x:c r="B161" s="59"/>
      <x:c r="C161" s="36"/>
      <x:c r="D161" s="36"/>
      <x:c r="E161" s="36"/>
      <x:c r="F161" s="36"/>
      <x:c r="G161" s="37"/>
      <x:c r="H161" s="37"/>
      <x:c r="I161" s="37"/>
      <x:c r="J161" s="38"/>
      <x:c r="K161" s="36"/>
      <x:c r="L161" s="36"/>
      <x:c r="M161" s="36"/>
      <x:c r="N161" s="36"/>
      <x:c r="O161" s="36"/>
      <x:c r="P161" s="75"/>
      <x:c r="Q161" s="63" t="str">
        <x:f>IF($A161="","",IF($O161="Sim",IFERROR($G161/MAX($P161,1),$G161),$G161))</x:f>
      </x:c>
      <x:c r="R161" s="36"/>
      <x:c r="S161" s="36"/>
    </x:row>
    <x:row r="162">
      <x:c r="A162" s="36"/>
      <x:c r="B162" s="59"/>
      <x:c r="C162" s="36"/>
      <x:c r="D162" s="36"/>
      <x:c r="E162" s="36"/>
      <x:c r="F162" s="36"/>
      <x:c r="G162" s="37"/>
      <x:c r="H162" s="37"/>
      <x:c r="I162" s="37"/>
      <x:c r="J162" s="38"/>
      <x:c r="K162" s="36"/>
      <x:c r="L162" s="36"/>
      <x:c r="M162" s="36"/>
      <x:c r="N162" s="36"/>
      <x:c r="O162" s="36"/>
      <x:c r="P162" s="75"/>
      <x:c r="Q162" s="63" t="str">
        <x:f>IF($A162="","",IF($O162="Sim",IFERROR($G162/MAX($P162,1),$G162),$G162))</x:f>
      </x:c>
      <x:c r="R162" s="36"/>
      <x:c r="S162" s="36"/>
    </x:row>
    <x:row r="163">
      <x:c r="A163" s="36"/>
      <x:c r="B163" s="59"/>
      <x:c r="C163" s="36"/>
      <x:c r="D163" s="36"/>
      <x:c r="E163" s="36"/>
      <x:c r="F163" s="36"/>
      <x:c r="G163" s="37"/>
      <x:c r="H163" s="37"/>
      <x:c r="I163" s="37"/>
      <x:c r="J163" s="38"/>
      <x:c r="K163" s="36"/>
      <x:c r="L163" s="36"/>
      <x:c r="M163" s="36"/>
      <x:c r="N163" s="36"/>
      <x:c r="O163" s="36"/>
      <x:c r="P163" s="75"/>
      <x:c r="Q163" s="63" t="str">
        <x:f>IF($A163="","",IF($O163="Sim",IFERROR($G163/MAX($P163,1),$G163),$G163))</x:f>
      </x:c>
      <x:c r="R163" s="36"/>
      <x:c r="S163" s="36"/>
    </x:row>
    <x:row r="164">
      <x:c r="A164" s="36"/>
      <x:c r="B164" s="59"/>
      <x:c r="C164" s="36"/>
      <x:c r="D164" s="36"/>
      <x:c r="E164" s="36"/>
      <x:c r="F164" s="36"/>
      <x:c r="G164" s="37"/>
      <x:c r="H164" s="37"/>
      <x:c r="I164" s="37"/>
      <x:c r="J164" s="38"/>
      <x:c r="K164" s="36"/>
      <x:c r="L164" s="36"/>
      <x:c r="M164" s="36"/>
      <x:c r="N164" s="36"/>
      <x:c r="O164" s="36"/>
      <x:c r="P164" s="75"/>
      <x:c r="Q164" s="63" t="str">
        <x:f>IF($A164="","",IF($O164="Sim",IFERROR($G164/MAX($P164,1),$G164),$G164))</x:f>
      </x:c>
      <x:c r="R164" s="36"/>
      <x:c r="S164" s="36"/>
    </x:row>
    <x:row r="165">
      <x:c r="A165" s="36"/>
      <x:c r="B165" s="59"/>
      <x:c r="C165" s="36"/>
      <x:c r="D165" s="36"/>
      <x:c r="E165" s="36"/>
      <x:c r="F165" s="36"/>
      <x:c r="G165" s="37"/>
      <x:c r="H165" s="37"/>
      <x:c r="I165" s="37"/>
      <x:c r="J165" s="38"/>
      <x:c r="K165" s="36"/>
      <x:c r="L165" s="36"/>
      <x:c r="M165" s="36"/>
      <x:c r="N165" s="36"/>
      <x:c r="O165" s="36"/>
      <x:c r="P165" s="75"/>
      <x:c r="Q165" s="63" t="str">
        <x:f>IF($A165="","",IF($O165="Sim",IFERROR($G165/MAX($P165,1),$G165),$G165))</x:f>
      </x:c>
      <x:c r="R165" s="36"/>
      <x:c r="S165" s="36"/>
    </x:row>
    <x:row r="166">
      <x:c r="A166" s="36"/>
      <x:c r="B166" s="59"/>
      <x:c r="C166" s="36"/>
      <x:c r="D166" s="36"/>
      <x:c r="E166" s="36"/>
      <x:c r="F166" s="36"/>
      <x:c r="G166" s="37"/>
      <x:c r="H166" s="37"/>
      <x:c r="I166" s="37"/>
      <x:c r="J166" s="38"/>
      <x:c r="K166" s="36"/>
      <x:c r="L166" s="36"/>
      <x:c r="M166" s="36"/>
      <x:c r="N166" s="36"/>
      <x:c r="O166" s="36"/>
      <x:c r="P166" s="75"/>
      <x:c r="Q166" s="63" t="str">
        <x:f>IF($A166="","",IF($O166="Sim",IFERROR($G166/MAX($P166,1),$G166),$G166))</x:f>
      </x:c>
      <x:c r="R166" s="36"/>
      <x:c r="S166" s="36"/>
    </x:row>
    <x:row r="167">
      <x:c r="A167" s="36"/>
      <x:c r="B167" s="59"/>
      <x:c r="C167" s="36"/>
      <x:c r="D167" s="36"/>
      <x:c r="E167" s="36"/>
      <x:c r="F167" s="36"/>
      <x:c r="G167" s="37"/>
      <x:c r="H167" s="37"/>
      <x:c r="I167" s="37"/>
      <x:c r="J167" s="38"/>
      <x:c r="K167" s="36"/>
      <x:c r="L167" s="36"/>
      <x:c r="M167" s="36"/>
      <x:c r="N167" s="36"/>
      <x:c r="O167" s="36"/>
      <x:c r="P167" s="75"/>
      <x:c r="Q167" s="63" t="str">
        <x:f>IF($A167="","",IF($O167="Sim",IFERROR($G167/MAX($P167,1),$G167),$G167))</x:f>
      </x:c>
      <x:c r="R167" s="36"/>
      <x:c r="S167" s="36"/>
    </x:row>
    <x:row r="168">
      <x:c r="A168" s="36"/>
      <x:c r="B168" s="59"/>
      <x:c r="C168" s="36"/>
      <x:c r="D168" s="36"/>
      <x:c r="E168" s="36"/>
      <x:c r="F168" s="36"/>
      <x:c r="G168" s="37"/>
      <x:c r="H168" s="37"/>
      <x:c r="I168" s="37"/>
      <x:c r="J168" s="38"/>
      <x:c r="K168" s="36"/>
      <x:c r="L168" s="36"/>
      <x:c r="M168" s="36"/>
      <x:c r="N168" s="36"/>
      <x:c r="O168" s="36"/>
      <x:c r="P168" s="75"/>
      <x:c r="Q168" s="63" t="str">
        <x:f>IF($A168="","",IF($O168="Sim",IFERROR($G168/MAX($P168,1),$G168),$G168))</x:f>
      </x:c>
      <x:c r="R168" s="36"/>
      <x:c r="S168" s="36"/>
    </x:row>
    <x:row r="169">
      <x:c r="A169" s="36"/>
      <x:c r="B169" s="59"/>
      <x:c r="C169" s="36"/>
      <x:c r="D169" s="36"/>
      <x:c r="E169" s="36"/>
      <x:c r="F169" s="36"/>
      <x:c r="G169" s="37"/>
      <x:c r="H169" s="37"/>
      <x:c r="I169" s="37"/>
      <x:c r="J169" s="38"/>
      <x:c r="K169" s="36"/>
      <x:c r="L169" s="36"/>
      <x:c r="M169" s="36"/>
      <x:c r="N169" s="36"/>
      <x:c r="O169" s="36"/>
      <x:c r="P169" s="75"/>
      <x:c r="Q169" s="63" t="str">
        <x:f>IF($A169="","",IF($O169="Sim",IFERROR($G169/MAX($P169,1),$G169),$G169))</x:f>
      </x:c>
      <x:c r="R169" s="36"/>
      <x:c r="S169" s="36"/>
    </x:row>
    <x:row r="170">
      <x:c r="A170" s="36"/>
      <x:c r="B170" s="59"/>
      <x:c r="C170" s="36"/>
      <x:c r="D170" s="36"/>
      <x:c r="E170" s="36"/>
      <x:c r="F170" s="36"/>
      <x:c r="G170" s="37"/>
      <x:c r="H170" s="37"/>
      <x:c r="I170" s="37"/>
      <x:c r="J170" s="38"/>
      <x:c r="K170" s="36"/>
      <x:c r="L170" s="36"/>
      <x:c r="M170" s="36"/>
      <x:c r="N170" s="36"/>
      <x:c r="O170" s="36"/>
      <x:c r="P170" s="75"/>
      <x:c r="Q170" s="63" t="str">
        <x:f>IF($A170="","",IF($O170="Sim",IFERROR($G170/MAX($P170,1),$G170),$G170))</x:f>
      </x:c>
      <x:c r="R170" s="36"/>
      <x:c r="S170" s="36"/>
    </x:row>
    <x:row r="171">
      <x:c r="A171" s="36"/>
      <x:c r="B171" s="59"/>
      <x:c r="C171" s="36"/>
      <x:c r="D171" s="36"/>
      <x:c r="E171" s="36"/>
      <x:c r="F171" s="36"/>
      <x:c r="G171" s="37"/>
      <x:c r="H171" s="37"/>
      <x:c r="I171" s="37"/>
      <x:c r="J171" s="38"/>
      <x:c r="K171" s="36"/>
      <x:c r="L171" s="36"/>
      <x:c r="M171" s="36"/>
      <x:c r="N171" s="36"/>
      <x:c r="O171" s="36"/>
      <x:c r="P171" s="75"/>
      <x:c r="Q171" s="63" t="str">
        <x:f>IF($A171="","",IF($O171="Sim",IFERROR($G171/MAX($P171,1),$G171),$G171))</x:f>
      </x:c>
      <x:c r="R171" s="36"/>
      <x:c r="S171" s="36"/>
    </x:row>
    <x:row r="172">
      <x:c r="A172" s="36"/>
      <x:c r="B172" s="59"/>
      <x:c r="C172" s="36"/>
      <x:c r="D172" s="36"/>
      <x:c r="E172" s="36"/>
      <x:c r="F172" s="36"/>
      <x:c r="G172" s="37"/>
      <x:c r="H172" s="37"/>
      <x:c r="I172" s="37"/>
      <x:c r="J172" s="38"/>
      <x:c r="K172" s="36"/>
      <x:c r="L172" s="36"/>
      <x:c r="M172" s="36"/>
      <x:c r="N172" s="36"/>
      <x:c r="O172" s="36"/>
      <x:c r="P172" s="75"/>
      <x:c r="Q172" s="63" t="str">
        <x:f>IF($A172="","",IF($O172="Sim",IFERROR($G172/MAX($P172,1),$G172),$G172))</x:f>
      </x:c>
      <x:c r="R172" s="36"/>
      <x:c r="S172" s="36"/>
    </x:row>
    <x:row r="173">
      <x:c r="A173" s="36"/>
      <x:c r="B173" s="59"/>
      <x:c r="C173" s="36"/>
      <x:c r="D173" s="36"/>
      <x:c r="E173" s="36"/>
      <x:c r="F173" s="36"/>
      <x:c r="G173" s="37"/>
      <x:c r="H173" s="37"/>
      <x:c r="I173" s="37"/>
      <x:c r="J173" s="38"/>
      <x:c r="K173" s="36"/>
      <x:c r="L173" s="36"/>
      <x:c r="M173" s="36"/>
      <x:c r="N173" s="36"/>
      <x:c r="O173" s="36"/>
      <x:c r="P173" s="75"/>
      <x:c r="Q173" s="63" t="str">
        <x:f>IF($A173="","",IF($O173="Sim",IFERROR($G173/MAX($P173,1),$G173),$G173))</x:f>
      </x:c>
      <x:c r="R173" s="36"/>
      <x:c r="S173" s="36"/>
    </x:row>
    <x:row r="174">
      <x:c r="A174" s="36"/>
      <x:c r="B174" s="59"/>
      <x:c r="C174" s="36"/>
      <x:c r="D174" s="36"/>
      <x:c r="E174" s="36"/>
      <x:c r="F174" s="36"/>
      <x:c r="G174" s="37"/>
      <x:c r="H174" s="37"/>
      <x:c r="I174" s="37"/>
      <x:c r="J174" s="38"/>
      <x:c r="K174" s="36"/>
      <x:c r="L174" s="36"/>
      <x:c r="M174" s="36"/>
      <x:c r="N174" s="36"/>
      <x:c r="O174" s="36"/>
      <x:c r="P174" s="75"/>
      <x:c r="Q174" s="63" t="str">
        <x:f>IF($A174="","",IF($O174="Sim",IFERROR($G174/MAX($P174,1),$G174),$G174))</x:f>
      </x:c>
      <x:c r="R174" s="36"/>
      <x:c r="S174" s="36"/>
    </x:row>
    <x:row r="175">
      <x:c r="A175" s="36"/>
      <x:c r="B175" s="59"/>
      <x:c r="C175" s="36"/>
      <x:c r="D175" s="36"/>
      <x:c r="E175" s="36"/>
      <x:c r="F175" s="36"/>
      <x:c r="G175" s="37"/>
      <x:c r="H175" s="37"/>
      <x:c r="I175" s="37"/>
      <x:c r="J175" s="38"/>
      <x:c r="K175" s="36"/>
      <x:c r="L175" s="36"/>
      <x:c r="M175" s="36"/>
      <x:c r="N175" s="36"/>
      <x:c r="O175" s="36"/>
      <x:c r="P175" s="75"/>
      <x:c r="Q175" s="63" t="str">
        <x:f>IF($A175="","",IF($O175="Sim",IFERROR($G175/MAX($P175,1),$G175),$G175))</x:f>
      </x:c>
      <x:c r="R175" s="36"/>
      <x:c r="S175" s="36"/>
    </x:row>
    <x:row r="176">
      <x:c r="A176" s="36"/>
      <x:c r="B176" s="59"/>
      <x:c r="C176" s="36"/>
      <x:c r="D176" s="36"/>
      <x:c r="E176" s="36"/>
      <x:c r="F176" s="36"/>
      <x:c r="G176" s="37"/>
      <x:c r="H176" s="37"/>
      <x:c r="I176" s="37"/>
      <x:c r="J176" s="38"/>
      <x:c r="K176" s="36"/>
      <x:c r="L176" s="36"/>
      <x:c r="M176" s="36"/>
      <x:c r="N176" s="36"/>
      <x:c r="O176" s="36"/>
      <x:c r="P176" s="75"/>
      <x:c r="Q176" s="63" t="str">
        <x:f>IF($A176="","",IF($O176="Sim",IFERROR($G176/MAX($P176,1),$G176),$G176))</x:f>
      </x:c>
      <x:c r="R176" s="36"/>
      <x:c r="S176" s="36"/>
    </x:row>
    <x:row r="177">
      <x:c r="A177" s="36"/>
      <x:c r="B177" s="59"/>
      <x:c r="C177" s="36"/>
      <x:c r="D177" s="36"/>
      <x:c r="E177" s="36"/>
      <x:c r="F177" s="36"/>
      <x:c r="G177" s="37"/>
      <x:c r="H177" s="37"/>
      <x:c r="I177" s="37"/>
      <x:c r="J177" s="38"/>
      <x:c r="K177" s="36"/>
      <x:c r="L177" s="36"/>
      <x:c r="M177" s="36"/>
      <x:c r="N177" s="36"/>
      <x:c r="O177" s="36"/>
      <x:c r="P177" s="75"/>
      <x:c r="Q177" s="63" t="str">
        <x:f>IF($A177="","",IF($O177="Sim",IFERROR($G177/MAX($P177,1),$G177),$G177))</x:f>
      </x:c>
      <x:c r="R177" s="36"/>
      <x:c r="S177" s="36"/>
    </x:row>
    <x:row r="178">
      <x:c r="A178" s="36"/>
      <x:c r="B178" s="59"/>
      <x:c r="C178" s="36"/>
      <x:c r="D178" s="36"/>
      <x:c r="E178" s="36"/>
      <x:c r="F178" s="36"/>
      <x:c r="G178" s="37"/>
      <x:c r="H178" s="37"/>
      <x:c r="I178" s="37"/>
      <x:c r="J178" s="38"/>
      <x:c r="K178" s="36"/>
      <x:c r="L178" s="36"/>
      <x:c r="M178" s="36"/>
      <x:c r="N178" s="36"/>
      <x:c r="O178" s="36"/>
      <x:c r="P178" s="75"/>
      <x:c r="Q178" s="63" t="str">
        <x:f>IF($A178="","",IF($O178="Sim",IFERROR($G178/MAX($P178,1),$G178),$G178))</x:f>
      </x:c>
      <x:c r="R178" s="36"/>
      <x:c r="S178" s="36"/>
    </x:row>
    <x:row r="179">
      <x:c r="A179" s="36"/>
      <x:c r="B179" s="59"/>
      <x:c r="C179" s="36"/>
      <x:c r="D179" s="36"/>
      <x:c r="E179" s="36"/>
      <x:c r="F179" s="36"/>
      <x:c r="G179" s="37"/>
      <x:c r="H179" s="37"/>
      <x:c r="I179" s="37"/>
      <x:c r="J179" s="38"/>
      <x:c r="K179" s="36"/>
      <x:c r="L179" s="36"/>
      <x:c r="M179" s="36"/>
      <x:c r="N179" s="36"/>
      <x:c r="O179" s="36"/>
      <x:c r="P179" s="75"/>
      <x:c r="Q179" s="63" t="str">
        <x:f>IF($A179="","",IF($O179="Sim",IFERROR($G179/MAX($P179,1),$G179),$G179))</x:f>
      </x:c>
      <x:c r="R179" s="36"/>
      <x:c r="S179" s="36"/>
    </x:row>
    <x:row r="180">
      <x:c r="A180" s="36"/>
      <x:c r="B180" s="59"/>
      <x:c r="C180" s="36"/>
      <x:c r="D180" s="36"/>
      <x:c r="E180" s="36"/>
      <x:c r="F180" s="36"/>
      <x:c r="G180" s="37"/>
      <x:c r="H180" s="37"/>
      <x:c r="I180" s="37"/>
      <x:c r="J180" s="38"/>
      <x:c r="K180" s="36"/>
      <x:c r="L180" s="36"/>
      <x:c r="M180" s="36"/>
      <x:c r="N180" s="36"/>
      <x:c r="O180" s="36"/>
      <x:c r="P180" s="75"/>
      <x:c r="Q180" s="63" t="str">
        <x:f>IF($A180="","",IF($O180="Sim",IFERROR($G180/MAX($P180,1),$G180),$G180))</x:f>
      </x:c>
      <x:c r="R180" s="36"/>
      <x:c r="S180" s="36"/>
    </x:row>
    <x:row r="181">
      <x:c r="A181" s="36"/>
      <x:c r="B181" s="59"/>
      <x:c r="C181" s="36"/>
      <x:c r="D181" s="36"/>
      <x:c r="E181" s="36"/>
      <x:c r="F181" s="36"/>
      <x:c r="G181" s="37"/>
      <x:c r="H181" s="37"/>
      <x:c r="I181" s="37"/>
      <x:c r="J181" s="38"/>
      <x:c r="K181" s="36"/>
      <x:c r="L181" s="36"/>
      <x:c r="M181" s="36"/>
      <x:c r="N181" s="36"/>
      <x:c r="O181" s="36"/>
      <x:c r="P181" s="75"/>
      <x:c r="Q181" s="63" t="str">
        <x:f>IF($A181="","",IF($O181="Sim",IFERROR($G181/MAX($P181,1),$G181),$G181))</x:f>
      </x:c>
      <x:c r="R181" s="36"/>
      <x:c r="S181" s="36"/>
    </x:row>
    <x:row r="182">
      <x:c r="A182" s="36"/>
      <x:c r="B182" s="59"/>
      <x:c r="C182" s="36"/>
      <x:c r="D182" s="36"/>
      <x:c r="E182" s="36"/>
      <x:c r="F182" s="36"/>
      <x:c r="G182" s="37"/>
      <x:c r="H182" s="37"/>
      <x:c r="I182" s="37"/>
      <x:c r="J182" s="38"/>
      <x:c r="K182" s="36"/>
      <x:c r="L182" s="36"/>
      <x:c r="M182" s="36"/>
      <x:c r="N182" s="36"/>
      <x:c r="O182" s="36"/>
      <x:c r="P182" s="75"/>
      <x:c r="Q182" s="63" t="str">
        <x:f>IF($A182="","",IF($O182="Sim",IFERROR($G182/MAX($P182,1),$G182),$G182))</x:f>
      </x:c>
      <x:c r="R182" s="36"/>
      <x:c r="S182" s="36"/>
    </x:row>
    <x:row r="183">
      <x:c r="A183" s="36"/>
      <x:c r="B183" s="59"/>
      <x:c r="C183" s="36"/>
      <x:c r="D183" s="36"/>
      <x:c r="E183" s="36"/>
      <x:c r="F183" s="36"/>
      <x:c r="G183" s="37"/>
      <x:c r="H183" s="37"/>
      <x:c r="I183" s="37"/>
      <x:c r="J183" s="38"/>
      <x:c r="K183" s="36"/>
      <x:c r="L183" s="36"/>
      <x:c r="M183" s="36"/>
      <x:c r="N183" s="36"/>
      <x:c r="O183" s="36"/>
      <x:c r="P183" s="75"/>
      <x:c r="Q183" s="63" t="str">
        <x:f>IF($A183="","",IF($O183="Sim",IFERROR($G183/MAX($P183,1),$G183),$G183))</x:f>
      </x:c>
      <x:c r="R183" s="36"/>
      <x:c r="S183" s="36"/>
    </x:row>
    <x:row r="184">
      <x:c r="A184" s="36"/>
      <x:c r="B184" s="59"/>
      <x:c r="C184" s="36"/>
      <x:c r="D184" s="36"/>
      <x:c r="E184" s="36"/>
      <x:c r="F184" s="36"/>
      <x:c r="G184" s="37"/>
      <x:c r="H184" s="37"/>
      <x:c r="I184" s="37"/>
      <x:c r="J184" s="38"/>
      <x:c r="K184" s="36"/>
      <x:c r="L184" s="36"/>
      <x:c r="M184" s="36"/>
      <x:c r="N184" s="36"/>
      <x:c r="O184" s="36"/>
      <x:c r="P184" s="75"/>
      <x:c r="Q184" s="63" t="str">
        <x:f>IF($A184="","",IF($O184="Sim",IFERROR($G184/MAX($P184,1),$G184),$G184))</x:f>
      </x:c>
      <x:c r="R184" s="36"/>
      <x:c r="S184" s="36"/>
    </x:row>
    <x:row r="185">
      <x:c r="A185" s="36"/>
      <x:c r="B185" s="59"/>
      <x:c r="C185" s="36"/>
      <x:c r="D185" s="36"/>
      <x:c r="E185" s="36"/>
      <x:c r="F185" s="36"/>
      <x:c r="G185" s="37"/>
      <x:c r="H185" s="37"/>
      <x:c r="I185" s="37"/>
      <x:c r="J185" s="38"/>
      <x:c r="K185" s="36"/>
      <x:c r="L185" s="36"/>
      <x:c r="M185" s="36"/>
      <x:c r="N185" s="36"/>
      <x:c r="O185" s="36"/>
      <x:c r="P185" s="75"/>
      <x:c r="Q185" s="63" t="str">
        <x:f>IF($A185="","",IF($O185="Sim",IFERROR($G185/MAX($P185,1),$G185),$G185))</x:f>
      </x:c>
      <x:c r="R185" s="36"/>
      <x:c r="S185" s="36"/>
    </x:row>
    <x:row r="186">
      <x:c r="A186" s="36"/>
      <x:c r="B186" s="59"/>
      <x:c r="C186" s="36"/>
      <x:c r="D186" s="36"/>
      <x:c r="E186" s="36"/>
      <x:c r="F186" s="36"/>
      <x:c r="G186" s="37"/>
      <x:c r="H186" s="37"/>
      <x:c r="I186" s="37"/>
      <x:c r="J186" s="38"/>
      <x:c r="K186" s="36"/>
      <x:c r="L186" s="36"/>
      <x:c r="M186" s="36"/>
      <x:c r="N186" s="36"/>
      <x:c r="O186" s="36"/>
      <x:c r="P186" s="75"/>
      <x:c r="Q186" s="63" t="str">
        <x:f>IF($A186="","",IF($O186="Sim",IFERROR($G186/MAX($P186,1),$G186),$G186))</x:f>
      </x:c>
      <x:c r="R186" s="36"/>
      <x:c r="S186" s="36"/>
    </x:row>
    <x:row r="187">
      <x:c r="A187" s="36"/>
      <x:c r="B187" s="59"/>
      <x:c r="C187" s="36"/>
      <x:c r="D187" s="36"/>
      <x:c r="E187" s="36"/>
      <x:c r="F187" s="36"/>
      <x:c r="G187" s="37"/>
      <x:c r="H187" s="37"/>
      <x:c r="I187" s="37"/>
      <x:c r="J187" s="38"/>
      <x:c r="K187" s="36"/>
      <x:c r="L187" s="36"/>
      <x:c r="M187" s="36"/>
      <x:c r="N187" s="36"/>
      <x:c r="O187" s="36"/>
      <x:c r="P187" s="75"/>
      <x:c r="Q187" s="63" t="str">
        <x:f>IF($A187="","",IF($O187="Sim",IFERROR($G187/MAX($P187,1),$G187),$G187))</x:f>
      </x:c>
      <x:c r="R187" s="36"/>
      <x:c r="S187" s="36"/>
    </x:row>
    <x:row r="188">
      <x:c r="A188" s="36"/>
      <x:c r="B188" s="59"/>
      <x:c r="C188" s="36"/>
      <x:c r="D188" s="36"/>
      <x:c r="E188" s="36"/>
      <x:c r="F188" s="36"/>
      <x:c r="G188" s="37"/>
      <x:c r="H188" s="37"/>
      <x:c r="I188" s="37"/>
      <x:c r="J188" s="38"/>
      <x:c r="K188" s="36"/>
      <x:c r="L188" s="36"/>
      <x:c r="M188" s="36"/>
      <x:c r="N188" s="36"/>
      <x:c r="O188" s="36"/>
      <x:c r="P188" s="75"/>
      <x:c r="Q188" s="63" t="str">
        <x:f>IF($A188="","",IF($O188="Sim",IFERROR($G188/MAX($P188,1),$G188),$G188))</x:f>
      </x:c>
      <x:c r="R188" s="36"/>
      <x:c r="S188" s="36"/>
    </x:row>
    <x:row r="189">
      <x:c r="A189" s="36"/>
      <x:c r="B189" s="59"/>
      <x:c r="C189" s="36"/>
      <x:c r="D189" s="36"/>
      <x:c r="E189" s="36"/>
      <x:c r="F189" s="36"/>
      <x:c r="G189" s="37"/>
      <x:c r="H189" s="37"/>
      <x:c r="I189" s="37"/>
      <x:c r="J189" s="38"/>
      <x:c r="K189" s="36"/>
      <x:c r="L189" s="36"/>
      <x:c r="M189" s="36"/>
      <x:c r="N189" s="36"/>
      <x:c r="O189" s="36"/>
      <x:c r="P189" s="75"/>
      <x:c r="Q189" s="63" t="str">
        <x:f>IF($A189="","",IF($O189="Sim",IFERROR($G189/MAX($P189,1),$G189),$G189))</x:f>
      </x:c>
      <x:c r="R189" s="36"/>
      <x:c r="S189" s="36"/>
    </x:row>
    <x:row r="190">
      <x:c r="A190" s="36"/>
      <x:c r="B190" s="59"/>
      <x:c r="C190" s="36"/>
      <x:c r="D190" s="36"/>
      <x:c r="E190" s="36"/>
      <x:c r="F190" s="36"/>
      <x:c r="G190" s="37"/>
      <x:c r="H190" s="37"/>
      <x:c r="I190" s="37"/>
      <x:c r="J190" s="38"/>
      <x:c r="K190" s="36"/>
      <x:c r="L190" s="36"/>
      <x:c r="M190" s="36"/>
      <x:c r="N190" s="36"/>
      <x:c r="O190" s="36"/>
      <x:c r="P190" s="75"/>
      <x:c r="Q190" s="63" t="str">
        <x:f>IF($A190="","",IF($O190="Sim",IFERROR($G190/MAX($P190,1),$G190),$G190))</x:f>
      </x:c>
      <x:c r="R190" s="36"/>
      <x:c r="S190" s="36"/>
    </x:row>
    <x:row r="191">
      <x:c r="A191" s="36"/>
      <x:c r="B191" s="59"/>
      <x:c r="C191" s="36"/>
      <x:c r="D191" s="36"/>
      <x:c r="E191" s="36"/>
      <x:c r="F191" s="36"/>
      <x:c r="G191" s="37"/>
      <x:c r="H191" s="37"/>
      <x:c r="I191" s="37"/>
      <x:c r="J191" s="38"/>
      <x:c r="K191" s="36"/>
      <x:c r="L191" s="36"/>
      <x:c r="M191" s="36"/>
      <x:c r="N191" s="36"/>
      <x:c r="O191" s="36"/>
      <x:c r="P191" s="75"/>
      <x:c r="Q191" s="63" t="str">
        <x:f>IF($A191="","",IF($O191="Sim",IFERROR($G191/MAX($P191,1),$G191),$G191))</x:f>
      </x:c>
      <x:c r="R191" s="36"/>
      <x:c r="S191" s="36"/>
    </x:row>
    <x:row r="192">
      <x:c r="A192" s="36"/>
      <x:c r="B192" s="59"/>
      <x:c r="C192" s="36"/>
      <x:c r="D192" s="36"/>
      <x:c r="E192" s="36"/>
      <x:c r="F192" s="36"/>
      <x:c r="G192" s="37"/>
      <x:c r="H192" s="37"/>
      <x:c r="I192" s="37"/>
      <x:c r="J192" s="38"/>
      <x:c r="K192" s="36"/>
      <x:c r="L192" s="36"/>
      <x:c r="M192" s="36"/>
      <x:c r="N192" s="36"/>
      <x:c r="O192" s="36"/>
      <x:c r="P192" s="75"/>
      <x:c r="Q192" s="63" t="str">
        <x:f>IF($A192="","",IF($O192="Sim",IFERROR($G192/MAX($P192,1),$G192),$G192))</x:f>
      </x:c>
      <x:c r="R192" s="36"/>
      <x:c r="S192" s="36"/>
    </x:row>
    <x:row r="193">
      <x:c r="A193" s="36"/>
      <x:c r="B193" s="59"/>
      <x:c r="C193" s="36"/>
      <x:c r="D193" s="36"/>
      <x:c r="E193" s="36"/>
      <x:c r="F193" s="36"/>
      <x:c r="G193" s="37"/>
      <x:c r="H193" s="37"/>
      <x:c r="I193" s="37"/>
      <x:c r="J193" s="38"/>
      <x:c r="K193" s="36"/>
      <x:c r="L193" s="36"/>
      <x:c r="M193" s="36"/>
      <x:c r="N193" s="36"/>
      <x:c r="O193" s="36"/>
      <x:c r="P193" s="75"/>
      <x:c r="Q193" s="63" t="str">
        <x:f>IF($A193="","",IF($O193="Sim",IFERROR($G193/MAX($P193,1),$G193),$G193))</x:f>
      </x:c>
      <x:c r="R193" s="36"/>
      <x:c r="S193" s="36"/>
    </x:row>
    <x:row r="194">
      <x:c r="A194" s="36"/>
      <x:c r="B194" s="59"/>
      <x:c r="C194" s="36"/>
      <x:c r="D194" s="36"/>
      <x:c r="E194" s="36"/>
      <x:c r="F194" s="36"/>
      <x:c r="G194" s="37"/>
      <x:c r="H194" s="37"/>
      <x:c r="I194" s="37"/>
      <x:c r="J194" s="38"/>
      <x:c r="K194" s="36"/>
      <x:c r="L194" s="36"/>
      <x:c r="M194" s="36"/>
      <x:c r="N194" s="36"/>
      <x:c r="O194" s="36"/>
      <x:c r="P194" s="75"/>
      <x:c r="Q194" s="63" t="str">
        <x:f>IF($A194="","",IF($O194="Sim",IFERROR($G194/MAX($P194,1),$G194),$G194))</x:f>
      </x:c>
      <x:c r="R194" s="36"/>
      <x:c r="S194" s="36"/>
    </x:row>
    <x:row r="195">
      <x:c r="A195" s="36"/>
      <x:c r="B195" s="59"/>
      <x:c r="C195" s="36"/>
      <x:c r="D195" s="36"/>
      <x:c r="E195" s="36"/>
      <x:c r="F195" s="36"/>
      <x:c r="G195" s="37"/>
      <x:c r="H195" s="37"/>
      <x:c r="I195" s="37"/>
      <x:c r="J195" s="38"/>
      <x:c r="K195" s="36"/>
      <x:c r="L195" s="36"/>
      <x:c r="M195" s="36"/>
      <x:c r="N195" s="36"/>
      <x:c r="O195" s="36"/>
      <x:c r="P195" s="75"/>
      <x:c r="Q195" s="63" t="str">
        <x:f>IF($A195="","",IF($O195="Sim",IFERROR($G195/MAX($P195,1),$G195),$G195))</x:f>
      </x:c>
      <x:c r="R195" s="36"/>
      <x:c r="S195" s="36"/>
    </x:row>
    <x:row r="196">
      <x:c r="A196" s="36"/>
      <x:c r="B196" s="59"/>
      <x:c r="C196" s="36"/>
      <x:c r="D196" s="36"/>
      <x:c r="E196" s="36"/>
      <x:c r="F196" s="36"/>
      <x:c r="G196" s="37"/>
      <x:c r="H196" s="37"/>
      <x:c r="I196" s="37"/>
      <x:c r="J196" s="38"/>
      <x:c r="K196" s="36"/>
      <x:c r="L196" s="36"/>
      <x:c r="M196" s="36"/>
      <x:c r="N196" s="36"/>
      <x:c r="O196" s="36"/>
      <x:c r="P196" s="75"/>
      <x:c r="Q196" s="63" t="str">
        <x:f>IF($A196="","",IF($O196="Sim",IFERROR($G196/MAX($P196,1),$G196),$G196))</x:f>
      </x:c>
      <x:c r="R196" s="36"/>
      <x:c r="S196" s="36"/>
    </x:row>
    <x:row r="197">
      <x:c r="A197" s="36"/>
      <x:c r="B197" s="59"/>
      <x:c r="C197" s="36"/>
      <x:c r="D197" s="36"/>
      <x:c r="E197" s="36"/>
      <x:c r="F197" s="36"/>
      <x:c r="G197" s="37"/>
      <x:c r="H197" s="37"/>
      <x:c r="I197" s="37"/>
      <x:c r="J197" s="38"/>
      <x:c r="K197" s="36"/>
      <x:c r="L197" s="36"/>
      <x:c r="M197" s="36"/>
      <x:c r="N197" s="36"/>
      <x:c r="O197" s="36"/>
      <x:c r="P197" s="75"/>
      <x:c r="Q197" s="63" t="str">
        <x:f>IF($A197="","",IF($O197="Sim",IFERROR($G197/MAX($P197,1),$G197),$G197))</x:f>
      </x:c>
      <x:c r="R197" s="36"/>
      <x:c r="S197" s="36"/>
    </x:row>
    <x:row r="198">
      <x:c r="A198" s="36"/>
      <x:c r="B198" s="59"/>
      <x:c r="C198" s="36"/>
      <x:c r="D198" s="36"/>
      <x:c r="E198" s="36"/>
      <x:c r="F198" s="36"/>
      <x:c r="G198" s="37"/>
      <x:c r="H198" s="37"/>
      <x:c r="I198" s="37"/>
      <x:c r="J198" s="38"/>
      <x:c r="K198" s="36"/>
      <x:c r="L198" s="36"/>
      <x:c r="M198" s="36"/>
      <x:c r="N198" s="36"/>
      <x:c r="O198" s="36"/>
      <x:c r="P198" s="75"/>
      <x:c r="Q198" s="63" t="str">
        <x:f>IF($A198="","",IF($O198="Sim",IFERROR($G198/MAX($P198,1),$G198),$G198))</x:f>
      </x:c>
      <x:c r="R198" s="36"/>
      <x:c r="S198" s="36"/>
    </x:row>
    <x:row r="199">
      <x:c r="A199" s="36"/>
      <x:c r="B199" s="59"/>
      <x:c r="C199" s="36"/>
      <x:c r="D199" s="36"/>
      <x:c r="E199" s="36"/>
      <x:c r="F199" s="36"/>
      <x:c r="G199" s="37"/>
      <x:c r="H199" s="37"/>
      <x:c r="I199" s="37"/>
      <x:c r="J199" s="38"/>
      <x:c r="K199" s="36"/>
      <x:c r="L199" s="36"/>
      <x:c r="M199" s="36"/>
      <x:c r="N199" s="36"/>
      <x:c r="O199" s="36"/>
      <x:c r="P199" s="75"/>
      <x:c r="Q199" s="63" t="str">
        <x:f>IF($A199="","",IF($O199="Sim",IFERROR($G199/MAX($P199,1),$G199),$G199))</x:f>
      </x:c>
      <x:c r="R199" s="36"/>
      <x:c r="S199" s="36"/>
    </x:row>
    <x:row r="200">
      <x:c r="A200" s="36"/>
      <x:c r="B200" s="59"/>
      <x:c r="C200" s="36"/>
      <x:c r="D200" s="36"/>
      <x:c r="E200" s="36"/>
      <x:c r="F200" s="36"/>
      <x:c r="G200" s="37"/>
      <x:c r="H200" s="37"/>
      <x:c r="I200" s="37"/>
      <x:c r="J200" s="38"/>
      <x:c r="K200" s="36"/>
      <x:c r="L200" s="36"/>
      <x:c r="M200" s="36"/>
      <x:c r="N200" s="36"/>
      <x:c r="O200" s="36"/>
      <x:c r="P200" s="75"/>
      <x:c r="Q200" s="63" t="str">
        <x:f>IF($A200="","",IF($O200="Sim",IFERROR($G200/MAX($P200,1),$G200),$G200))</x:f>
      </x:c>
      <x:c r="R200" s="36"/>
      <x:c r="S200" s="36"/>
    </x:row>
    <x:row r="201">
      <x:c r="A201" s="36"/>
      <x:c r="B201" s="59"/>
      <x:c r="C201" s="36"/>
      <x:c r="D201" s="36"/>
      <x:c r="E201" s="36"/>
      <x:c r="F201" s="36"/>
      <x:c r="G201" s="37"/>
      <x:c r="H201" s="37"/>
      <x:c r="I201" s="37"/>
      <x:c r="J201" s="38"/>
      <x:c r="K201" s="36"/>
      <x:c r="L201" s="36"/>
      <x:c r="M201" s="36"/>
      <x:c r="N201" s="36"/>
      <x:c r="O201" s="36"/>
      <x:c r="P201" s="75"/>
      <x:c r="Q201" s="63" t="str">
        <x:f>IF($A201="","",IF($O201="Sim",IFERROR($G201/MAX($P201,1),$G201),$G201))</x:f>
      </x:c>
      <x:c r="R201" s="36"/>
      <x:c r="S201" s="36"/>
    </x:row>
    <x:row r="202">
      <x:c r="A202" s="36"/>
      <x:c r="B202" s="59"/>
      <x:c r="C202" s="36"/>
      <x:c r="D202" s="36"/>
      <x:c r="E202" s="36"/>
      <x:c r="F202" s="36"/>
      <x:c r="G202" s="37"/>
      <x:c r="H202" s="37"/>
      <x:c r="I202" s="37"/>
      <x:c r="J202" s="38"/>
      <x:c r="K202" s="36"/>
      <x:c r="L202" s="36"/>
      <x:c r="M202" s="36"/>
      <x:c r="N202" s="36"/>
      <x:c r="O202" s="36"/>
      <x:c r="P202" s="75"/>
      <x:c r="Q202" s="63" t="str">
        <x:f>IF($A202="","",IF($O202="Sim",IFERROR($G202/MAX($P202,1),$G202),$G202))</x:f>
      </x:c>
      <x:c r="R202" s="36"/>
      <x:c r="S202" s="36"/>
    </x:row>
    <x:row r="203">
      <x:c r="A203" s="36"/>
      <x:c r="B203" s="59"/>
      <x:c r="C203" s="36"/>
      <x:c r="D203" s="36"/>
      <x:c r="E203" s="36"/>
      <x:c r="F203" s="36"/>
      <x:c r="G203" s="37"/>
      <x:c r="H203" s="37"/>
      <x:c r="I203" s="37"/>
      <x:c r="J203" s="38"/>
      <x:c r="K203" s="36"/>
      <x:c r="L203" s="36"/>
      <x:c r="M203" s="36"/>
      <x:c r="N203" s="36"/>
      <x:c r="O203" s="36"/>
      <x:c r="P203" s="75"/>
      <x:c r="Q203" s="63" t="str">
        <x:f>IF($A203="","",IF($O203="Sim",IFERROR($G203/MAX($P203,1),$G203),$G203))</x:f>
      </x:c>
      <x:c r="R203" s="36"/>
      <x:c r="S203" s="36"/>
    </x:row>
    <x:row r="204">
      <x:c r="A204" s="36"/>
      <x:c r="B204" s="59"/>
      <x:c r="C204" s="36"/>
      <x:c r="D204" s="36"/>
      <x:c r="E204" s="36"/>
      <x:c r="F204" s="36"/>
      <x:c r="G204" s="37"/>
      <x:c r="H204" s="37"/>
      <x:c r="I204" s="37"/>
      <x:c r="J204" s="38"/>
      <x:c r="K204" s="36"/>
      <x:c r="L204" s="36"/>
      <x:c r="M204" s="36"/>
      <x:c r="N204" s="36"/>
      <x:c r="O204" s="36"/>
      <x:c r="P204" s="75"/>
      <x:c r="Q204" s="63" t="str">
        <x:f>IF($A204="","",IF($O204="Sim",IFERROR($G204/MAX($P204,1),$G204),$G204))</x:f>
      </x:c>
      <x:c r="R204" s="36"/>
      <x:c r="S204" s="36"/>
    </x:row>
    <x:row r="205">
      <x:c r="A205" s="36"/>
      <x:c r="B205" s="59"/>
      <x:c r="C205" s="36"/>
      <x:c r="D205" s="36"/>
      <x:c r="E205" s="36"/>
      <x:c r="F205" s="36"/>
      <x:c r="G205" s="37"/>
      <x:c r="H205" s="37"/>
      <x:c r="I205" s="37"/>
      <x:c r="J205" s="38"/>
      <x:c r="K205" s="36"/>
      <x:c r="L205" s="36"/>
      <x:c r="M205" s="36"/>
      <x:c r="N205" s="36"/>
      <x:c r="O205" s="36"/>
      <x:c r="P205" s="75"/>
      <x:c r="Q205" s="63" t="str">
        <x:f>IF($A205="","",IF($O205="Sim",IFERROR($G205/MAX($P205,1),$G205),$G205))</x:f>
      </x:c>
      <x:c r="R205" s="36"/>
      <x:c r="S205" s="36"/>
    </x:row>
  </x:sheetData>
  <x:mergeCells>
    <x:mergeCell ref="A1:S1"/>
    <x:mergeCell ref="A2:S2"/>
    <x:mergeCell ref="A3:S3"/>
  </x:mergeCells>
  <x:conditionalFormatting sqref="G6:G205">
    <x:cfRule type="cellIs" dxfId="5" priority="1" operator="greaterThan">
      <x:formula>I6</x:formula>
    </x:cfRule>
  </x:conditionalFormatting>
  <x:conditionalFormatting sqref="R6:R205">
    <x:cfRule type="containsText" dxfId="6" priority="2" operator="containsText" text="Cancelado"/>
  </x:conditionalFormatting>
  <x:dataValidations count="9">
    <x:dataValidation type="list" sqref="A6:A205">
      <x:formula1>'Planejamento de Viagens'!$A$6:$A$205</x:formula1>
    </x:dataValidation>
    <x:dataValidation type="list" sqref="C6:C205">
      <x:formula1>'Base de Categorias'!$B$2:$B$15</x:formula1>
    </x:dataValidation>
    <x:dataValidation type="list" sqref="D6:D205">
      <x:formula1>'Base de Categorias'!$C$2:$C$160</x:formula1>
    </x:dataValidation>
    <x:dataValidation type="list" sqref="E6:E205">
      <x:formula1>'Base de Categorias'!$I$2:$I$8</x:formula1>
    </x:dataValidation>
    <x:dataValidation type="list" sqref="K6:K205">
      <x:formula1>'Base de Categorias'!$M$2:$M$3</x:formula1>
    </x:dataValidation>
    <x:dataValidation type="list" sqref="L6:M205">
      <x:formula1>'Base de Categorias'!$A$2:$A$4</x:formula1>
    </x:dataValidation>
    <x:dataValidation type="list" sqref="N6:N205">
      <x:formula1>'Base de Categorias'!$D$2:$D$20</x:formula1>
    </x:dataValidation>
    <x:dataValidation type="list" sqref="O6:O205">
      <x:formula1>'Base de Categorias'!$M$2:$M$3</x:formula1>
    </x:dataValidation>
    <x:dataValidation type="list" sqref="R6:R205">
      <x:formula1>'Base de Categorias'!$N$2:$N$10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9e19a125f946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1.25" hidden="0" customWidth="1"/>
    <x:col min="3" max="3" width="13.130000114440918" hidden="0" customWidth="1"/>
    <x:col min="4" max="4" width="23.1299991607666" hidden="0" customWidth="1"/>
    <x:col min="5" max="5" width="20.6299991607666" hidden="0" customWidth="1"/>
    <x:col min="6" max="6" width="21.25" hidden="0" customWidth="1"/>
    <x:col min="7" max="7" width="26.25" hidden="0" customWidth="1"/>
    <x:col min="8" max="8" width="15" hidden="0" customWidth="1"/>
    <x:col min="9" max="9" width="32.5" hidden="0" customWidth="1"/>
    <x:col min="10" max="10" width="13.75" hidden="0" customWidth="1"/>
    <x:col min="11" max="11" width="18.75" hidden="0" customWidth="1"/>
    <x:col min="12" max="12" width="20" hidden="0" customWidth="1"/>
    <x:col min="13" max="13" width="12.5" hidden="0" customWidth="1"/>
    <x:col min="14" max="14" width="14.380000114440918" hidden="0" customWidth="1"/>
    <x:col min="15" max="15" width="12.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6.8799991607666" hidden="0" customWidth="1"/>
    <x:col min="22" max="22" width="16.8799991607666" hidden="0" customWidth="1"/>
    <x:col min="23" max="23" width="16.25" hidden="0" customWidth="1"/>
    <x:col min="24" max="24" width="16.25" hidden="0" customWidth="1"/>
    <x:col min="25" max="25" width="18.1299991607666" hidden="0" customWidth="1"/>
    <x:col min="26" max="26" width="26.25" hidden="0" customWidth="1"/>
    <x:col min="27" max="27" width="30" hidden="0" customWidth="1"/>
  </x:cols>
  <x:sheetData>
    <x:row r="1" ht="25.5" customHeight="1">
      <x:c r="A1" s="4" t="str">
        <x:v>Histórico de Gastos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</x:row>
    <x:row r="2" ht="21" customHeight="1">
      <x:c r="A2" s="9" t="str">
        <x:v>Registre aqui os gastos reais. Esta aba alimenta o Dashboard, acertos e comparativos.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</x:row>
    <x:row r="3" ht="22.5" customHeight="1">
      <x:c r="A3" s="47" t="str">
        <x:v>Células em azul são preenchidas manualmente. Células em cinza são calculadas automaticamente.</x:v>
      </x:c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  <x:c r="AA3" s="49"/>
    </x:row>
    <x:row r="5">
      <x:c r="A5" s="33" t="str">
        <x:v>ID do gasto</x:v>
      </x:c>
      <x:c r="B5" s="33" t="str">
        <x:v>ID da viagem</x:v>
      </x:c>
      <x:c r="C5" s="33" t="str">
        <x:v>Data do gasto</x:v>
      </x:c>
      <x:c r="D5" s="33" t="str">
        <x:v>Pessoa que pagou</x:v>
      </x:c>
      <x:c r="E5" s="33" t="str">
        <x:v>Pessoa beneficiada</x:v>
      </x:c>
      <x:c r="F5" s="33" t="str">
        <x:v>Categoria</x:v>
      </x:c>
      <x:c r="G5" s="33" t="str">
        <x:v>Subcategoria</x:v>
      </x:c>
      <x:c r="H5" s="33" t="str">
        <x:v>Tipo de custo</x:v>
      </x:c>
      <x:c r="I5" s="33" t="str">
        <x:v>Descrição</x:v>
      </x:c>
      <x:c r="J5" s="33" t="str">
        <x:v>Valor</x:v>
      </x:c>
      <x:c r="K5" s="33" t="str">
        <x:v>Forma de pagamento</x:v>
      </x:c>
      <x:c r="L5" s="33" t="str">
        <x:v>Cartão/conta usada</x:v>
      </x:c>
      <x:c r="M5" s="33" t="str">
        <x:v>Parcelado?</x:v>
      </x:c>
      <x:c r="N5" s="33" t="str">
        <x:v>Número de parcelas</x:v>
      </x:c>
      <x:c r="O5" s="33" t="str">
        <x:v>Parcela atual</x:v>
      </x:c>
      <x:c r="P5" s="33" t="str">
        <x:v>Valor da parcela</x:v>
      </x:c>
      <x:c r="Q5" s="33" t="str">
        <x:v>Reembolsável?</x:v>
      </x:c>
      <x:c r="R5" s="33" t="str">
        <x:v>Deve ser dividido?</x:v>
      </x:c>
      <x:c r="S5" s="33" t="str">
        <x:v>Percentual Pedro</x:v>
      </x:c>
      <x:c r="T5" s="33" t="str">
        <x:v>Percentual Camilly</x:v>
      </x:c>
      <x:c r="U5" s="33" t="str">
        <x:v>Responsabilidade Pedro</x:v>
      </x:c>
      <x:c r="V5" s="33" t="str">
        <x:v>Responsabilidade Camilly</x:v>
      </x:c>
      <x:c r="W5" s="33" t="str">
        <x:v>Valor pago por Pedro</x:v>
      </x:c>
      <x:c r="X5" s="33" t="str">
        <x:v>Valor pago por Camilly</x:v>
      </x:c>
      <x:c r="Y5" s="33" t="str">
        <x:v>Diferença/compensação</x:v>
      </x:c>
      <x:c r="Z5" s="33" t="str">
        <x:v>Comprovante/link</x:v>
      </x:c>
      <x:c r="AA5" s="33" t="str">
        <x:v>Observações</x:v>
      </x:c>
    </x:row>
    <x:row r="6">
      <x:c r="A6" s="36" t="str">
        <x:v>G001</x:v>
      </x:c>
      <x:c r="B6" s="36" t="str">
        <x:v>V003</x:v>
      </x:c>
      <x:c r="C6" s="59" t="n">
        <x:v>46157</x:v>
      </x:c>
      <x:c r="D6" s="36" t="str">
        <x:v>Pedro Américo Paletot</x:v>
      </x:c>
      <x:c r="E6" s="36" t="str">
        <x:v>Pedro Américo Paletot</x:v>
      </x:c>
      <x:c r="F6" s="36" t="str">
        <x:v>Transporte principal</x:v>
      </x:c>
      <x:c r="G6" s="36" t="str">
        <x:v>Passagem de ônibus</x:v>
      </x:c>
      <x:c r="H6" s="36" t="str">
        <x:v>Fixo</x:v>
      </x:c>
      <x:c r="I6" s="36" t="str">
        <x:v>Ônibus João Pessoa - Recife</x:v>
      </x:c>
      <x:c r="J6" s="37" t="n">
        <x:v>178</x:v>
      </x:c>
      <x:c r="K6" s="36" t="str">
        <x:v>Cartão de crédito</x:v>
      </x:c>
      <x:c r="L6" s="36" t="str">
        <x:v>Nubank Pedro</x:v>
      </x:c>
      <x:c r="M6" s="36" t="str">
        <x:v>Não</x:v>
      </x:c>
      <x:c r="N6" s="36" t="n">
        <x:v>1</x:v>
      </x:c>
      <x:c r="O6" s="36" t="n">
        <x:v>1</x:v>
      </x:c>
      <x:c r="P6" s="63" t="n">
        <x:f>IF($A6="","",IF($M6="Sim",IFERROR($J6/MAX($N6,1),$J6),$J6))</x:f>
        <x:v>178</x:v>
      </x:c>
      <x:c r="Q6" s="36" t="str">
        <x:v>Sim</x:v>
      </x:c>
      <x:c r="R6" s="36" t="str">
        <x:v>Não</x:v>
      </x:c>
      <x:c r="S6" s="38" t="n">
        <x:v>1</x:v>
      </x:c>
      <x:c r="T6" s="38" t="n">
        <x:v>0</x:v>
      </x:c>
      <x:c r="U6" s="63" t="n">
        <x:f>IF($A6="","",$J6*$S6)</x:f>
        <x:v>178</x:v>
      </x:c>
      <x:c r="V6" s="63" t="n">
        <x:f>IF($A6="","",$J6*$T6)</x:f>
        <x:v>0</x:v>
      </x:c>
      <x:c r="W6" s="63" t="n">
        <x:f>IF($A6="","",IF($D6="Pedro Américo Paletot",$J6,0))</x:f>
        <x:v>178</x:v>
      </x:c>
      <x:c r="X6" s="63" t="n">
        <x:f>IF($A6="","",IF($D6="Camilly Queiroz",$J6,0))</x:f>
        <x:v>0</x:v>
      </x:c>
      <x:c r="Y6" s="63" t="n">
        <x:f>IF($A6="","",$W6-$U6)</x:f>
        <x:v>0</x:v>
      </x:c>
      <x:c r="Z6" s="36" t="str">
        <x:v>https://exemplo.com/g001</x:v>
      </x:c>
      <x:c r="AA6" s="36" t="str"/>
    </x:row>
    <x:row r="7">
      <x:c r="A7" s="36" t="str">
        <x:v>G002</x:v>
      </x:c>
      <x:c r="B7" s="36" t="str">
        <x:v>V003</x:v>
      </x:c>
      <x:c r="C7" s="59" t="n">
        <x:v>46158</x:v>
      </x:c>
      <x:c r="D7" s="36" t="str">
        <x:v>Camilly Queiroz</x:v>
      </x:c>
      <x:c r="E7" s="36" t="str">
        <x:v>Ambos</x:v>
      </x:c>
      <x:c r="F7" s="36" t="str">
        <x:v>Hospedagem</x:v>
      </x:c>
      <x:c r="G7" s="36" t="str">
        <x:v>Hotel</x:v>
      </x:c>
      <x:c r="H7" s="36" t="str">
        <x:v>Fixo</x:v>
      </x:c>
      <x:c r="I7" s="36" t="str">
        <x:v>Hotel duas diárias</x:v>
      </x:c>
      <x:c r="J7" s="37" t="n">
        <x:v>640</x:v>
      </x:c>
      <x:c r="K7" s="36" t="str">
        <x:v>Cartão de crédito</x:v>
      </x:c>
      <x:c r="L7" s="36" t="str">
        <x:v>Inter Camilly</x:v>
      </x:c>
      <x:c r="M7" s="36" t="str">
        <x:v>Sim</x:v>
      </x:c>
      <x:c r="N7" s="36" t="n">
        <x:v>2</x:v>
      </x:c>
      <x:c r="O7" s="36" t="n">
        <x:v>1</x:v>
      </x:c>
      <x:c r="P7" s="63" t="n">
        <x:f>IF($A7="","",IF($M7="Sim",IFERROR($J7/MAX($N7,1),$J7),$J7))</x:f>
        <x:v>320</x:v>
      </x:c>
      <x:c r="Q7" s="36" t="str">
        <x:v>Sim</x:v>
      </x:c>
      <x:c r="R7" s="36" t="str">
        <x:v>Sim</x:v>
      </x:c>
      <x:c r="S7" s="38" t="n">
        <x:v>0.5</x:v>
      </x:c>
      <x:c r="T7" s="38" t="n">
        <x:v>0.5</x:v>
      </x:c>
      <x:c r="U7" s="63" t="n">
        <x:f>IF($A7="","",$J7*$S7)</x:f>
        <x:v>320</x:v>
      </x:c>
      <x:c r="V7" s="63" t="n">
        <x:f>IF($A7="","",$J7*$T7)</x:f>
        <x:v>320</x:v>
      </x:c>
      <x:c r="W7" s="63" t="n">
        <x:f>IF($A7="","",IF($D7="Pedro Américo Paletot",$J7,0))</x:f>
        <x:v>0</x:v>
      </x:c>
      <x:c r="X7" s="63" t="n">
        <x:f>IF($A7="","",IF($D7="Camilly Queiroz",$J7,0))</x:f>
        <x:v>640</x:v>
      </x:c>
      <x:c r="Y7" s="63" t="n">
        <x:f>IF($A7="","",$W7-$U7)</x:f>
        <x:v>-320</x:v>
      </x:c>
      <x:c r="Z7" s="36" t="str">
        <x:v>https://exemplo.com/g002</x:v>
      </x:c>
      <x:c r="AA7" s="36" t="str"/>
    </x:row>
    <x:row r="8">
      <x:c r="A8" s="36" t="str">
        <x:v>G003</x:v>
      </x:c>
      <x:c r="B8" s="36" t="str">
        <x:v>V003</x:v>
      </x:c>
      <x:c r="C8" s="59" t="n">
        <x:v>46158</x:v>
      </x:c>
      <x:c r="D8" s="36" t="str">
        <x:v>Pedro Américo Paletot</x:v>
      </x:c>
      <x:c r="E8" s="36" t="str">
        <x:v>Ambos</x:v>
      </x:c>
      <x:c r="F8" s="36" t="str">
        <x:v>Transporte local</x:v>
      </x:c>
      <x:c r="G8" s="36" t="str">
        <x:v>Uber</x:v>
      </x:c>
      <x:c r="H8" s="36" t="str">
        <x:v>Variável</x:v>
      </x:c>
      <x:c r="I8" s="36" t="str">
        <x:v>Uber rodoviária para hotel</x:v>
      </x:c>
      <x:c r="J8" s="37" t="n">
        <x:v>42</x:v>
      </x:c>
      <x:c r="K8" s="36" t="str">
        <x:v>Pix</x:v>
      </x:c>
      <x:c r="L8" s="36" t="str">
        <x:v>Conta Pedro</x:v>
      </x:c>
      <x:c r="M8" s="36" t="str">
        <x:v>Não</x:v>
      </x:c>
      <x:c r="N8" s="36" t="n">
        <x:v>1</x:v>
      </x:c>
      <x:c r="O8" s="36" t="n">
        <x:v>1</x:v>
      </x:c>
      <x:c r="P8" s="63" t="n">
        <x:f>IF($A8="","",IF($M8="Sim",IFERROR($J8/MAX($N8,1),$J8),$J8))</x:f>
        <x:v>42</x:v>
      </x:c>
      <x:c r="Q8" s="36" t="str">
        <x:v>Sim</x:v>
      </x:c>
      <x:c r="R8" s="36" t="str">
        <x:v>Sim</x:v>
      </x:c>
      <x:c r="S8" s="38" t="n">
        <x:v>0.5</x:v>
      </x:c>
      <x:c r="T8" s="38" t="n">
        <x:v>0.5</x:v>
      </x:c>
      <x:c r="U8" s="63" t="n">
        <x:f>IF($A8="","",$J8*$S8)</x:f>
        <x:v>21</x:v>
      </x:c>
      <x:c r="V8" s="63" t="n">
        <x:f>IF($A8="","",$J8*$T8)</x:f>
        <x:v>21</x:v>
      </x:c>
      <x:c r="W8" s="63" t="n">
        <x:f>IF($A8="","",IF($D8="Pedro Américo Paletot",$J8,0))</x:f>
        <x:v>42</x:v>
      </x:c>
      <x:c r="X8" s="63" t="n">
        <x:f>IF($A8="","",IF($D8="Camilly Queiroz",$J8,0))</x:f>
        <x:v>0</x:v>
      </x:c>
      <x:c r="Y8" s="63" t="n">
        <x:f>IF($A8="","",$W8-$U8)</x:f>
        <x:v>21</x:v>
      </x:c>
      <x:c r="Z8" s="36" t="str"/>
      <x:c r="AA8" s="36" t="str"/>
    </x:row>
    <x:row r="9">
      <x:c r="A9" s="36" t="str">
        <x:v>G004</x:v>
      </x:c>
      <x:c r="B9" s="36" t="str">
        <x:v>V003</x:v>
      </x:c>
      <x:c r="C9" s="59" t="n">
        <x:v>46158</x:v>
      </x:c>
      <x:c r="D9" s="36" t="str">
        <x:v>Pedro Américo Paletot</x:v>
      </x:c>
      <x:c r="E9" s="36" t="str">
        <x:v>Ambos</x:v>
      </x:c>
      <x:c r="F9" s="36" t="str">
        <x:v>Alimentação</x:v>
      </x:c>
      <x:c r="G9" s="36" t="str">
        <x:v>Café da manhã</x:v>
      </x:c>
      <x:c r="H9" s="36" t="str">
        <x:v>Variável</x:v>
      </x:c>
      <x:c r="I9" s="36" t="str">
        <x:v>Café do sábado</x:v>
      </x:c>
      <x:c r="J9" s="37" t="n">
        <x:v>68</x:v>
      </x:c>
      <x:c r="K9" s="36" t="str">
        <x:v>Pix</x:v>
      </x:c>
      <x:c r="L9" s="36" t="str">
        <x:v>Conta Pedro</x:v>
      </x:c>
      <x:c r="M9" s="36" t="str">
        <x:v>Não</x:v>
      </x:c>
      <x:c r="N9" s="36" t="n">
        <x:v>1</x:v>
      </x:c>
      <x:c r="O9" s="36" t="n">
        <x:v>1</x:v>
      </x:c>
      <x:c r="P9" s="63" t="n">
        <x:f>IF($A9="","",IF($M9="Sim",IFERROR($J9/MAX($N9,1),$J9),$J9))</x:f>
        <x:v>68</x:v>
      </x:c>
      <x:c r="Q9" s="36" t="str">
        <x:v>Sim</x:v>
      </x:c>
      <x:c r="R9" s="36" t="str">
        <x:v>Sim</x:v>
      </x:c>
      <x:c r="S9" s="38" t="n">
        <x:v>0.5</x:v>
      </x:c>
      <x:c r="T9" s="38" t="n">
        <x:v>0.5</x:v>
      </x:c>
      <x:c r="U9" s="63" t="n">
        <x:f>IF($A9="","",$J9*$S9)</x:f>
        <x:v>34</x:v>
      </x:c>
      <x:c r="V9" s="63" t="n">
        <x:f>IF($A9="","",$J9*$T9)</x:f>
        <x:v>34</x:v>
      </x:c>
      <x:c r="W9" s="63" t="n">
        <x:f>IF($A9="","",IF($D9="Pedro Américo Paletot",$J9,0))</x:f>
        <x:v>68</x:v>
      </x:c>
      <x:c r="X9" s="63" t="n">
        <x:f>IF($A9="","",IF($D9="Camilly Queiroz",$J9,0))</x:f>
        <x:v>0</x:v>
      </x:c>
      <x:c r="Y9" s="63" t="n">
        <x:f>IF($A9="","",$W9-$U9)</x:f>
        <x:v>34</x:v>
      </x:c>
      <x:c r="Z9" s="36" t="str"/>
      <x:c r="AA9" s="36" t="str"/>
    </x:row>
    <x:row r="10">
      <x:c r="A10" s="36" t="str">
        <x:v>G005</x:v>
      </x:c>
      <x:c r="B10" s="36" t="str">
        <x:v>V003</x:v>
      </x:c>
      <x:c r="C10" s="59" t="n">
        <x:v>46159</x:v>
      </x:c>
      <x:c r="D10" s="36" t="str">
        <x:v>Camilly Queiroz</x:v>
      </x:c>
      <x:c r="E10" s="36" t="str">
        <x:v>Ambos</x:v>
      </x:c>
      <x:c r="F10" s="36" t="str">
        <x:v>Alimentação</x:v>
      </x:c>
      <x:c r="G10" s="36" t="str">
        <x:v>Delivery</x:v>
      </x:c>
      <x:c r="H10" s="36" t="str">
        <x:v>Variável</x:v>
      </x:c>
      <x:c r="I10" s="36" t="str">
        <x:v>Delivery domingo</x:v>
      </x:c>
      <x:c r="J10" s="37" t="n">
        <x:v>112</x:v>
      </x:c>
      <x:c r="K10" s="36" t="str">
        <x:v>Pix</x:v>
      </x:c>
      <x:c r="L10" s="36" t="str">
        <x:v>Conta Camilly</x:v>
      </x:c>
      <x:c r="M10" s="36" t="str">
        <x:v>Não</x:v>
      </x:c>
      <x:c r="N10" s="36" t="n">
        <x:v>1</x:v>
      </x:c>
      <x:c r="O10" s="36" t="n">
        <x:v>1</x:v>
      </x:c>
      <x:c r="P10" s="63" t="n">
        <x:f>IF($A10="","",IF($M10="Sim",IFERROR($J10/MAX($N10,1),$J10),$J10))</x:f>
        <x:v>112</x:v>
      </x:c>
      <x:c r="Q10" s="36" t="str">
        <x:v>Sim</x:v>
      </x:c>
      <x:c r="R10" s="36" t="str">
        <x:v>Sim</x:v>
      </x:c>
      <x:c r="S10" s="38" t="n">
        <x:v>0.5</x:v>
      </x:c>
      <x:c r="T10" s="38" t="n">
        <x:v>0.5</x:v>
      </x:c>
      <x:c r="U10" s="63" t="n">
        <x:f>IF($A10="","",$J10*$S10)</x:f>
        <x:v>56</x:v>
      </x:c>
      <x:c r="V10" s="63" t="n">
        <x:f>IF($A10="","",$J10*$T10)</x:f>
        <x:v>56</x:v>
      </x:c>
      <x:c r="W10" s="63" t="n">
        <x:f>IF($A10="","",IF($D10="Pedro Américo Paletot",$J10,0))</x:f>
        <x:v>0</x:v>
      </x:c>
      <x:c r="X10" s="63" t="n">
        <x:f>IF($A10="","",IF($D10="Camilly Queiroz",$J10,0))</x:f>
        <x:v>112</x:v>
      </x:c>
      <x:c r="Y10" s="63" t="n">
        <x:f>IF($A10="","",$W10-$U10)</x:f>
        <x:v>-56</x:v>
      </x:c>
      <x:c r="Z10" s="36" t="str"/>
      <x:c r="AA10" s="36" t="str"/>
    </x:row>
    <x:row r="11">
      <x:c r="A11" s="36" t="str">
        <x:v>G006</x:v>
      </x:c>
      <x:c r="B11" s="36" t="str">
        <x:v>V003</x:v>
      </x:c>
      <x:c r="C11" s="59" t="n">
        <x:v>46159</x:v>
      </x:c>
      <x:c r="D11" s="36" t="str">
        <x:v>Pedro Américo Paletot</x:v>
      </x:c>
      <x:c r="E11" s="36" t="str">
        <x:v>Ambos</x:v>
      </x:c>
      <x:c r="F11" s="36" t="str">
        <x:v>Lazer e encontros</x:v>
      </x:c>
      <x:c r="G11" s="36" t="str">
        <x:v>Passeios</x:v>
      </x:c>
      <x:c r="H11" s="36" t="str">
        <x:v>Opcional</x:v>
      </x:c>
      <x:c r="I11" s="36" t="str">
        <x:v>Passeio e fotos</x:v>
      </x:c>
      <x:c r="J11" s="37" t="n">
        <x:v>124</x:v>
      </x:c>
      <x:c r="K11" s="36" t="str">
        <x:v>Pix</x:v>
      </x:c>
      <x:c r="L11" s="36" t="str">
        <x:v>Conta Pedro</x:v>
      </x:c>
      <x:c r="M11" s="36" t="str">
        <x:v>Não</x:v>
      </x:c>
      <x:c r="N11" s="36" t="n">
        <x:v>1</x:v>
      </x:c>
      <x:c r="O11" s="36" t="n">
        <x:v>1</x:v>
      </x:c>
      <x:c r="P11" s="63" t="n">
        <x:f>IF($A11="","",IF($M11="Sim",IFERROR($J11/MAX($N11,1),$J11),$J11))</x:f>
        <x:v>124</x:v>
      </x:c>
      <x:c r="Q11" s="36" t="str">
        <x:v>Sim</x:v>
      </x:c>
      <x:c r="R11" s="36" t="str">
        <x:v>Sim</x:v>
      </x:c>
      <x:c r="S11" s="38" t="n">
        <x:v>0.5</x:v>
      </x:c>
      <x:c r="T11" s="38" t="n">
        <x:v>0.5</x:v>
      </x:c>
      <x:c r="U11" s="63" t="n">
        <x:f>IF($A11="","",$J11*$S11)</x:f>
        <x:v>62</x:v>
      </x:c>
      <x:c r="V11" s="63" t="n">
        <x:f>IF($A11="","",$J11*$T11)</x:f>
        <x:v>62</x:v>
      </x:c>
      <x:c r="W11" s="63" t="n">
        <x:f>IF($A11="","",IF($D11="Pedro Américo Paletot",$J11,0))</x:f>
        <x:v>124</x:v>
      </x:c>
      <x:c r="X11" s="63" t="n">
        <x:f>IF($A11="","",IF($D11="Camilly Queiroz",$J11,0))</x:f>
        <x:v>0</x:v>
      </x:c>
      <x:c r="Y11" s="63" t="n">
        <x:f>IF($A11="","",$W11-$U11)</x:f>
        <x:v>62</x:v>
      </x:c>
      <x:c r="Z11" s="36" t="str"/>
      <x:c r="AA11" s="36" t="str"/>
    </x:row>
    <x:row r="12">
      <x:c r="A12" s="36" t="str">
        <x:v>G007</x:v>
      </x:c>
      <x:c r="B12" s="36" t="str">
        <x:v>V003</x:v>
      </x:c>
      <x:c r="C12" s="59" t="n">
        <x:v>46160</x:v>
      </x:c>
      <x:c r="D12" s="36" t="str">
        <x:v>Camilly Queiroz</x:v>
      </x:c>
      <x:c r="E12" s="36" t="str">
        <x:v>Ambos</x:v>
      </x:c>
      <x:c r="F12" s="36" t="str">
        <x:v>Imprevistos</x:v>
      </x:c>
      <x:c r="G12" s="36" t="str">
        <x:v>Transporte extra</x:v>
      </x:c>
      <x:c r="H12" s="36" t="str">
        <x:v>Emergencial</x:v>
      </x:c>
      <x:c r="I12" s="36" t="str">
        <x:v>Corrida extra para rodoviária</x:v>
      </x:c>
      <x:c r="J12" s="37" t="n">
        <x:v>72</x:v>
      </x:c>
      <x:c r="K12" s="36" t="str">
        <x:v>Pix</x:v>
      </x:c>
      <x:c r="L12" s="36" t="str">
        <x:v>Conta Camilly</x:v>
      </x:c>
      <x:c r="M12" s="36" t="str">
        <x:v>Não</x:v>
      </x:c>
      <x:c r="N12" s="36" t="n">
        <x:v>1</x:v>
      </x:c>
      <x:c r="O12" s="36" t="n">
        <x:v>1</x:v>
      </x:c>
      <x:c r="P12" s="63" t="n">
        <x:f>IF($A12="","",IF($M12="Sim",IFERROR($J12/MAX($N12,1),$J12),$J12))</x:f>
        <x:v>72</x:v>
      </x:c>
      <x:c r="Q12" s="36" t="str">
        <x:v>Sim</x:v>
      </x:c>
      <x:c r="R12" s="36" t="str">
        <x:v>Sim</x:v>
      </x:c>
      <x:c r="S12" s="38" t="n">
        <x:v>0.5</x:v>
      </x:c>
      <x:c r="T12" s="38" t="n">
        <x:v>0.5</x:v>
      </x:c>
      <x:c r="U12" s="63" t="n">
        <x:f>IF($A12="","",$J12*$S12)</x:f>
        <x:v>36</x:v>
      </x:c>
      <x:c r="V12" s="63" t="n">
        <x:f>IF($A12="","",$J12*$T12)</x:f>
        <x:v>36</x:v>
      </x:c>
      <x:c r="W12" s="63" t="n">
        <x:f>IF($A12="","",IF($D12="Pedro Américo Paletot",$J12,0))</x:f>
        <x:v>0</x:v>
      </x:c>
      <x:c r="X12" s="63" t="n">
        <x:f>IF($A12="","",IF($D12="Camilly Queiroz",$J12,0))</x:f>
        <x:v>72</x:v>
      </x:c>
      <x:c r="Y12" s="63" t="n">
        <x:f>IF($A12="","",$W12-$U12)</x:f>
        <x:v>-36</x:v>
      </x:c>
      <x:c r="Z12" s="36" t="str"/>
      <x:c r="AA12" s="36" t="str"/>
    </x:row>
    <x:row r="13">
      <x:c r="A13" s="36" t="str">
        <x:v>G008</x:v>
      </x:c>
      <x:c r="B13" s="36" t="str">
        <x:v>V001</x:v>
      </x:c>
      <x:c r="C13" s="59" t="n">
        <x:v>46191</x:v>
      </x:c>
      <x:c r="D13" s="36" t="str">
        <x:v>Camilly Queiroz</x:v>
      </x:c>
      <x:c r="E13" s="36" t="str">
        <x:v>Camilly Queiroz</x:v>
      </x:c>
      <x:c r="F13" s="36" t="str">
        <x:v>Transporte principal</x:v>
      </x:c>
      <x:c r="G13" s="36" t="str">
        <x:v>Passagem aérea</x:v>
      </x:c>
      <x:c r="H13" s="36" t="str">
        <x:v>Fixo</x:v>
      </x:c>
      <x:c r="I13" s="36" t="str">
        <x:v>Primeira parcela da passagem</x:v>
      </x:c>
      <x:c r="J13" s="37" t="n">
        <x:v>440</x:v>
      </x:c>
      <x:c r="K13" s="36" t="str">
        <x:v>Cartão de crédito</x:v>
      </x:c>
      <x:c r="L13" s="36" t="str">
        <x:v>Cartão Camilly</x:v>
      </x:c>
      <x:c r="M13" s="36" t="str">
        <x:v>Sim</x:v>
      </x:c>
      <x:c r="N13" s="36" t="n">
        <x:v>3</x:v>
      </x:c>
      <x:c r="O13" s="36" t="n">
        <x:v>1</x:v>
      </x:c>
      <x:c r="P13" s="63" t="n">
        <x:f>IF($A13="","",IF($M13="Sim",IFERROR($J13/MAX($N13,1),$J13),$J13))</x:f>
        <x:v>146.66666666666666</x:v>
      </x:c>
      <x:c r="Q13" s="36" t="str">
        <x:v>Sim</x:v>
      </x:c>
      <x:c r="R13" s="36" t="str">
        <x:v>Não</x:v>
      </x:c>
      <x:c r="S13" s="38" t="n">
        <x:v>0</x:v>
      </x:c>
      <x:c r="T13" s="38" t="n">
        <x:v>1</x:v>
      </x:c>
      <x:c r="U13" s="63" t="n">
        <x:f>IF($A13="","",$J13*$S13)</x:f>
        <x:v>0</x:v>
      </x:c>
      <x:c r="V13" s="63" t="n">
        <x:f>IF($A13="","",$J13*$T13)</x:f>
        <x:v>440</x:v>
      </x:c>
      <x:c r="W13" s="63" t="n">
        <x:f>IF($A13="","",IF($D13="Pedro Américo Paletot",$J13,0))</x:f>
        <x:v>0</x:v>
      </x:c>
      <x:c r="X13" s="63" t="n">
        <x:f>IF($A13="","",IF($D13="Camilly Queiroz",$J13,0))</x:f>
        <x:v>440</x:v>
      </x:c>
      <x:c r="Y13" s="63" t="n">
        <x:f>IF($A13="","",$W13-$U13)</x:f>
        <x:v>0</x:v>
      </x:c>
      <x:c r="Z13" s="36" t="str">
        <x:v>https://exemplo.com/g008</x:v>
      </x:c>
      <x:c r="AA13" s="36" t="str">
        <x:v>Compra antecipada.</x:v>
      </x:c>
    </x:row>
    <x:row r="14">
      <x:c r="A14" s="36" t="str">
        <x:v>G009</x:v>
      </x:c>
      <x:c r="B14" s="36" t="str">
        <x:v>V001</x:v>
      </x:c>
      <x:c r="C14" s="59" t="n">
        <x:v>46192</x:v>
      </x:c>
      <x:c r="D14" s="36" t="str">
        <x:v>Pedro Américo Paletot</x:v>
      </x:c>
      <x:c r="E14" s="36" t="str">
        <x:v>Ambos</x:v>
      </x:c>
      <x:c r="F14" s="36" t="str">
        <x:v>Presentes e relacionamento</x:v>
      </x:c>
      <x:c r="G14" s="36" t="str">
        <x:v>Flores</x:v>
      </x:c>
      <x:c r="H14" s="36" t="str">
        <x:v>Opcional</x:v>
      </x:c>
      <x:c r="I14" s="36" t="str">
        <x:v>Flores de boas-vindas</x:v>
      </x:c>
      <x:c r="J14" s="37" t="n">
        <x:v>88</x:v>
      </x:c>
      <x:c r="K14" s="36" t="str">
        <x:v>Pix</x:v>
      </x:c>
      <x:c r="L14" s="36" t="str">
        <x:v>Conta Pedro</x:v>
      </x:c>
      <x:c r="M14" s="36" t="str">
        <x:v>Não</x:v>
      </x:c>
      <x:c r="N14" s="36" t="n">
        <x:v>1</x:v>
      </x:c>
      <x:c r="O14" s="36" t="n">
        <x:v>1</x:v>
      </x:c>
      <x:c r="P14" s="63" t="n">
        <x:f>IF($A14="","",IF($M14="Sim",IFERROR($J14/MAX($N14,1),$J14),$J14))</x:f>
        <x:v>88</x:v>
      </x:c>
      <x:c r="Q14" s="36" t="str">
        <x:v>Não</x:v>
      </x:c>
      <x:c r="R14" s="36" t="str">
        <x:v>Não</x:v>
      </x:c>
      <x:c r="S14" s="38" t="n">
        <x:v>1</x:v>
      </x:c>
      <x:c r="T14" s="38" t="n">
        <x:v>0</x:v>
      </x:c>
      <x:c r="U14" s="63" t="n">
        <x:f>IF($A14="","",$J14*$S14)</x:f>
        <x:v>88</x:v>
      </x:c>
      <x:c r="V14" s="63" t="n">
        <x:f>IF($A14="","",$J14*$T14)</x:f>
        <x:v>0</x:v>
      </x:c>
      <x:c r="W14" s="63" t="n">
        <x:f>IF($A14="","",IF($D14="Pedro Américo Paletot",$J14,0))</x:f>
        <x:v>88</x:v>
      </x:c>
      <x:c r="X14" s="63" t="n">
        <x:f>IF($A14="","",IF($D14="Camilly Queiroz",$J14,0))</x:f>
        <x:v>0</x:v>
      </x:c>
      <x:c r="Y14" s="63" t="n">
        <x:f>IF($A14="","",$W14-$U14)</x:f>
        <x:v>0</x:v>
      </x:c>
      <x:c r="Z14" s="36" t="str"/>
      <x:c r="AA14" s="36" t="str"/>
    </x:row>
    <x:row r="15">
      <x:c r="A15" s="36" t="str">
        <x:v>G010</x:v>
      </x:c>
      <x:c r="B15" s="36" t="str">
        <x:v>V002</x:v>
      </x:c>
      <x:c r="C15" s="59" t="n">
        <x:v>46198</x:v>
      </x:c>
      <x:c r="D15" s="36" t="str">
        <x:v>Pedro Américo Paletot</x:v>
      </x:c>
      <x:c r="E15" s="36" t="str">
        <x:v>Pedro Américo Paletot</x:v>
      </x:c>
      <x:c r="F15" s="36" t="str">
        <x:v>Transporte principal</x:v>
      </x:c>
      <x:c r="G15" s="36" t="str">
        <x:v>Passagem aérea</x:v>
      </x:c>
      <x:c r="H15" s="36" t="str">
        <x:v>Fixo</x:v>
      </x:c>
      <x:c r="I15" s="36" t="str">
        <x:v>Primeira parcela passagem Pedro</x:v>
      </x:c>
      <x:c r="J15" s="37" t="n">
        <x:v>393.33</x:v>
      </x:c>
      <x:c r="K15" s="36" t="str">
        <x:v>Cartão de crédito</x:v>
      </x:c>
      <x:c r="L15" s="36" t="str">
        <x:v>Nubank Pedro</x:v>
      </x:c>
      <x:c r="M15" s="36" t="str">
        <x:v>Sim</x:v>
      </x:c>
      <x:c r="N15" s="36" t="n">
        <x:v>3</x:v>
      </x:c>
      <x:c r="O15" s="36" t="n">
        <x:v>1</x:v>
      </x:c>
      <x:c r="P15" s="63" t="n">
        <x:f>IF($A15="","",IF($M15="Sim",IFERROR($J15/MAX($N15,1),$J15),$J15))</x:f>
        <x:v>131.10999999999999</x:v>
      </x:c>
      <x:c r="Q15" s="36" t="str">
        <x:v>Sim</x:v>
      </x:c>
      <x:c r="R15" s="36" t="str">
        <x:v>Não</x:v>
      </x:c>
      <x:c r="S15" s="38" t="n">
        <x:v>1</x:v>
      </x:c>
      <x:c r="T15" s="38" t="n">
        <x:v>0</x:v>
      </x:c>
      <x:c r="U15" s="63" t="n">
        <x:f>IF($A15="","",$J15*$S15)</x:f>
        <x:v>393.33</x:v>
      </x:c>
      <x:c r="V15" s="63" t="n">
        <x:f>IF($A15="","",$J15*$T15)</x:f>
        <x:v>0</x:v>
      </x:c>
      <x:c r="W15" s="63" t="n">
        <x:f>IF($A15="","",IF($D15="Pedro Américo Paletot",$J15,0))</x:f>
        <x:v>393.33</x:v>
      </x:c>
      <x:c r="X15" s="63" t="n">
        <x:f>IF($A15="","",IF($D15="Camilly Queiroz",$J15,0))</x:f>
        <x:v>0</x:v>
      </x:c>
      <x:c r="Y15" s="63" t="n">
        <x:f>IF($A15="","",$W15-$U15)</x:f>
        <x:v>0</x:v>
      </x:c>
      <x:c r="Z15" s="36" t="str">
        <x:v>https://exemplo.com/g010</x:v>
      </x:c>
      <x:c r="AA15" s="36" t="str"/>
    </x:row>
    <x:row r="16">
      <x:c r="A16" s="36" t="str">
        <x:v>G011</x:v>
      </x:c>
      <x:c r="B16" s="36" t="str">
        <x:v>V002</x:v>
      </x:c>
      <x:c r="C16" s="59" t="n">
        <x:v>46201</x:v>
      </x:c>
      <x:c r="D16" s="36" t="str">
        <x:v>Camilly Queiroz</x:v>
      </x:c>
      <x:c r="E16" s="36" t="str">
        <x:v>Ambos</x:v>
      </x:c>
      <x:c r="F16" s="36" t="str">
        <x:v>Hospedagem</x:v>
      </x:c>
      <x:c r="G16" s="36" t="str">
        <x:v>Airbnb</x:v>
      </x:c>
      <x:c r="H16" s="36" t="str">
        <x:v>Fixo</x:v>
      </x:c>
      <x:c r="I16" s="36" t="str">
        <x:v>Sinal do Airbnb</x:v>
      </x:c>
      <x:c r="J16" s="37" t="n">
        <x:v>430</x:v>
      </x:c>
      <x:c r="K16" s="36" t="str">
        <x:v>Cartão de crédito</x:v>
      </x:c>
      <x:c r="L16" s="36" t="str">
        <x:v>Inter Camilly</x:v>
      </x:c>
      <x:c r="M16" s="36" t="str">
        <x:v>Sim</x:v>
      </x:c>
      <x:c r="N16" s="36" t="n">
        <x:v>2</x:v>
      </x:c>
      <x:c r="O16" s="36" t="n">
        <x:v>1</x:v>
      </x:c>
      <x:c r="P16" s="63" t="n">
        <x:f>IF($A16="","",IF($M16="Sim",IFERROR($J16/MAX($N16,1),$J16),$J16))</x:f>
        <x:v>215</x:v>
      </x:c>
      <x:c r="Q16" s="36" t="str">
        <x:v>Sim</x:v>
      </x:c>
      <x:c r="R16" s="36" t="str">
        <x:v>Sim</x:v>
      </x:c>
      <x:c r="S16" s="38" t="n">
        <x:v>0.5</x:v>
      </x:c>
      <x:c r="T16" s="38" t="n">
        <x:v>0.5</x:v>
      </x:c>
      <x:c r="U16" s="63" t="n">
        <x:f>IF($A16="","",$J16*$S16)</x:f>
        <x:v>215</x:v>
      </x:c>
      <x:c r="V16" s="63" t="n">
        <x:f>IF($A16="","",$J16*$T16)</x:f>
        <x:v>215</x:v>
      </x:c>
      <x:c r="W16" s="63" t="n">
        <x:f>IF($A16="","",IF($D16="Pedro Américo Paletot",$J16,0))</x:f>
        <x:v>0</x:v>
      </x:c>
      <x:c r="X16" s="63" t="n">
        <x:f>IF($A16="","",IF($D16="Camilly Queiroz",$J16,0))</x:f>
        <x:v>430</x:v>
      </x:c>
      <x:c r="Y16" s="63" t="n">
        <x:f>IF($A16="","",$W16-$U16)</x:f>
        <x:v>-215</x:v>
      </x:c>
      <x:c r="Z16" s="36" t="str"/>
      <x:c r="AA16" s="36" t="str"/>
    </x:row>
    <x:row r="17">
      <x:c r="A17" s="36" t="str">
        <x:v>G012</x:v>
      </x:c>
      <x:c r="B17" s="36" t="str">
        <x:v>V003</x:v>
      </x:c>
      <x:c r="C17" s="59" t="n">
        <x:v>46159</x:v>
      </x:c>
      <x:c r="D17" s="36" t="str">
        <x:v>Pedro Américo Paletot</x:v>
      </x:c>
      <x:c r="E17" s="36" t="str">
        <x:v>Camilly Queiroz</x:v>
      </x:c>
      <x:c r="F17" s="36" t="str">
        <x:v>Presentes e relacionamento</x:v>
      </x:c>
      <x:c r="G17" s="36" t="str">
        <x:v>Chocolates</x:v>
      </x:c>
      <x:c r="H17" s="36" t="str">
        <x:v>Opcional</x:v>
      </x:c>
      <x:c r="I17" s="36" t="str">
        <x:v>Chocolate surpresa</x:v>
      </x:c>
      <x:c r="J17" s="37" t="n">
        <x:v>55</x:v>
      </x:c>
      <x:c r="K17" s="36" t="str">
        <x:v>Pix</x:v>
      </x:c>
      <x:c r="L17" s="36" t="str">
        <x:v>Conta Pedro</x:v>
      </x:c>
      <x:c r="M17" s="36" t="str">
        <x:v>Não</x:v>
      </x:c>
      <x:c r="N17" s="36" t="n">
        <x:v>1</x:v>
      </x:c>
      <x:c r="O17" s="36" t="n">
        <x:v>1</x:v>
      </x:c>
      <x:c r="P17" s="63" t="n">
        <x:f>IF($A17="","",IF($M17="Sim",IFERROR($J17/MAX($N17,1),$J17),$J17))</x:f>
        <x:v>55</x:v>
      </x:c>
      <x:c r="Q17" s="36" t="str">
        <x:v>Não</x:v>
      </x:c>
      <x:c r="R17" s="36" t="str">
        <x:v>Não</x:v>
      </x:c>
      <x:c r="S17" s="38" t="n">
        <x:v>1</x:v>
      </x:c>
      <x:c r="T17" s="38" t="n">
        <x:v>0</x:v>
      </x:c>
      <x:c r="U17" s="63" t="n">
        <x:f>IF($A17="","",$J17*$S17)</x:f>
        <x:v>55</x:v>
      </x:c>
      <x:c r="V17" s="63" t="n">
        <x:f>IF($A17="","",$J17*$T17)</x:f>
        <x:v>0</x:v>
      </x:c>
      <x:c r="W17" s="63" t="n">
        <x:f>IF($A17="","",IF($D17="Pedro Américo Paletot",$J17,0))</x:f>
        <x:v>55</x:v>
      </x:c>
      <x:c r="X17" s="63" t="n">
        <x:f>IF($A17="","",IF($D17="Camilly Queiroz",$J17,0))</x:f>
        <x:v>0</x:v>
      </x:c>
      <x:c r="Y17" s="63" t="n">
        <x:f>IF($A17="","",$W17-$U17)</x:f>
        <x:v>0</x:v>
      </x:c>
      <x:c r="Z17" s="36" t="str"/>
      <x:c r="AA17" s="36" t="str"/>
    </x:row>
    <x:row r="18">
      <x:c r="A18" s="36"/>
      <x:c r="B18" s="36"/>
      <x:c r="C18" s="59"/>
      <x:c r="D18" s="36"/>
      <x:c r="E18" s="36"/>
      <x:c r="F18" s="36"/>
      <x:c r="G18" s="36"/>
      <x:c r="H18" s="36"/>
      <x:c r="I18" s="36"/>
      <x:c r="J18" s="37"/>
      <x:c r="K18" s="36"/>
      <x:c r="L18" s="36"/>
      <x:c r="M18" s="36"/>
      <x:c r="N18" s="36"/>
      <x:c r="O18" s="36"/>
      <x:c r="P18" s="63" t="str">
        <x:f>IF($A18="","",IF($M18="Sim",IFERROR($J18/MAX($N18,1),$J18),$J18))</x:f>
      </x:c>
      <x:c r="Q18" s="36"/>
      <x:c r="R18" s="36"/>
      <x:c r="S18" s="38"/>
      <x:c r="T18" s="38"/>
      <x:c r="U18" s="63" t="str">
        <x:f>IF($A18="","",$J18*$S18)</x:f>
      </x:c>
      <x:c r="V18" s="63" t="str">
        <x:f>IF($A18="","",$J18*$T18)</x:f>
      </x:c>
      <x:c r="W18" s="63" t="str">
        <x:f>IF($A18="","",IF($D18="Pedro Américo Paletot",$J18,0))</x:f>
      </x:c>
      <x:c r="X18" s="63" t="str">
        <x:f>IF($A18="","",IF($D18="Camilly Queiroz",$J18,0))</x:f>
      </x:c>
      <x:c r="Y18" s="63" t="str">
        <x:f>IF($A18="","",$W18-$U18)</x:f>
      </x:c>
      <x:c r="Z18" s="36"/>
      <x:c r="AA18" s="36"/>
    </x:row>
    <x:row r="19">
      <x:c r="A19" s="36"/>
      <x:c r="B19" s="36"/>
      <x:c r="C19" s="59"/>
      <x:c r="D19" s="36"/>
      <x:c r="E19" s="36"/>
      <x:c r="F19" s="36"/>
      <x:c r="G19" s="36"/>
      <x:c r="H19" s="36"/>
      <x:c r="I19" s="36"/>
      <x:c r="J19" s="37"/>
      <x:c r="K19" s="36"/>
      <x:c r="L19" s="36"/>
      <x:c r="M19" s="36"/>
      <x:c r="N19" s="36"/>
      <x:c r="O19" s="36"/>
      <x:c r="P19" s="63" t="str">
        <x:f>IF($A19="","",IF($M19="Sim",IFERROR($J19/MAX($N19,1),$J19),$J19))</x:f>
      </x:c>
      <x:c r="Q19" s="36"/>
      <x:c r="R19" s="36"/>
      <x:c r="S19" s="38"/>
      <x:c r="T19" s="38"/>
      <x:c r="U19" s="63" t="str">
        <x:f>IF($A19="","",$J19*$S19)</x:f>
      </x:c>
      <x:c r="V19" s="63" t="str">
        <x:f>IF($A19="","",$J19*$T19)</x:f>
      </x:c>
      <x:c r="W19" s="63" t="str">
        <x:f>IF($A19="","",IF($D19="Pedro Américo Paletot",$J19,0))</x:f>
      </x:c>
      <x:c r="X19" s="63" t="str">
        <x:f>IF($A19="","",IF($D19="Camilly Queiroz",$J19,0))</x:f>
      </x:c>
      <x:c r="Y19" s="63" t="str">
        <x:f>IF($A19="","",$W19-$U19)</x:f>
      </x:c>
      <x:c r="Z19" s="36"/>
      <x:c r="AA19" s="36"/>
    </x:row>
    <x:row r="20">
      <x:c r="A20" s="36"/>
      <x:c r="B20" s="36"/>
      <x:c r="C20" s="59"/>
      <x:c r="D20" s="36"/>
      <x:c r="E20" s="36"/>
      <x:c r="F20" s="36"/>
      <x:c r="G20" s="36"/>
      <x:c r="H20" s="36"/>
      <x:c r="I20" s="36"/>
      <x:c r="J20" s="37"/>
      <x:c r="K20" s="36"/>
      <x:c r="L20" s="36"/>
      <x:c r="M20" s="36"/>
      <x:c r="N20" s="36"/>
      <x:c r="O20" s="36"/>
      <x:c r="P20" s="63" t="str">
        <x:f>IF($A20="","",IF($M20="Sim",IFERROR($J20/MAX($N20,1),$J20),$J20))</x:f>
      </x:c>
      <x:c r="Q20" s="36"/>
      <x:c r="R20" s="36"/>
      <x:c r="S20" s="38"/>
      <x:c r="T20" s="38"/>
      <x:c r="U20" s="63" t="str">
        <x:f>IF($A20="","",$J20*$S20)</x:f>
      </x:c>
      <x:c r="V20" s="63" t="str">
        <x:f>IF($A20="","",$J20*$T20)</x:f>
      </x:c>
      <x:c r="W20" s="63" t="str">
        <x:f>IF($A20="","",IF($D20="Pedro Américo Paletot",$J20,0))</x:f>
      </x:c>
      <x:c r="X20" s="63" t="str">
        <x:f>IF($A20="","",IF($D20="Camilly Queiroz",$J20,0))</x:f>
      </x:c>
      <x:c r="Y20" s="63" t="str">
        <x:f>IF($A20="","",$W20-$U20)</x:f>
      </x:c>
      <x:c r="Z20" s="36"/>
      <x:c r="AA20" s="36"/>
    </x:row>
    <x:row r="21">
      <x:c r="A21" s="36"/>
      <x:c r="B21" s="36"/>
      <x:c r="C21" s="59"/>
      <x:c r="D21" s="36"/>
      <x:c r="E21" s="36"/>
      <x:c r="F21" s="36"/>
      <x:c r="G21" s="36"/>
      <x:c r="H21" s="36"/>
      <x:c r="I21" s="36"/>
      <x:c r="J21" s="37"/>
      <x:c r="K21" s="36"/>
      <x:c r="L21" s="36"/>
      <x:c r="M21" s="36"/>
      <x:c r="N21" s="36"/>
      <x:c r="O21" s="36"/>
      <x:c r="P21" s="63" t="str">
        <x:f>IF($A21="","",IF($M21="Sim",IFERROR($J21/MAX($N21,1),$J21),$J21))</x:f>
      </x:c>
      <x:c r="Q21" s="36"/>
      <x:c r="R21" s="36"/>
      <x:c r="S21" s="38"/>
      <x:c r="T21" s="38"/>
      <x:c r="U21" s="63" t="str">
        <x:f>IF($A21="","",$J21*$S21)</x:f>
      </x:c>
      <x:c r="V21" s="63" t="str">
        <x:f>IF($A21="","",$J21*$T21)</x:f>
      </x:c>
      <x:c r="W21" s="63" t="str">
        <x:f>IF($A21="","",IF($D21="Pedro Américo Paletot",$J21,0))</x:f>
      </x:c>
      <x:c r="X21" s="63" t="str">
        <x:f>IF($A21="","",IF($D21="Camilly Queiroz",$J21,0))</x:f>
      </x:c>
      <x:c r="Y21" s="63" t="str">
        <x:f>IF($A21="","",$W21-$U21)</x:f>
      </x:c>
      <x:c r="Z21" s="36"/>
      <x:c r="AA21" s="36"/>
    </x:row>
    <x:row r="22">
      <x:c r="A22" s="36"/>
      <x:c r="B22" s="36"/>
      <x:c r="C22" s="59"/>
      <x:c r="D22" s="36"/>
      <x:c r="E22" s="36"/>
      <x:c r="F22" s="36"/>
      <x:c r="G22" s="36"/>
      <x:c r="H22" s="36"/>
      <x:c r="I22" s="36"/>
      <x:c r="J22" s="37"/>
      <x:c r="K22" s="36"/>
      <x:c r="L22" s="36"/>
      <x:c r="M22" s="36"/>
      <x:c r="N22" s="36"/>
      <x:c r="O22" s="36"/>
      <x:c r="P22" s="63" t="str">
        <x:f>IF($A22="","",IF($M22="Sim",IFERROR($J22/MAX($N22,1),$J22),$J22))</x:f>
      </x:c>
      <x:c r="Q22" s="36"/>
      <x:c r="R22" s="36"/>
      <x:c r="S22" s="38"/>
      <x:c r="T22" s="38"/>
      <x:c r="U22" s="63" t="str">
        <x:f>IF($A22="","",$J22*$S22)</x:f>
      </x:c>
      <x:c r="V22" s="63" t="str">
        <x:f>IF($A22="","",$J22*$T22)</x:f>
      </x:c>
      <x:c r="W22" s="63" t="str">
        <x:f>IF($A22="","",IF($D22="Pedro Américo Paletot",$J22,0))</x:f>
      </x:c>
      <x:c r="X22" s="63" t="str">
        <x:f>IF($A22="","",IF($D22="Camilly Queiroz",$J22,0))</x:f>
      </x:c>
      <x:c r="Y22" s="63" t="str">
        <x:f>IF($A22="","",$W22-$U22)</x:f>
      </x:c>
      <x:c r="Z22" s="36"/>
      <x:c r="AA22" s="36"/>
    </x:row>
    <x:row r="23">
      <x:c r="A23" s="36"/>
      <x:c r="B23" s="36"/>
      <x:c r="C23" s="59"/>
      <x:c r="D23" s="36"/>
      <x:c r="E23" s="36"/>
      <x:c r="F23" s="36"/>
      <x:c r="G23" s="36"/>
      <x:c r="H23" s="36"/>
      <x:c r="I23" s="36"/>
      <x:c r="J23" s="37"/>
      <x:c r="K23" s="36"/>
      <x:c r="L23" s="36"/>
      <x:c r="M23" s="36"/>
      <x:c r="N23" s="36"/>
      <x:c r="O23" s="36"/>
      <x:c r="P23" s="63" t="str">
        <x:f>IF($A23="","",IF($M23="Sim",IFERROR($J23/MAX($N23,1),$J23),$J23))</x:f>
      </x:c>
      <x:c r="Q23" s="36"/>
      <x:c r="R23" s="36"/>
      <x:c r="S23" s="38"/>
      <x:c r="T23" s="38"/>
      <x:c r="U23" s="63" t="str">
        <x:f>IF($A23="","",$J23*$S23)</x:f>
      </x:c>
      <x:c r="V23" s="63" t="str">
        <x:f>IF($A23="","",$J23*$T23)</x:f>
      </x:c>
      <x:c r="W23" s="63" t="str">
        <x:f>IF($A23="","",IF($D23="Pedro Américo Paletot",$J23,0))</x:f>
      </x:c>
      <x:c r="X23" s="63" t="str">
        <x:f>IF($A23="","",IF($D23="Camilly Queiroz",$J23,0))</x:f>
      </x:c>
      <x:c r="Y23" s="63" t="str">
        <x:f>IF($A23="","",$W23-$U23)</x:f>
      </x:c>
      <x:c r="Z23" s="36"/>
      <x:c r="AA23" s="36"/>
    </x:row>
    <x:row r="24">
      <x:c r="A24" s="36"/>
      <x:c r="B24" s="36"/>
      <x:c r="C24" s="59"/>
      <x:c r="D24" s="36"/>
      <x:c r="E24" s="36"/>
      <x:c r="F24" s="36"/>
      <x:c r="G24" s="36"/>
      <x:c r="H24" s="36"/>
      <x:c r="I24" s="36"/>
      <x:c r="J24" s="37"/>
      <x:c r="K24" s="36"/>
      <x:c r="L24" s="36"/>
      <x:c r="M24" s="36"/>
      <x:c r="N24" s="36"/>
      <x:c r="O24" s="36"/>
      <x:c r="P24" s="63" t="str">
        <x:f>IF($A24="","",IF($M24="Sim",IFERROR($J24/MAX($N24,1),$J24),$J24))</x:f>
      </x:c>
      <x:c r="Q24" s="36"/>
      <x:c r="R24" s="36"/>
      <x:c r="S24" s="38"/>
      <x:c r="T24" s="38"/>
      <x:c r="U24" s="63" t="str">
        <x:f>IF($A24="","",$J24*$S24)</x:f>
      </x:c>
      <x:c r="V24" s="63" t="str">
        <x:f>IF($A24="","",$J24*$T24)</x:f>
      </x:c>
      <x:c r="W24" s="63" t="str">
        <x:f>IF($A24="","",IF($D24="Pedro Américo Paletot",$J24,0))</x:f>
      </x:c>
      <x:c r="X24" s="63" t="str">
        <x:f>IF($A24="","",IF($D24="Camilly Queiroz",$J24,0))</x:f>
      </x:c>
      <x:c r="Y24" s="63" t="str">
        <x:f>IF($A24="","",$W24-$U24)</x:f>
      </x:c>
      <x:c r="Z24" s="36"/>
      <x:c r="AA24" s="36"/>
    </x:row>
    <x:row r="25">
      <x:c r="A25" s="36"/>
      <x:c r="B25" s="36"/>
      <x:c r="C25" s="59"/>
      <x:c r="D25" s="36"/>
      <x:c r="E25" s="36"/>
      <x:c r="F25" s="36"/>
      <x:c r="G25" s="36"/>
      <x:c r="H25" s="36"/>
      <x:c r="I25" s="36"/>
      <x:c r="J25" s="37"/>
      <x:c r="K25" s="36"/>
      <x:c r="L25" s="36"/>
      <x:c r="M25" s="36"/>
      <x:c r="N25" s="36"/>
      <x:c r="O25" s="36"/>
      <x:c r="P25" s="63" t="str">
        <x:f>IF($A25="","",IF($M25="Sim",IFERROR($J25/MAX($N25,1),$J25),$J25))</x:f>
      </x:c>
      <x:c r="Q25" s="36"/>
      <x:c r="R25" s="36"/>
      <x:c r="S25" s="38"/>
      <x:c r="T25" s="38"/>
      <x:c r="U25" s="63" t="str">
        <x:f>IF($A25="","",$J25*$S25)</x:f>
      </x:c>
      <x:c r="V25" s="63" t="str">
        <x:f>IF($A25="","",$J25*$T25)</x:f>
      </x:c>
      <x:c r="W25" s="63" t="str">
        <x:f>IF($A25="","",IF($D25="Pedro Américo Paletot",$J25,0))</x:f>
      </x:c>
      <x:c r="X25" s="63" t="str">
        <x:f>IF($A25="","",IF($D25="Camilly Queiroz",$J25,0))</x:f>
      </x:c>
      <x:c r="Y25" s="63" t="str">
        <x:f>IF($A25="","",$W25-$U25)</x:f>
      </x:c>
      <x:c r="Z25" s="36"/>
      <x:c r="AA25" s="36"/>
    </x:row>
    <x:row r="26">
      <x:c r="A26" s="36"/>
      <x:c r="B26" s="36"/>
      <x:c r="C26" s="59"/>
      <x:c r="D26" s="36"/>
      <x:c r="E26" s="36"/>
      <x:c r="F26" s="36"/>
      <x:c r="G26" s="36"/>
      <x:c r="H26" s="36"/>
      <x:c r="I26" s="36"/>
      <x:c r="J26" s="37"/>
      <x:c r="K26" s="36"/>
      <x:c r="L26" s="36"/>
      <x:c r="M26" s="36"/>
      <x:c r="N26" s="36"/>
      <x:c r="O26" s="36"/>
      <x:c r="P26" s="63" t="str">
        <x:f>IF($A26="","",IF($M26="Sim",IFERROR($J26/MAX($N26,1),$J26),$J26))</x:f>
      </x:c>
      <x:c r="Q26" s="36"/>
      <x:c r="R26" s="36"/>
      <x:c r="S26" s="38"/>
      <x:c r="T26" s="38"/>
      <x:c r="U26" s="63" t="str">
        <x:f>IF($A26="","",$J26*$S26)</x:f>
      </x:c>
      <x:c r="V26" s="63" t="str">
        <x:f>IF($A26="","",$J26*$T26)</x:f>
      </x:c>
      <x:c r="W26" s="63" t="str">
        <x:f>IF($A26="","",IF($D26="Pedro Américo Paletot",$J26,0))</x:f>
      </x:c>
      <x:c r="X26" s="63" t="str">
        <x:f>IF($A26="","",IF($D26="Camilly Queiroz",$J26,0))</x:f>
      </x:c>
      <x:c r="Y26" s="63" t="str">
        <x:f>IF($A26="","",$W26-$U26)</x:f>
      </x:c>
      <x:c r="Z26" s="36"/>
      <x:c r="AA26" s="36"/>
    </x:row>
    <x:row r="27">
      <x:c r="A27" s="36"/>
      <x:c r="B27" s="36"/>
      <x:c r="C27" s="59"/>
      <x:c r="D27" s="36"/>
      <x:c r="E27" s="36"/>
      <x:c r="F27" s="36"/>
      <x:c r="G27" s="36"/>
      <x:c r="H27" s="36"/>
      <x:c r="I27" s="36"/>
      <x:c r="J27" s="37"/>
      <x:c r="K27" s="36"/>
      <x:c r="L27" s="36"/>
      <x:c r="M27" s="36"/>
      <x:c r="N27" s="36"/>
      <x:c r="O27" s="36"/>
      <x:c r="P27" s="63" t="str">
        <x:f>IF($A27="","",IF($M27="Sim",IFERROR($J27/MAX($N27,1),$J27),$J27))</x:f>
      </x:c>
      <x:c r="Q27" s="36"/>
      <x:c r="R27" s="36"/>
      <x:c r="S27" s="38"/>
      <x:c r="T27" s="38"/>
      <x:c r="U27" s="63" t="str">
        <x:f>IF($A27="","",$J27*$S27)</x:f>
      </x:c>
      <x:c r="V27" s="63" t="str">
        <x:f>IF($A27="","",$J27*$T27)</x:f>
      </x:c>
      <x:c r="W27" s="63" t="str">
        <x:f>IF($A27="","",IF($D27="Pedro Américo Paletot",$J27,0))</x:f>
      </x:c>
      <x:c r="X27" s="63" t="str">
        <x:f>IF($A27="","",IF($D27="Camilly Queiroz",$J27,0))</x:f>
      </x:c>
      <x:c r="Y27" s="63" t="str">
        <x:f>IF($A27="","",$W27-$U27)</x:f>
      </x:c>
      <x:c r="Z27" s="36"/>
      <x:c r="AA27" s="36"/>
    </x:row>
    <x:row r="28">
      <x:c r="A28" s="36"/>
      <x:c r="B28" s="36"/>
      <x:c r="C28" s="59"/>
      <x:c r="D28" s="36"/>
      <x:c r="E28" s="36"/>
      <x:c r="F28" s="36"/>
      <x:c r="G28" s="36"/>
      <x:c r="H28" s="36"/>
      <x:c r="I28" s="36"/>
      <x:c r="J28" s="37"/>
      <x:c r="K28" s="36"/>
      <x:c r="L28" s="36"/>
      <x:c r="M28" s="36"/>
      <x:c r="N28" s="36"/>
      <x:c r="O28" s="36"/>
      <x:c r="P28" s="63" t="str">
        <x:f>IF($A28="","",IF($M28="Sim",IFERROR($J28/MAX($N28,1),$J28),$J28))</x:f>
      </x:c>
      <x:c r="Q28" s="36"/>
      <x:c r="R28" s="36"/>
      <x:c r="S28" s="38"/>
      <x:c r="T28" s="38"/>
      <x:c r="U28" s="63" t="str">
        <x:f>IF($A28="","",$J28*$S28)</x:f>
      </x:c>
      <x:c r="V28" s="63" t="str">
        <x:f>IF($A28="","",$J28*$T28)</x:f>
      </x:c>
      <x:c r="W28" s="63" t="str">
        <x:f>IF($A28="","",IF($D28="Pedro Américo Paletot",$J28,0))</x:f>
      </x:c>
      <x:c r="X28" s="63" t="str">
        <x:f>IF($A28="","",IF($D28="Camilly Queiroz",$J28,0))</x:f>
      </x:c>
      <x:c r="Y28" s="63" t="str">
        <x:f>IF($A28="","",$W28-$U28)</x:f>
      </x:c>
      <x:c r="Z28" s="36"/>
      <x:c r="AA28" s="36"/>
    </x:row>
    <x:row r="29">
      <x:c r="A29" s="36"/>
      <x:c r="B29" s="36"/>
      <x:c r="C29" s="59"/>
      <x:c r="D29" s="36"/>
      <x:c r="E29" s="36"/>
      <x:c r="F29" s="36"/>
      <x:c r="G29" s="36"/>
      <x:c r="H29" s="36"/>
      <x:c r="I29" s="36"/>
      <x:c r="J29" s="37"/>
      <x:c r="K29" s="36"/>
      <x:c r="L29" s="36"/>
      <x:c r="M29" s="36"/>
      <x:c r="N29" s="36"/>
      <x:c r="O29" s="36"/>
      <x:c r="P29" s="63" t="str">
        <x:f>IF($A29="","",IF($M29="Sim",IFERROR($J29/MAX($N29,1),$J29),$J29))</x:f>
      </x:c>
      <x:c r="Q29" s="36"/>
      <x:c r="R29" s="36"/>
      <x:c r="S29" s="38"/>
      <x:c r="T29" s="38"/>
      <x:c r="U29" s="63" t="str">
        <x:f>IF($A29="","",$J29*$S29)</x:f>
      </x:c>
      <x:c r="V29" s="63" t="str">
        <x:f>IF($A29="","",$J29*$T29)</x:f>
      </x:c>
      <x:c r="W29" s="63" t="str">
        <x:f>IF($A29="","",IF($D29="Pedro Américo Paletot",$J29,0))</x:f>
      </x:c>
      <x:c r="X29" s="63" t="str">
        <x:f>IF($A29="","",IF($D29="Camilly Queiroz",$J29,0))</x:f>
      </x:c>
      <x:c r="Y29" s="63" t="str">
        <x:f>IF($A29="","",$W29-$U29)</x:f>
      </x:c>
      <x:c r="Z29" s="36"/>
      <x:c r="AA29" s="36"/>
    </x:row>
    <x:row r="30">
      <x:c r="A30" s="36"/>
      <x:c r="B30" s="36"/>
      <x:c r="C30" s="59"/>
      <x:c r="D30" s="36"/>
      <x:c r="E30" s="36"/>
      <x:c r="F30" s="36"/>
      <x:c r="G30" s="36"/>
      <x:c r="H30" s="36"/>
      <x:c r="I30" s="36"/>
      <x:c r="J30" s="37"/>
      <x:c r="K30" s="36"/>
      <x:c r="L30" s="36"/>
      <x:c r="M30" s="36"/>
      <x:c r="N30" s="36"/>
      <x:c r="O30" s="36"/>
      <x:c r="P30" s="63" t="str">
        <x:f>IF($A30="","",IF($M30="Sim",IFERROR($J30/MAX($N30,1),$J30),$J30))</x:f>
      </x:c>
      <x:c r="Q30" s="36"/>
      <x:c r="R30" s="36"/>
      <x:c r="S30" s="38"/>
      <x:c r="T30" s="38"/>
      <x:c r="U30" s="63" t="str">
        <x:f>IF($A30="","",$J30*$S30)</x:f>
      </x:c>
      <x:c r="V30" s="63" t="str">
        <x:f>IF($A30="","",$J30*$T30)</x:f>
      </x:c>
      <x:c r="W30" s="63" t="str">
        <x:f>IF($A30="","",IF($D30="Pedro Américo Paletot",$J30,0))</x:f>
      </x:c>
      <x:c r="X30" s="63" t="str">
        <x:f>IF($A30="","",IF($D30="Camilly Queiroz",$J30,0))</x:f>
      </x:c>
      <x:c r="Y30" s="63" t="str">
        <x:f>IF($A30="","",$W30-$U30)</x:f>
      </x:c>
      <x:c r="Z30" s="36"/>
      <x:c r="AA30" s="36"/>
    </x:row>
    <x:row r="31">
      <x:c r="A31" s="36"/>
      <x:c r="B31" s="36"/>
      <x:c r="C31" s="59"/>
      <x:c r="D31" s="36"/>
      <x:c r="E31" s="36"/>
      <x:c r="F31" s="36"/>
      <x:c r="G31" s="36"/>
      <x:c r="H31" s="36"/>
      <x:c r="I31" s="36"/>
      <x:c r="J31" s="37"/>
      <x:c r="K31" s="36"/>
      <x:c r="L31" s="36"/>
      <x:c r="M31" s="36"/>
      <x:c r="N31" s="36"/>
      <x:c r="O31" s="36"/>
      <x:c r="P31" s="63" t="str">
        <x:f>IF($A31="","",IF($M31="Sim",IFERROR($J31/MAX($N31,1),$J31),$J31))</x:f>
      </x:c>
      <x:c r="Q31" s="36"/>
      <x:c r="R31" s="36"/>
      <x:c r="S31" s="38"/>
      <x:c r="T31" s="38"/>
      <x:c r="U31" s="63" t="str">
        <x:f>IF($A31="","",$J31*$S31)</x:f>
      </x:c>
      <x:c r="V31" s="63" t="str">
        <x:f>IF($A31="","",$J31*$T31)</x:f>
      </x:c>
      <x:c r="W31" s="63" t="str">
        <x:f>IF($A31="","",IF($D31="Pedro Américo Paletot",$J31,0))</x:f>
      </x:c>
      <x:c r="X31" s="63" t="str">
        <x:f>IF($A31="","",IF($D31="Camilly Queiroz",$J31,0))</x:f>
      </x:c>
      <x:c r="Y31" s="63" t="str">
        <x:f>IF($A31="","",$W31-$U31)</x:f>
      </x:c>
      <x:c r="Z31" s="36"/>
      <x:c r="AA31" s="36"/>
    </x:row>
    <x:row r="32">
      <x:c r="A32" s="36"/>
      <x:c r="B32" s="36"/>
      <x:c r="C32" s="59"/>
      <x:c r="D32" s="36"/>
      <x:c r="E32" s="36"/>
      <x:c r="F32" s="36"/>
      <x:c r="G32" s="36"/>
      <x:c r="H32" s="36"/>
      <x:c r="I32" s="36"/>
      <x:c r="J32" s="37"/>
      <x:c r="K32" s="36"/>
      <x:c r="L32" s="36"/>
      <x:c r="M32" s="36"/>
      <x:c r="N32" s="36"/>
      <x:c r="O32" s="36"/>
      <x:c r="P32" s="63" t="str">
        <x:f>IF($A32="","",IF($M32="Sim",IFERROR($J32/MAX($N32,1),$J32),$J32))</x:f>
      </x:c>
      <x:c r="Q32" s="36"/>
      <x:c r="R32" s="36"/>
      <x:c r="S32" s="38"/>
      <x:c r="T32" s="38"/>
      <x:c r="U32" s="63" t="str">
        <x:f>IF($A32="","",$J32*$S32)</x:f>
      </x:c>
      <x:c r="V32" s="63" t="str">
        <x:f>IF($A32="","",$J32*$T32)</x:f>
      </x:c>
      <x:c r="W32" s="63" t="str">
        <x:f>IF($A32="","",IF($D32="Pedro Américo Paletot",$J32,0))</x:f>
      </x:c>
      <x:c r="X32" s="63" t="str">
        <x:f>IF($A32="","",IF($D32="Camilly Queiroz",$J32,0))</x:f>
      </x:c>
      <x:c r="Y32" s="63" t="str">
        <x:f>IF($A32="","",$W32-$U32)</x:f>
      </x:c>
      <x:c r="Z32" s="36"/>
      <x:c r="AA32" s="36"/>
    </x:row>
    <x:row r="33">
      <x:c r="A33" s="36"/>
      <x:c r="B33" s="36"/>
      <x:c r="C33" s="59"/>
      <x:c r="D33" s="36"/>
      <x:c r="E33" s="36"/>
      <x:c r="F33" s="36"/>
      <x:c r="G33" s="36"/>
      <x:c r="H33" s="36"/>
      <x:c r="I33" s="36"/>
      <x:c r="J33" s="37"/>
      <x:c r="K33" s="36"/>
      <x:c r="L33" s="36"/>
      <x:c r="M33" s="36"/>
      <x:c r="N33" s="36"/>
      <x:c r="O33" s="36"/>
      <x:c r="P33" s="63" t="str">
        <x:f>IF($A33="","",IF($M33="Sim",IFERROR($J33/MAX($N33,1),$J33),$J33))</x:f>
      </x:c>
      <x:c r="Q33" s="36"/>
      <x:c r="R33" s="36"/>
      <x:c r="S33" s="38"/>
      <x:c r="T33" s="38"/>
      <x:c r="U33" s="63" t="str">
        <x:f>IF($A33="","",$J33*$S33)</x:f>
      </x:c>
      <x:c r="V33" s="63" t="str">
        <x:f>IF($A33="","",$J33*$T33)</x:f>
      </x:c>
      <x:c r="W33" s="63" t="str">
        <x:f>IF($A33="","",IF($D33="Pedro Américo Paletot",$J33,0))</x:f>
      </x:c>
      <x:c r="X33" s="63" t="str">
        <x:f>IF($A33="","",IF($D33="Camilly Queiroz",$J33,0))</x:f>
      </x:c>
      <x:c r="Y33" s="63" t="str">
        <x:f>IF($A33="","",$W33-$U33)</x:f>
      </x:c>
      <x:c r="Z33" s="36"/>
      <x:c r="AA33" s="36"/>
    </x:row>
    <x:row r="34">
      <x:c r="A34" s="36"/>
      <x:c r="B34" s="36"/>
      <x:c r="C34" s="59"/>
      <x:c r="D34" s="36"/>
      <x:c r="E34" s="36"/>
      <x:c r="F34" s="36"/>
      <x:c r="G34" s="36"/>
      <x:c r="H34" s="36"/>
      <x:c r="I34" s="36"/>
      <x:c r="J34" s="37"/>
      <x:c r="K34" s="36"/>
      <x:c r="L34" s="36"/>
      <x:c r="M34" s="36"/>
      <x:c r="N34" s="36"/>
      <x:c r="O34" s="36"/>
      <x:c r="P34" s="63" t="str">
        <x:f>IF($A34="","",IF($M34="Sim",IFERROR($J34/MAX($N34,1),$J34),$J34))</x:f>
      </x:c>
      <x:c r="Q34" s="36"/>
      <x:c r="R34" s="36"/>
      <x:c r="S34" s="38"/>
      <x:c r="T34" s="38"/>
      <x:c r="U34" s="63" t="str">
        <x:f>IF($A34="","",$J34*$S34)</x:f>
      </x:c>
      <x:c r="V34" s="63" t="str">
        <x:f>IF($A34="","",$J34*$T34)</x:f>
      </x:c>
      <x:c r="W34" s="63" t="str">
        <x:f>IF($A34="","",IF($D34="Pedro Américo Paletot",$J34,0))</x:f>
      </x:c>
      <x:c r="X34" s="63" t="str">
        <x:f>IF($A34="","",IF($D34="Camilly Queiroz",$J34,0))</x:f>
      </x:c>
      <x:c r="Y34" s="63" t="str">
        <x:f>IF($A34="","",$W34-$U34)</x:f>
      </x:c>
      <x:c r="Z34" s="36"/>
      <x:c r="AA34" s="36"/>
    </x:row>
    <x:row r="35">
      <x:c r="A35" s="36"/>
      <x:c r="B35" s="36"/>
      <x:c r="C35" s="59"/>
      <x:c r="D35" s="36"/>
      <x:c r="E35" s="36"/>
      <x:c r="F35" s="36"/>
      <x:c r="G35" s="36"/>
      <x:c r="H35" s="36"/>
      <x:c r="I35" s="36"/>
      <x:c r="J35" s="37"/>
      <x:c r="K35" s="36"/>
      <x:c r="L35" s="36"/>
      <x:c r="M35" s="36"/>
      <x:c r="N35" s="36"/>
      <x:c r="O35" s="36"/>
      <x:c r="P35" s="63" t="str">
        <x:f>IF($A35="","",IF($M35="Sim",IFERROR($J35/MAX($N35,1),$J35),$J35))</x:f>
      </x:c>
      <x:c r="Q35" s="36"/>
      <x:c r="R35" s="36"/>
      <x:c r="S35" s="38"/>
      <x:c r="T35" s="38"/>
      <x:c r="U35" s="63" t="str">
        <x:f>IF($A35="","",$J35*$S35)</x:f>
      </x:c>
      <x:c r="V35" s="63" t="str">
        <x:f>IF($A35="","",$J35*$T35)</x:f>
      </x:c>
      <x:c r="W35" s="63" t="str">
        <x:f>IF($A35="","",IF($D35="Pedro Américo Paletot",$J35,0))</x:f>
      </x:c>
      <x:c r="X35" s="63" t="str">
        <x:f>IF($A35="","",IF($D35="Camilly Queiroz",$J35,0))</x:f>
      </x:c>
      <x:c r="Y35" s="63" t="str">
        <x:f>IF($A35="","",$W35-$U35)</x:f>
      </x:c>
      <x:c r="Z35" s="36"/>
      <x:c r="AA35" s="36"/>
    </x:row>
    <x:row r="36">
      <x:c r="A36" s="36"/>
      <x:c r="B36" s="36"/>
      <x:c r="C36" s="59"/>
      <x:c r="D36" s="36"/>
      <x:c r="E36" s="36"/>
      <x:c r="F36" s="36"/>
      <x:c r="G36" s="36"/>
      <x:c r="H36" s="36"/>
      <x:c r="I36" s="36"/>
      <x:c r="J36" s="37"/>
      <x:c r="K36" s="36"/>
      <x:c r="L36" s="36"/>
      <x:c r="M36" s="36"/>
      <x:c r="N36" s="36"/>
      <x:c r="O36" s="36"/>
      <x:c r="P36" s="63" t="str">
        <x:f>IF($A36="","",IF($M36="Sim",IFERROR($J36/MAX($N36,1),$J36),$J36))</x:f>
      </x:c>
      <x:c r="Q36" s="36"/>
      <x:c r="R36" s="36"/>
      <x:c r="S36" s="38"/>
      <x:c r="T36" s="38"/>
      <x:c r="U36" s="63" t="str">
        <x:f>IF($A36="","",$J36*$S36)</x:f>
      </x:c>
      <x:c r="V36" s="63" t="str">
        <x:f>IF($A36="","",$J36*$T36)</x:f>
      </x:c>
      <x:c r="W36" s="63" t="str">
        <x:f>IF($A36="","",IF($D36="Pedro Américo Paletot",$J36,0))</x:f>
      </x:c>
      <x:c r="X36" s="63" t="str">
        <x:f>IF($A36="","",IF($D36="Camilly Queiroz",$J36,0))</x:f>
      </x:c>
      <x:c r="Y36" s="63" t="str">
        <x:f>IF($A36="","",$W36-$U36)</x:f>
      </x:c>
      <x:c r="Z36" s="36"/>
      <x:c r="AA36" s="36"/>
    </x:row>
    <x:row r="37">
      <x:c r="A37" s="36"/>
      <x:c r="B37" s="36"/>
      <x:c r="C37" s="59"/>
      <x:c r="D37" s="36"/>
      <x:c r="E37" s="36"/>
      <x:c r="F37" s="36"/>
      <x:c r="G37" s="36"/>
      <x:c r="H37" s="36"/>
      <x:c r="I37" s="36"/>
      <x:c r="J37" s="37"/>
      <x:c r="K37" s="36"/>
      <x:c r="L37" s="36"/>
      <x:c r="M37" s="36"/>
      <x:c r="N37" s="36"/>
      <x:c r="O37" s="36"/>
      <x:c r="P37" s="63" t="str">
        <x:f>IF($A37="","",IF($M37="Sim",IFERROR($J37/MAX($N37,1),$J37),$J37))</x:f>
      </x:c>
      <x:c r="Q37" s="36"/>
      <x:c r="R37" s="36"/>
      <x:c r="S37" s="38"/>
      <x:c r="T37" s="38"/>
      <x:c r="U37" s="63" t="str">
        <x:f>IF($A37="","",$J37*$S37)</x:f>
      </x:c>
      <x:c r="V37" s="63" t="str">
        <x:f>IF($A37="","",$J37*$T37)</x:f>
      </x:c>
      <x:c r="W37" s="63" t="str">
        <x:f>IF($A37="","",IF($D37="Pedro Américo Paletot",$J37,0))</x:f>
      </x:c>
      <x:c r="X37" s="63" t="str">
        <x:f>IF($A37="","",IF($D37="Camilly Queiroz",$J37,0))</x:f>
      </x:c>
      <x:c r="Y37" s="63" t="str">
        <x:f>IF($A37="","",$W37-$U37)</x:f>
      </x:c>
      <x:c r="Z37" s="36"/>
      <x:c r="AA37" s="36"/>
    </x:row>
    <x:row r="38">
      <x:c r="A38" s="36"/>
      <x:c r="B38" s="36"/>
      <x:c r="C38" s="59"/>
      <x:c r="D38" s="36"/>
      <x:c r="E38" s="36"/>
      <x:c r="F38" s="36"/>
      <x:c r="G38" s="36"/>
      <x:c r="H38" s="36"/>
      <x:c r="I38" s="36"/>
      <x:c r="J38" s="37"/>
      <x:c r="K38" s="36"/>
      <x:c r="L38" s="36"/>
      <x:c r="M38" s="36"/>
      <x:c r="N38" s="36"/>
      <x:c r="O38" s="36"/>
      <x:c r="P38" s="63" t="str">
        <x:f>IF($A38="","",IF($M38="Sim",IFERROR($J38/MAX($N38,1),$J38),$J38))</x:f>
      </x:c>
      <x:c r="Q38" s="36"/>
      <x:c r="R38" s="36"/>
      <x:c r="S38" s="38"/>
      <x:c r="T38" s="38"/>
      <x:c r="U38" s="63" t="str">
        <x:f>IF($A38="","",$J38*$S38)</x:f>
      </x:c>
      <x:c r="V38" s="63" t="str">
        <x:f>IF($A38="","",$J38*$T38)</x:f>
      </x:c>
      <x:c r="W38" s="63" t="str">
        <x:f>IF($A38="","",IF($D38="Pedro Américo Paletot",$J38,0))</x:f>
      </x:c>
      <x:c r="X38" s="63" t="str">
        <x:f>IF($A38="","",IF($D38="Camilly Queiroz",$J38,0))</x:f>
      </x:c>
      <x:c r="Y38" s="63" t="str">
        <x:f>IF($A38="","",$W38-$U38)</x:f>
      </x:c>
      <x:c r="Z38" s="36"/>
      <x:c r="AA38" s="36"/>
    </x:row>
    <x:row r="39">
      <x:c r="A39" s="36"/>
      <x:c r="B39" s="36"/>
      <x:c r="C39" s="59"/>
      <x:c r="D39" s="36"/>
      <x:c r="E39" s="36"/>
      <x:c r="F39" s="36"/>
      <x:c r="G39" s="36"/>
      <x:c r="H39" s="36"/>
      <x:c r="I39" s="36"/>
      <x:c r="J39" s="37"/>
      <x:c r="K39" s="36"/>
      <x:c r="L39" s="36"/>
      <x:c r="M39" s="36"/>
      <x:c r="N39" s="36"/>
      <x:c r="O39" s="36"/>
      <x:c r="P39" s="63" t="str">
        <x:f>IF($A39="","",IF($M39="Sim",IFERROR($J39/MAX($N39,1),$J39),$J39))</x:f>
      </x:c>
      <x:c r="Q39" s="36"/>
      <x:c r="R39" s="36"/>
      <x:c r="S39" s="38"/>
      <x:c r="T39" s="38"/>
      <x:c r="U39" s="63" t="str">
        <x:f>IF($A39="","",$J39*$S39)</x:f>
      </x:c>
      <x:c r="V39" s="63" t="str">
        <x:f>IF($A39="","",$J39*$T39)</x:f>
      </x:c>
      <x:c r="W39" s="63" t="str">
        <x:f>IF($A39="","",IF($D39="Pedro Américo Paletot",$J39,0))</x:f>
      </x:c>
      <x:c r="X39" s="63" t="str">
        <x:f>IF($A39="","",IF($D39="Camilly Queiroz",$J39,0))</x:f>
      </x:c>
      <x:c r="Y39" s="63" t="str">
        <x:f>IF($A39="","",$W39-$U39)</x:f>
      </x:c>
      <x:c r="Z39" s="36"/>
      <x:c r="AA39" s="36"/>
    </x:row>
    <x:row r="40">
      <x:c r="A40" s="36"/>
      <x:c r="B40" s="36"/>
      <x:c r="C40" s="59"/>
      <x:c r="D40" s="36"/>
      <x:c r="E40" s="36"/>
      <x:c r="F40" s="36"/>
      <x:c r="G40" s="36"/>
      <x:c r="H40" s="36"/>
      <x:c r="I40" s="36"/>
      <x:c r="J40" s="37"/>
      <x:c r="K40" s="36"/>
      <x:c r="L40" s="36"/>
      <x:c r="M40" s="36"/>
      <x:c r="N40" s="36"/>
      <x:c r="O40" s="36"/>
      <x:c r="P40" s="63" t="str">
        <x:f>IF($A40="","",IF($M40="Sim",IFERROR($J40/MAX($N40,1),$J40),$J40))</x:f>
      </x:c>
      <x:c r="Q40" s="36"/>
      <x:c r="R40" s="36"/>
      <x:c r="S40" s="38"/>
      <x:c r="T40" s="38"/>
      <x:c r="U40" s="63" t="str">
        <x:f>IF($A40="","",$J40*$S40)</x:f>
      </x:c>
      <x:c r="V40" s="63" t="str">
        <x:f>IF($A40="","",$J40*$T40)</x:f>
      </x:c>
      <x:c r="W40" s="63" t="str">
        <x:f>IF($A40="","",IF($D40="Pedro Américo Paletot",$J40,0))</x:f>
      </x:c>
      <x:c r="X40" s="63" t="str">
        <x:f>IF($A40="","",IF($D40="Camilly Queiroz",$J40,0))</x:f>
      </x:c>
      <x:c r="Y40" s="63" t="str">
        <x:f>IF($A40="","",$W40-$U40)</x:f>
      </x:c>
      <x:c r="Z40" s="36"/>
      <x:c r="AA40" s="36"/>
    </x:row>
    <x:row r="41">
      <x:c r="A41" s="36"/>
      <x:c r="B41" s="36"/>
      <x:c r="C41" s="59"/>
      <x:c r="D41" s="36"/>
      <x:c r="E41" s="36"/>
      <x:c r="F41" s="36"/>
      <x:c r="G41" s="36"/>
      <x:c r="H41" s="36"/>
      <x:c r="I41" s="36"/>
      <x:c r="J41" s="37"/>
      <x:c r="K41" s="36"/>
      <x:c r="L41" s="36"/>
      <x:c r="M41" s="36"/>
      <x:c r="N41" s="36"/>
      <x:c r="O41" s="36"/>
      <x:c r="P41" s="63" t="str">
        <x:f>IF($A41="","",IF($M41="Sim",IFERROR($J41/MAX($N41,1),$J41),$J41))</x:f>
      </x:c>
      <x:c r="Q41" s="36"/>
      <x:c r="R41" s="36"/>
      <x:c r="S41" s="38"/>
      <x:c r="T41" s="38"/>
      <x:c r="U41" s="63" t="str">
        <x:f>IF($A41="","",$J41*$S41)</x:f>
      </x:c>
      <x:c r="V41" s="63" t="str">
        <x:f>IF($A41="","",$J41*$T41)</x:f>
      </x:c>
      <x:c r="W41" s="63" t="str">
        <x:f>IF($A41="","",IF($D41="Pedro Américo Paletot",$J41,0))</x:f>
      </x:c>
      <x:c r="X41" s="63" t="str">
        <x:f>IF($A41="","",IF($D41="Camilly Queiroz",$J41,0))</x:f>
      </x:c>
      <x:c r="Y41" s="63" t="str">
        <x:f>IF($A41="","",$W41-$U41)</x:f>
      </x:c>
      <x:c r="Z41" s="36"/>
      <x:c r="AA41" s="36"/>
    </x:row>
    <x:row r="42">
      <x:c r="A42" s="36"/>
      <x:c r="B42" s="36"/>
      <x:c r="C42" s="59"/>
      <x:c r="D42" s="36"/>
      <x:c r="E42" s="36"/>
      <x:c r="F42" s="36"/>
      <x:c r="G42" s="36"/>
      <x:c r="H42" s="36"/>
      <x:c r="I42" s="36"/>
      <x:c r="J42" s="37"/>
      <x:c r="K42" s="36"/>
      <x:c r="L42" s="36"/>
      <x:c r="M42" s="36"/>
      <x:c r="N42" s="36"/>
      <x:c r="O42" s="36"/>
      <x:c r="P42" s="63" t="str">
        <x:f>IF($A42="","",IF($M42="Sim",IFERROR($J42/MAX($N42,1),$J42),$J42))</x:f>
      </x:c>
      <x:c r="Q42" s="36"/>
      <x:c r="R42" s="36"/>
      <x:c r="S42" s="38"/>
      <x:c r="T42" s="38"/>
      <x:c r="U42" s="63" t="str">
        <x:f>IF($A42="","",$J42*$S42)</x:f>
      </x:c>
      <x:c r="V42" s="63" t="str">
        <x:f>IF($A42="","",$J42*$T42)</x:f>
      </x:c>
      <x:c r="W42" s="63" t="str">
        <x:f>IF($A42="","",IF($D42="Pedro Américo Paletot",$J42,0))</x:f>
      </x:c>
      <x:c r="X42" s="63" t="str">
        <x:f>IF($A42="","",IF($D42="Camilly Queiroz",$J42,0))</x:f>
      </x:c>
      <x:c r="Y42" s="63" t="str">
        <x:f>IF($A42="","",$W42-$U42)</x:f>
      </x:c>
      <x:c r="Z42" s="36"/>
      <x:c r="AA42" s="36"/>
    </x:row>
    <x:row r="43">
      <x:c r="A43" s="36"/>
      <x:c r="B43" s="36"/>
      <x:c r="C43" s="59"/>
      <x:c r="D43" s="36"/>
      <x:c r="E43" s="36"/>
      <x:c r="F43" s="36"/>
      <x:c r="G43" s="36"/>
      <x:c r="H43" s="36"/>
      <x:c r="I43" s="36"/>
      <x:c r="J43" s="37"/>
      <x:c r="K43" s="36"/>
      <x:c r="L43" s="36"/>
      <x:c r="M43" s="36"/>
      <x:c r="N43" s="36"/>
      <x:c r="O43" s="36"/>
      <x:c r="P43" s="63" t="str">
        <x:f>IF($A43="","",IF($M43="Sim",IFERROR($J43/MAX($N43,1),$J43),$J43))</x:f>
      </x:c>
      <x:c r="Q43" s="36"/>
      <x:c r="R43" s="36"/>
      <x:c r="S43" s="38"/>
      <x:c r="T43" s="38"/>
      <x:c r="U43" s="63" t="str">
        <x:f>IF($A43="","",$J43*$S43)</x:f>
      </x:c>
      <x:c r="V43" s="63" t="str">
        <x:f>IF($A43="","",$J43*$T43)</x:f>
      </x:c>
      <x:c r="W43" s="63" t="str">
        <x:f>IF($A43="","",IF($D43="Pedro Américo Paletot",$J43,0))</x:f>
      </x:c>
      <x:c r="X43" s="63" t="str">
        <x:f>IF($A43="","",IF($D43="Camilly Queiroz",$J43,0))</x:f>
      </x:c>
      <x:c r="Y43" s="63" t="str">
        <x:f>IF($A43="","",$W43-$U43)</x:f>
      </x:c>
      <x:c r="Z43" s="36"/>
      <x:c r="AA43" s="36"/>
    </x:row>
    <x:row r="44">
      <x:c r="A44" s="36"/>
      <x:c r="B44" s="36"/>
      <x:c r="C44" s="59"/>
      <x:c r="D44" s="36"/>
      <x:c r="E44" s="36"/>
      <x:c r="F44" s="36"/>
      <x:c r="G44" s="36"/>
      <x:c r="H44" s="36"/>
      <x:c r="I44" s="36"/>
      <x:c r="J44" s="37"/>
      <x:c r="K44" s="36"/>
      <x:c r="L44" s="36"/>
      <x:c r="M44" s="36"/>
      <x:c r="N44" s="36"/>
      <x:c r="O44" s="36"/>
      <x:c r="P44" s="63" t="str">
        <x:f>IF($A44="","",IF($M44="Sim",IFERROR($J44/MAX($N44,1),$J44),$J44))</x:f>
      </x:c>
      <x:c r="Q44" s="36"/>
      <x:c r="R44" s="36"/>
      <x:c r="S44" s="38"/>
      <x:c r="T44" s="38"/>
      <x:c r="U44" s="63" t="str">
        <x:f>IF($A44="","",$J44*$S44)</x:f>
      </x:c>
      <x:c r="V44" s="63" t="str">
        <x:f>IF($A44="","",$J44*$T44)</x:f>
      </x:c>
      <x:c r="W44" s="63" t="str">
        <x:f>IF($A44="","",IF($D44="Pedro Américo Paletot",$J44,0))</x:f>
      </x:c>
      <x:c r="X44" s="63" t="str">
        <x:f>IF($A44="","",IF($D44="Camilly Queiroz",$J44,0))</x:f>
      </x:c>
      <x:c r="Y44" s="63" t="str">
        <x:f>IF($A44="","",$W44-$U44)</x:f>
      </x:c>
      <x:c r="Z44" s="36"/>
      <x:c r="AA44" s="36"/>
    </x:row>
    <x:row r="45">
      <x:c r="A45" s="36"/>
      <x:c r="B45" s="36"/>
      <x:c r="C45" s="59"/>
      <x:c r="D45" s="36"/>
      <x:c r="E45" s="36"/>
      <x:c r="F45" s="36"/>
      <x:c r="G45" s="36"/>
      <x:c r="H45" s="36"/>
      <x:c r="I45" s="36"/>
      <x:c r="J45" s="37"/>
      <x:c r="K45" s="36"/>
      <x:c r="L45" s="36"/>
      <x:c r="M45" s="36"/>
      <x:c r="N45" s="36"/>
      <x:c r="O45" s="36"/>
      <x:c r="P45" s="63" t="str">
        <x:f>IF($A45="","",IF($M45="Sim",IFERROR($J45/MAX($N45,1),$J45),$J45))</x:f>
      </x:c>
      <x:c r="Q45" s="36"/>
      <x:c r="R45" s="36"/>
      <x:c r="S45" s="38"/>
      <x:c r="T45" s="38"/>
      <x:c r="U45" s="63" t="str">
        <x:f>IF($A45="","",$J45*$S45)</x:f>
      </x:c>
      <x:c r="V45" s="63" t="str">
        <x:f>IF($A45="","",$J45*$T45)</x:f>
      </x:c>
      <x:c r="W45" s="63" t="str">
        <x:f>IF($A45="","",IF($D45="Pedro Américo Paletot",$J45,0))</x:f>
      </x:c>
      <x:c r="X45" s="63" t="str">
        <x:f>IF($A45="","",IF($D45="Camilly Queiroz",$J45,0))</x:f>
      </x:c>
      <x:c r="Y45" s="63" t="str">
        <x:f>IF($A45="","",$W45-$U45)</x:f>
      </x:c>
      <x:c r="Z45" s="36"/>
      <x:c r="AA45" s="36"/>
    </x:row>
    <x:row r="46">
      <x:c r="A46" s="36"/>
      <x:c r="B46" s="36"/>
      <x:c r="C46" s="59"/>
      <x:c r="D46" s="36"/>
      <x:c r="E46" s="36"/>
      <x:c r="F46" s="36"/>
      <x:c r="G46" s="36"/>
      <x:c r="H46" s="36"/>
      <x:c r="I46" s="36"/>
      <x:c r="J46" s="37"/>
      <x:c r="K46" s="36"/>
      <x:c r="L46" s="36"/>
      <x:c r="M46" s="36"/>
      <x:c r="N46" s="36"/>
      <x:c r="O46" s="36"/>
      <x:c r="P46" s="63" t="str">
        <x:f>IF($A46="","",IF($M46="Sim",IFERROR($J46/MAX($N46,1),$J46),$J46))</x:f>
      </x:c>
      <x:c r="Q46" s="36"/>
      <x:c r="R46" s="36"/>
      <x:c r="S46" s="38"/>
      <x:c r="T46" s="38"/>
      <x:c r="U46" s="63" t="str">
        <x:f>IF($A46="","",$J46*$S46)</x:f>
      </x:c>
      <x:c r="V46" s="63" t="str">
        <x:f>IF($A46="","",$J46*$T46)</x:f>
      </x:c>
      <x:c r="W46" s="63" t="str">
        <x:f>IF($A46="","",IF($D46="Pedro Américo Paletot",$J46,0))</x:f>
      </x:c>
      <x:c r="X46" s="63" t="str">
        <x:f>IF($A46="","",IF($D46="Camilly Queiroz",$J46,0))</x:f>
      </x:c>
      <x:c r="Y46" s="63" t="str">
        <x:f>IF($A46="","",$W46-$U46)</x:f>
      </x:c>
      <x:c r="Z46" s="36"/>
      <x:c r="AA46" s="36"/>
    </x:row>
    <x:row r="47">
      <x:c r="A47" s="36"/>
      <x:c r="B47" s="36"/>
      <x:c r="C47" s="59"/>
      <x:c r="D47" s="36"/>
      <x:c r="E47" s="36"/>
      <x:c r="F47" s="36"/>
      <x:c r="G47" s="36"/>
      <x:c r="H47" s="36"/>
      <x:c r="I47" s="36"/>
      <x:c r="J47" s="37"/>
      <x:c r="K47" s="36"/>
      <x:c r="L47" s="36"/>
      <x:c r="M47" s="36"/>
      <x:c r="N47" s="36"/>
      <x:c r="O47" s="36"/>
      <x:c r="P47" s="63" t="str">
        <x:f>IF($A47="","",IF($M47="Sim",IFERROR($J47/MAX($N47,1),$J47),$J47))</x:f>
      </x:c>
      <x:c r="Q47" s="36"/>
      <x:c r="R47" s="36"/>
      <x:c r="S47" s="38"/>
      <x:c r="T47" s="38"/>
      <x:c r="U47" s="63" t="str">
        <x:f>IF($A47="","",$J47*$S47)</x:f>
      </x:c>
      <x:c r="V47" s="63" t="str">
        <x:f>IF($A47="","",$J47*$T47)</x:f>
      </x:c>
      <x:c r="W47" s="63" t="str">
        <x:f>IF($A47="","",IF($D47="Pedro Américo Paletot",$J47,0))</x:f>
      </x:c>
      <x:c r="X47" s="63" t="str">
        <x:f>IF($A47="","",IF($D47="Camilly Queiroz",$J47,0))</x:f>
      </x:c>
      <x:c r="Y47" s="63" t="str">
        <x:f>IF($A47="","",$W47-$U47)</x:f>
      </x:c>
      <x:c r="Z47" s="36"/>
      <x:c r="AA47" s="36"/>
    </x:row>
    <x:row r="48">
      <x:c r="A48" s="36"/>
      <x:c r="B48" s="36"/>
      <x:c r="C48" s="59"/>
      <x:c r="D48" s="36"/>
      <x:c r="E48" s="36"/>
      <x:c r="F48" s="36"/>
      <x:c r="G48" s="36"/>
      <x:c r="H48" s="36"/>
      <x:c r="I48" s="36"/>
      <x:c r="J48" s="37"/>
      <x:c r="K48" s="36"/>
      <x:c r="L48" s="36"/>
      <x:c r="M48" s="36"/>
      <x:c r="N48" s="36"/>
      <x:c r="O48" s="36"/>
      <x:c r="P48" s="63" t="str">
        <x:f>IF($A48="","",IF($M48="Sim",IFERROR($J48/MAX($N48,1),$J48),$J48))</x:f>
      </x:c>
      <x:c r="Q48" s="36"/>
      <x:c r="R48" s="36"/>
      <x:c r="S48" s="38"/>
      <x:c r="T48" s="38"/>
      <x:c r="U48" s="63" t="str">
        <x:f>IF($A48="","",$J48*$S48)</x:f>
      </x:c>
      <x:c r="V48" s="63" t="str">
        <x:f>IF($A48="","",$J48*$T48)</x:f>
      </x:c>
      <x:c r="W48" s="63" t="str">
        <x:f>IF($A48="","",IF($D48="Pedro Américo Paletot",$J48,0))</x:f>
      </x:c>
      <x:c r="X48" s="63" t="str">
        <x:f>IF($A48="","",IF($D48="Camilly Queiroz",$J48,0))</x:f>
      </x:c>
      <x:c r="Y48" s="63" t="str">
        <x:f>IF($A48="","",$W48-$U48)</x:f>
      </x:c>
      <x:c r="Z48" s="36"/>
      <x:c r="AA48" s="36"/>
    </x:row>
    <x:row r="49">
      <x:c r="A49" s="36"/>
      <x:c r="B49" s="36"/>
      <x:c r="C49" s="59"/>
      <x:c r="D49" s="36"/>
      <x:c r="E49" s="36"/>
      <x:c r="F49" s="36"/>
      <x:c r="G49" s="36"/>
      <x:c r="H49" s="36"/>
      <x:c r="I49" s="36"/>
      <x:c r="J49" s="37"/>
      <x:c r="K49" s="36"/>
      <x:c r="L49" s="36"/>
      <x:c r="M49" s="36"/>
      <x:c r="N49" s="36"/>
      <x:c r="O49" s="36"/>
      <x:c r="P49" s="63" t="str">
        <x:f>IF($A49="","",IF($M49="Sim",IFERROR($J49/MAX($N49,1),$J49),$J49))</x:f>
      </x:c>
      <x:c r="Q49" s="36"/>
      <x:c r="R49" s="36"/>
      <x:c r="S49" s="38"/>
      <x:c r="T49" s="38"/>
      <x:c r="U49" s="63" t="str">
        <x:f>IF($A49="","",$J49*$S49)</x:f>
      </x:c>
      <x:c r="V49" s="63" t="str">
        <x:f>IF($A49="","",$J49*$T49)</x:f>
      </x:c>
      <x:c r="W49" s="63" t="str">
        <x:f>IF($A49="","",IF($D49="Pedro Américo Paletot",$J49,0))</x:f>
      </x:c>
      <x:c r="X49" s="63" t="str">
        <x:f>IF($A49="","",IF($D49="Camilly Queiroz",$J49,0))</x:f>
      </x:c>
      <x:c r="Y49" s="63" t="str">
        <x:f>IF($A49="","",$W49-$U49)</x:f>
      </x:c>
      <x:c r="Z49" s="36"/>
      <x:c r="AA49" s="36"/>
    </x:row>
    <x:row r="50">
      <x:c r="A50" s="36"/>
      <x:c r="B50" s="36"/>
      <x:c r="C50" s="59"/>
      <x:c r="D50" s="36"/>
      <x:c r="E50" s="36"/>
      <x:c r="F50" s="36"/>
      <x:c r="G50" s="36"/>
      <x:c r="H50" s="36"/>
      <x:c r="I50" s="36"/>
      <x:c r="J50" s="37"/>
      <x:c r="K50" s="36"/>
      <x:c r="L50" s="36"/>
      <x:c r="M50" s="36"/>
      <x:c r="N50" s="36"/>
      <x:c r="O50" s="36"/>
      <x:c r="P50" s="63" t="str">
        <x:f>IF($A50="","",IF($M50="Sim",IFERROR($J50/MAX($N50,1),$J50),$J50))</x:f>
      </x:c>
      <x:c r="Q50" s="36"/>
      <x:c r="R50" s="36"/>
      <x:c r="S50" s="38"/>
      <x:c r="T50" s="38"/>
      <x:c r="U50" s="63" t="str">
        <x:f>IF($A50="","",$J50*$S50)</x:f>
      </x:c>
      <x:c r="V50" s="63" t="str">
        <x:f>IF($A50="","",$J50*$T50)</x:f>
      </x:c>
      <x:c r="W50" s="63" t="str">
        <x:f>IF($A50="","",IF($D50="Pedro Américo Paletot",$J50,0))</x:f>
      </x:c>
      <x:c r="X50" s="63" t="str">
        <x:f>IF($A50="","",IF($D50="Camilly Queiroz",$J50,0))</x:f>
      </x:c>
      <x:c r="Y50" s="63" t="str">
        <x:f>IF($A50="","",$W50-$U50)</x:f>
      </x:c>
      <x:c r="Z50" s="36"/>
      <x:c r="AA50" s="36"/>
    </x:row>
    <x:row r="51">
      <x:c r="A51" s="36"/>
      <x:c r="B51" s="36"/>
      <x:c r="C51" s="59"/>
      <x:c r="D51" s="36"/>
      <x:c r="E51" s="36"/>
      <x:c r="F51" s="36"/>
      <x:c r="G51" s="36"/>
      <x:c r="H51" s="36"/>
      <x:c r="I51" s="36"/>
      <x:c r="J51" s="37"/>
      <x:c r="K51" s="36"/>
      <x:c r="L51" s="36"/>
      <x:c r="M51" s="36"/>
      <x:c r="N51" s="36"/>
      <x:c r="O51" s="36"/>
      <x:c r="P51" s="63" t="str">
        <x:f>IF($A51="","",IF($M51="Sim",IFERROR($J51/MAX($N51,1),$J51),$J51))</x:f>
      </x:c>
      <x:c r="Q51" s="36"/>
      <x:c r="R51" s="36"/>
      <x:c r="S51" s="38"/>
      <x:c r="T51" s="38"/>
      <x:c r="U51" s="63" t="str">
        <x:f>IF($A51="","",$J51*$S51)</x:f>
      </x:c>
      <x:c r="V51" s="63" t="str">
        <x:f>IF($A51="","",$J51*$T51)</x:f>
      </x:c>
      <x:c r="W51" s="63" t="str">
        <x:f>IF($A51="","",IF($D51="Pedro Américo Paletot",$J51,0))</x:f>
      </x:c>
      <x:c r="X51" s="63" t="str">
        <x:f>IF($A51="","",IF($D51="Camilly Queiroz",$J51,0))</x:f>
      </x:c>
      <x:c r="Y51" s="63" t="str">
        <x:f>IF($A51="","",$W51-$U51)</x:f>
      </x:c>
      <x:c r="Z51" s="36"/>
      <x:c r="AA51" s="36"/>
    </x:row>
    <x:row r="52">
      <x:c r="A52" s="36"/>
      <x:c r="B52" s="36"/>
      <x:c r="C52" s="59"/>
      <x:c r="D52" s="36"/>
      <x:c r="E52" s="36"/>
      <x:c r="F52" s="36"/>
      <x:c r="G52" s="36"/>
      <x:c r="H52" s="36"/>
      <x:c r="I52" s="36"/>
      <x:c r="J52" s="37"/>
      <x:c r="K52" s="36"/>
      <x:c r="L52" s="36"/>
      <x:c r="M52" s="36"/>
      <x:c r="N52" s="36"/>
      <x:c r="O52" s="36"/>
      <x:c r="P52" s="63" t="str">
        <x:f>IF($A52="","",IF($M52="Sim",IFERROR($J52/MAX($N52,1),$J52),$J52))</x:f>
      </x:c>
      <x:c r="Q52" s="36"/>
      <x:c r="R52" s="36"/>
      <x:c r="S52" s="38"/>
      <x:c r="T52" s="38"/>
      <x:c r="U52" s="63" t="str">
        <x:f>IF($A52="","",$J52*$S52)</x:f>
      </x:c>
      <x:c r="V52" s="63" t="str">
        <x:f>IF($A52="","",$J52*$T52)</x:f>
      </x:c>
      <x:c r="W52" s="63" t="str">
        <x:f>IF($A52="","",IF($D52="Pedro Américo Paletot",$J52,0))</x:f>
      </x:c>
      <x:c r="X52" s="63" t="str">
        <x:f>IF($A52="","",IF($D52="Camilly Queiroz",$J52,0))</x:f>
      </x:c>
      <x:c r="Y52" s="63" t="str">
        <x:f>IF($A52="","",$W52-$U52)</x:f>
      </x:c>
      <x:c r="Z52" s="36"/>
      <x:c r="AA52" s="36"/>
    </x:row>
    <x:row r="53">
      <x:c r="A53" s="36"/>
      <x:c r="B53" s="36"/>
      <x:c r="C53" s="59"/>
      <x:c r="D53" s="36"/>
      <x:c r="E53" s="36"/>
      <x:c r="F53" s="36"/>
      <x:c r="G53" s="36"/>
      <x:c r="H53" s="36"/>
      <x:c r="I53" s="36"/>
      <x:c r="J53" s="37"/>
      <x:c r="K53" s="36"/>
      <x:c r="L53" s="36"/>
      <x:c r="M53" s="36"/>
      <x:c r="N53" s="36"/>
      <x:c r="O53" s="36"/>
      <x:c r="P53" s="63" t="str">
        <x:f>IF($A53="","",IF($M53="Sim",IFERROR($J53/MAX($N53,1),$J53),$J53))</x:f>
      </x:c>
      <x:c r="Q53" s="36"/>
      <x:c r="R53" s="36"/>
      <x:c r="S53" s="38"/>
      <x:c r="T53" s="38"/>
      <x:c r="U53" s="63" t="str">
        <x:f>IF($A53="","",$J53*$S53)</x:f>
      </x:c>
      <x:c r="V53" s="63" t="str">
        <x:f>IF($A53="","",$J53*$T53)</x:f>
      </x:c>
      <x:c r="W53" s="63" t="str">
        <x:f>IF($A53="","",IF($D53="Pedro Américo Paletot",$J53,0))</x:f>
      </x:c>
      <x:c r="X53" s="63" t="str">
        <x:f>IF($A53="","",IF($D53="Camilly Queiroz",$J53,0))</x:f>
      </x:c>
      <x:c r="Y53" s="63" t="str">
        <x:f>IF($A53="","",$W53-$U53)</x:f>
      </x:c>
      <x:c r="Z53" s="36"/>
      <x:c r="AA53" s="36"/>
    </x:row>
    <x:row r="54">
      <x:c r="A54" s="36"/>
      <x:c r="B54" s="36"/>
      <x:c r="C54" s="59"/>
      <x:c r="D54" s="36"/>
      <x:c r="E54" s="36"/>
      <x:c r="F54" s="36"/>
      <x:c r="G54" s="36"/>
      <x:c r="H54" s="36"/>
      <x:c r="I54" s="36"/>
      <x:c r="J54" s="37"/>
      <x:c r="K54" s="36"/>
      <x:c r="L54" s="36"/>
      <x:c r="M54" s="36"/>
      <x:c r="N54" s="36"/>
      <x:c r="O54" s="36"/>
      <x:c r="P54" s="63" t="str">
        <x:f>IF($A54="","",IF($M54="Sim",IFERROR($J54/MAX($N54,1),$J54),$J54))</x:f>
      </x:c>
      <x:c r="Q54" s="36"/>
      <x:c r="R54" s="36"/>
      <x:c r="S54" s="38"/>
      <x:c r="T54" s="38"/>
      <x:c r="U54" s="63" t="str">
        <x:f>IF($A54="","",$J54*$S54)</x:f>
      </x:c>
      <x:c r="V54" s="63" t="str">
        <x:f>IF($A54="","",$J54*$T54)</x:f>
      </x:c>
      <x:c r="W54" s="63" t="str">
        <x:f>IF($A54="","",IF($D54="Pedro Américo Paletot",$J54,0))</x:f>
      </x:c>
      <x:c r="X54" s="63" t="str">
        <x:f>IF($A54="","",IF($D54="Camilly Queiroz",$J54,0))</x:f>
      </x:c>
      <x:c r="Y54" s="63" t="str">
        <x:f>IF($A54="","",$W54-$U54)</x:f>
      </x:c>
      <x:c r="Z54" s="36"/>
      <x:c r="AA54" s="36"/>
    </x:row>
    <x:row r="55">
      <x:c r="A55" s="36"/>
      <x:c r="B55" s="36"/>
      <x:c r="C55" s="59"/>
      <x:c r="D55" s="36"/>
      <x:c r="E55" s="36"/>
      <x:c r="F55" s="36"/>
      <x:c r="G55" s="36"/>
      <x:c r="H55" s="36"/>
      <x:c r="I55" s="36"/>
      <x:c r="J55" s="37"/>
      <x:c r="K55" s="36"/>
      <x:c r="L55" s="36"/>
      <x:c r="M55" s="36"/>
      <x:c r="N55" s="36"/>
      <x:c r="O55" s="36"/>
      <x:c r="P55" s="63" t="str">
        <x:f>IF($A55="","",IF($M55="Sim",IFERROR($J55/MAX($N55,1),$J55),$J55))</x:f>
      </x:c>
      <x:c r="Q55" s="36"/>
      <x:c r="R55" s="36"/>
      <x:c r="S55" s="38"/>
      <x:c r="T55" s="38"/>
      <x:c r="U55" s="63" t="str">
        <x:f>IF($A55="","",$J55*$S55)</x:f>
      </x:c>
      <x:c r="V55" s="63" t="str">
        <x:f>IF($A55="","",$J55*$T55)</x:f>
      </x:c>
      <x:c r="W55" s="63" t="str">
        <x:f>IF($A55="","",IF($D55="Pedro Américo Paletot",$J55,0))</x:f>
      </x:c>
      <x:c r="X55" s="63" t="str">
        <x:f>IF($A55="","",IF($D55="Camilly Queiroz",$J55,0))</x:f>
      </x:c>
      <x:c r="Y55" s="63" t="str">
        <x:f>IF($A55="","",$W55-$U55)</x:f>
      </x:c>
      <x:c r="Z55" s="36"/>
      <x:c r="AA55" s="36"/>
    </x:row>
    <x:row r="56">
      <x:c r="A56" s="36"/>
      <x:c r="B56" s="36"/>
      <x:c r="C56" s="59"/>
      <x:c r="D56" s="36"/>
      <x:c r="E56" s="36"/>
      <x:c r="F56" s="36"/>
      <x:c r="G56" s="36"/>
      <x:c r="H56" s="36"/>
      <x:c r="I56" s="36"/>
      <x:c r="J56" s="37"/>
      <x:c r="K56" s="36"/>
      <x:c r="L56" s="36"/>
      <x:c r="M56" s="36"/>
      <x:c r="N56" s="36"/>
      <x:c r="O56" s="36"/>
      <x:c r="P56" s="63" t="str">
        <x:f>IF($A56="","",IF($M56="Sim",IFERROR($J56/MAX($N56,1),$J56),$J56))</x:f>
      </x:c>
      <x:c r="Q56" s="36"/>
      <x:c r="R56" s="36"/>
      <x:c r="S56" s="38"/>
      <x:c r="T56" s="38"/>
      <x:c r="U56" s="63" t="str">
        <x:f>IF($A56="","",$J56*$S56)</x:f>
      </x:c>
      <x:c r="V56" s="63" t="str">
        <x:f>IF($A56="","",$J56*$T56)</x:f>
      </x:c>
      <x:c r="W56" s="63" t="str">
        <x:f>IF($A56="","",IF($D56="Pedro Américo Paletot",$J56,0))</x:f>
      </x:c>
      <x:c r="X56" s="63" t="str">
        <x:f>IF($A56="","",IF($D56="Camilly Queiroz",$J56,0))</x:f>
      </x:c>
      <x:c r="Y56" s="63" t="str">
        <x:f>IF($A56="","",$W56-$U56)</x:f>
      </x:c>
      <x:c r="Z56" s="36"/>
      <x:c r="AA56" s="36"/>
    </x:row>
    <x:row r="57">
      <x:c r="A57" s="36"/>
      <x:c r="B57" s="36"/>
      <x:c r="C57" s="59"/>
      <x:c r="D57" s="36"/>
      <x:c r="E57" s="36"/>
      <x:c r="F57" s="36"/>
      <x:c r="G57" s="36"/>
      <x:c r="H57" s="36"/>
      <x:c r="I57" s="36"/>
      <x:c r="J57" s="37"/>
      <x:c r="K57" s="36"/>
      <x:c r="L57" s="36"/>
      <x:c r="M57" s="36"/>
      <x:c r="N57" s="36"/>
      <x:c r="O57" s="36"/>
      <x:c r="P57" s="63" t="str">
        <x:f>IF($A57="","",IF($M57="Sim",IFERROR($J57/MAX($N57,1),$J57),$J57))</x:f>
      </x:c>
      <x:c r="Q57" s="36"/>
      <x:c r="R57" s="36"/>
      <x:c r="S57" s="38"/>
      <x:c r="T57" s="38"/>
      <x:c r="U57" s="63" t="str">
        <x:f>IF($A57="","",$J57*$S57)</x:f>
      </x:c>
      <x:c r="V57" s="63" t="str">
        <x:f>IF($A57="","",$J57*$T57)</x:f>
      </x:c>
      <x:c r="W57" s="63" t="str">
        <x:f>IF($A57="","",IF($D57="Pedro Américo Paletot",$J57,0))</x:f>
      </x:c>
      <x:c r="X57" s="63" t="str">
        <x:f>IF($A57="","",IF($D57="Camilly Queiroz",$J57,0))</x:f>
      </x:c>
      <x:c r="Y57" s="63" t="str">
        <x:f>IF($A57="","",$W57-$U57)</x:f>
      </x:c>
      <x:c r="Z57" s="36"/>
      <x:c r="AA57" s="36"/>
    </x:row>
    <x:row r="58">
      <x:c r="A58" s="36"/>
      <x:c r="B58" s="36"/>
      <x:c r="C58" s="59"/>
      <x:c r="D58" s="36"/>
      <x:c r="E58" s="36"/>
      <x:c r="F58" s="36"/>
      <x:c r="G58" s="36"/>
      <x:c r="H58" s="36"/>
      <x:c r="I58" s="36"/>
      <x:c r="J58" s="37"/>
      <x:c r="K58" s="36"/>
      <x:c r="L58" s="36"/>
      <x:c r="M58" s="36"/>
      <x:c r="N58" s="36"/>
      <x:c r="O58" s="36"/>
      <x:c r="P58" s="63" t="str">
        <x:f>IF($A58="","",IF($M58="Sim",IFERROR($J58/MAX($N58,1),$J58),$J58))</x:f>
      </x:c>
      <x:c r="Q58" s="36"/>
      <x:c r="R58" s="36"/>
      <x:c r="S58" s="38"/>
      <x:c r="T58" s="38"/>
      <x:c r="U58" s="63" t="str">
        <x:f>IF($A58="","",$J58*$S58)</x:f>
      </x:c>
      <x:c r="V58" s="63" t="str">
        <x:f>IF($A58="","",$J58*$T58)</x:f>
      </x:c>
      <x:c r="W58" s="63" t="str">
        <x:f>IF($A58="","",IF($D58="Pedro Américo Paletot",$J58,0))</x:f>
      </x:c>
      <x:c r="X58" s="63" t="str">
        <x:f>IF($A58="","",IF($D58="Camilly Queiroz",$J58,0))</x:f>
      </x:c>
      <x:c r="Y58" s="63" t="str">
        <x:f>IF($A58="","",$W58-$U58)</x:f>
      </x:c>
      <x:c r="Z58" s="36"/>
      <x:c r="AA58" s="36"/>
    </x:row>
    <x:row r="59">
      <x:c r="A59" s="36"/>
      <x:c r="B59" s="36"/>
      <x:c r="C59" s="59"/>
      <x:c r="D59" s="36"/>
      <x:c r="E59" s="36"/>
      <x:c r="F59" s="36"/>
      <x:c r="G59" s="36"/>
      <x:c r="H59" s="36"/>
      <x:c r="I59" s="36"/>
      <x:c r="J59" s="37"/>
      <x:c r="K59" s="36"/>
      <x:c r="L59" s="36"/>
      <x:c r="M59" s="36"/>
      <x:c r="N59" s="36"/>
      <x:c r="O59" s="36"/>
      <x:c r="P59" s="63" t="str">
        <x:f>IF($A59="","",IF($M59="Sim",IFERROR($J59/MAX($N59,1),$J59),$J59))</x:f>
      </x:c>
      <x:c r="Q59" s="36"/>
      <x:c r="R59" s="36"/>
      <x:c r="S59" s="38"/>
      <x:c r="T59" s="38"/>
      <x:c r="U59" s="63" t="str">
        <x:f>IF($A59="","",$J59*$S59)</x:f>
      </x:c>
      <x:c r="V59" s="63" t="str">
        <x:f>IF($A59="","",$J59*$T59)</x:f>
      </x:c>
      <x:c r="W59" s="63" t="str">
        <x:f>IF($A59="","",IF($D59="Pedro Américo Paletot",$J59,0))</x:f>
      </x:c>
      <x:c r="X59" s="63" t="str">
        <x:f>IF($A59="","",IF($D59="Camilly Queiroz",$J59,0))</x:f>
      </x:c>
      <x:c r="Y59" s="63" t="str">
        <x:f>IF($A59="","",$W59-$U59)</x:f>
      </x:c>
      <x:c r="Z59" s="36"/>
      <x:c r="AA59" s="36"/>
    </x:row>
    <x:row r="60">
      <x:c r="A60" s="36"/>
      <x:c r="B60" s="36"/>
      <x:c r="C60" s="59"/>
      <x:c r="D60" s="36"/>
      <x:c r="E60" s="36"/>
      <x:c r="F60" s="36"/>
      <x:c r="G60" s="36"/>
      <x:c r="H60" s="36"/>
      <x:c r="I60" s="36"/>
      <x:c r="J60" s="37"/>
      <x:c r="K60" s="36"/>
      <x:c r="L60" s="36"/>
      <x:c r="M60" s="36"/>
      <x:c r="N60" s="36"/>
      <x:c r="O60" s="36"/>
      <x:c r="P60" s="63" t="str">
        <x:f>IF($A60="","",IF($M60="Sim",IFERROR($J60/MAX($N60,1),$J60),$J60))</x:f>
      </x:c>
      <x:c r="Q60" s="36"/>
      <x:c r="R60" s="36"/>
      <x:c r="S60" s="38"/>
      <x:c r="T60" s="38"/>
      <x:c r="U60" s="63" t="str">
        <x:f>IF($A60="","",$J60*$S60)</x:f>
      </x:c>
      <x:c r="V60" s="63" t="str">
        <x:f>IF($A60="","",$J60*$T60)</x:f>
      </x:c>
      <x:c r="W60" s="63" t="str">
        <x:f>IF($A60="","",IF($D60="Pedro Américo Paletot",$J60,0))</x:f>
      </x:c>
      <x:c r="X60" s="63" t="str">
        <x:f>IF($A60="","",IF($D60="Camilly Queiroz",$J60,0))</x:f>
      </x:c>
      <x:c r="Y60" s="63" t="str">
        <x:f>IF($A60="","",$W60-$U60)</x:f>
      </x:c>
      <x:c r="Z60" s="36"/>
      <x:c r="AA60" s="36"/>
    </x:row>
    <x:row r="61">
      <x:c r="A61" s="36"/>
      <x:c r="B61" s="36"/>
      <x:c r="C61" s="59"/>
      <x:c r="D61" s="36"/>
      <x:c r="E61" s="36"/>
      <x:c r="F61" s="36"/>
      <x:c r="G61" s="36"/>
      <x:c r="H61" s="36"/>
      <x:c r="I61" s="36"/>
      <x:c r="J61" s="37"/>
      <x:c r="K61" s="36"/>
      <x:c r="L61" s="36"/>
      <x:c r="M61" s="36"/>
      <x:c r="N61" s="36"/>
      <x:c r="O61" s="36"/>
      <x:c r="P61" s="63" t="str">
        <x:f>IF($A61="","",IF($M61="Sim",IFERROR($J61/MAX($N61,1),$J61),$J61))</x:f>
      </x:c>
      <x:c r="Q61" s="36"/>
      <x:c r="R61" s="36"/>
      <x:c r="S61" s="38"/>
      <x:c r="T61" s="38"/>
      <x:c r="U61" s="63" t="str">
        <x:f>IF($A61="","",$J61*$S61)</x:f>
      </x:c>
      <x:c r="V61" s="63" t="str">
        <x:f>IF($A61="","",$J61*$T61)</x:f>
      </x:c>
      <x:c r="W61" s="63" t="str">
        <x:f>IF($A61="","",IF($D61="Pedro Américo Paletot",$J61,0))</x:f>
      </x:c>
      <x:c r="X61" s="63" t="str">
        <x:f>IF($A61="","",IF($D61="Camilly Queiroz",$J61,0))</x:f>
      </x:c>
      <x:c r="Y61" s="63" t="str">
        <x:f>IF($A61="","",$W61-$U61)</x:f>
      </x:c>
      <x:c r="Z61" s="36"/>
      <x:c r="AA61" s="36"/>
    </x:row>
    <x:row r="62">
      <x:c r="A62" s="36"/>
      <x:c r="B62" s="36"/>
      <x:c r="C62" s="59"/>
      <x:c r="D62" s="36"/>
      <x:c r="E62" s="36"/>
      <x:c r="F62" s="36"/>
      <x:c r="G62" s="36"/>
      <x:c r="H62" s="36"/>
      <x:c r="I62" s="36"/>
      <x:c r="J62" s="37"/>
      <x:c r="K62" s="36"/>
      <x:c r="L62" s="36"/>
      <x:c r="M62" s="36"/>
      <x:c r="N62" s="36"/>
      <x:c r="O62" s="36"/>
      <x:c r="P62" s="63" t="str">
        <x:f>IF($A62="","",IF($M62="Sim",IFERROR($J62/MAX($N62,1),$J62),$J62))</x:f>
      </x:c>
      <x:c r="Q62" s="36"/>
      <x:c r="R62" s="36"/>
      <x:c r="S62" s="38"/>
      <x:c r="T62" s="38"/>
      <x:c r="U62" s="63" t="str">
        <x:f>IF($A62="","",$J62*$S62)</x:f>
      </x:c>
      <x:c r="V62" s="63" t="str">
        <x:f>IF($A62="","",$J62*$T62)</x:f>
      </x:c>
      <x:c r="W62" s="63" t="str">
        <x:f>IF($A62="","",IF($D62="Pedro Américo Paletot",$J62,0))</x:f>
      </x:c>
      <x:c r="X62" s="63" t="str">
        <x:f>IF($A62="","",IF($D62="Camilly Queiroz",$J62,0))</x:f>
      </x:c>
      <x:c r="Y62" s="63" t="str">
        <x:f>IF($A62="","",$W62-$U62)</x:f>
      </x:c>
      <x:c r="Z62" s="36"/>
      <x:c r="AA62" s="36"/>
    </x:row>
    <x:row r="63">
      <x:c r="A63" s="36"/>
      <x:c r="B63" s="36"/>
      <x:c r="C63" s="59"/>
      <x:c r="D63" s="36"/>
      <x:c r="E63" s="36"/>
      <x:c r="F63" s="36"/>
      <x:c r="G63" s="36"/>
      <x:c r="H63" s="36"/>
      <x:c r="I63" s="36"/>
      <x:c r="J63" s="37"/>
      <x:c r="K63" s="36"/>
      <x:c r="L63" s="36"/>
      <x:c r="M63" s="36"/>
      <x:c r="N63" s="36"/>
      <x:c r="O63" s="36"/>
      <x:c r="P63" s="63" t="str">
        <x:f>IF($A63="","",IF($M63="Sim",IFERROR($J63/MAX($N63,1),$J63),$J63))</x:f>
      </x:c>
      <x:c r="Q63" s="36"/>
      <x:c r="R63" s="36"/>
      <x:c r="S63" s="38"/>
      <x:c r="T63" s="38"/>
      <x:c r="U63" s="63" t="str">
        <x:f>IF($A63="","",$J63*$S63)</x:f>
      </x:c>
      <x:c r="V63" s="63" t="str">
        <x:f>IF($A63="","",$J63*$T63)</x:f>
      </x:c>
      <x:c r="W63" s="63" t="str">
        <x:f>IF($A63="","",IF($D63="Pedro Américo Paletot",$J63,0))</x:f>
      </x:c>
      <x:c r="X63" s="63" t="str">
        <x:f>IF($A63="","",IF($D63="Camilly Queiroz",$J63,0))</x:f>
      </x:c>
      <x:c r="Y63" s="63" t="str">
        <x:f>IF($A63="","",$W63-$U63)</x:f>
      </x:c>
      <x:c r="Z63" s="36"/>
      <x:c r="AA63" s="36"/>
    </x:row>
    <x:row r="64">
      <x:c r="A64" s="36"/>
      <x:c r="B64" s="36"/>
      <x:c r="C64" s="59"/>
      <x:c r="D64" s="36"/>
      <x:c r="E64" s="36"/>
      <x:c r="F64" s="36"/>
      <x:c r="G64" s="36"/>
      <x:c r="H64" s="36"/>
      <x:c r="I64" s="36"/>
      <x:c r="J64" s="37"/>
      <x:c r="K64" s="36"/>
      <x:c r="L64" s="36"/>
      <x:c r="M64" s="36"/>
      <x:c r="N64" s="36"/>
      <x:c r="O64" s="36"/>
      <x:c r="P64" s="63" t="str">
        <x:f>IF($A64="","",IF($M64="Sim",IFERROR($J64/MAX($N64,1),$J64),$J64))</x:f>
      </x:c>
      <x:c r="Q64" s="36"/>
      <x:c r="R64" s="36"/>
      <x:c r="S64" s="38"/>
      <x:c r="T64" s="38"/>
      <x:c r="U64" s="63" t="str">
        <x:f>IF($A64="","",$J64*$S64)</x:f>
      </x:c>
      <x:c r="V64" s="63" t="str">
        <x:f>IF($A64="","",$J64*$T64)</x:f>
      </x:c>
      <x:c r="W64" s="63" t="str">
        <x:f>IF($A64="","",IF($D64="Pedro Américo Paletot",$J64,0))</x:f>
      </x:c>
      <x:c r="X64" s="63" t="str">
        <x:f>IF($A64="","",IF($D64="Camilly Queiroz",$J64,0))</x:f>
      </x:c>
      <x:c r="Y64" s="63" t="str">
        <x:f>IF($A64="","",$W64-$U64)</x:f>
      </x:c>
      <x:c r="Z64" s="36"/>
      <x:c r="AA64" s="36"/>
    </x:row>
    <x:row r="65">
      <x:c r="A65" s="36"/>
      <x:c r="B65" s="36"/>
      <x:c r="C65" s="59"/>
      <x:c r="D65" s="36"/>
      <x:c r="E65" s="36"/>
      <x:c r="F65" s="36"/>
      <x:c r="G65" s="36"/>
      <x:c r="H65" s="36"/>
      <x:c r="I65" s="36"/>
      <x:c r="J65" s="37"/>
      <x:c r="K65" s="36"/>
      <x:c r="L65" s="36"/>
      <x:c r="M65" s="36"/>
      <x:c r="N65" s="36"/>
      <x:c r="O65" s="36"/>
      <x:c r="P65" s="63" t="str">
        <x:f>IF($A65="","",IF($M65="Sim",IFERROR($J65/MAX($N65,1),$J65),$J65))</x:f>
      </x:c>
      <x:c r="Q65" s="36"/>
      <x:c r="R65" s="36"/>
      <x:c r="S65" s="38"/>
      <x:c r="T65" s="38"/>
      <x:c r="U65" s="63" t="str">
        <x:f>IF($A65="","",$J65*$S65)</x:f>
      </x:c>
      <x:c r="V65" s="63" t="str">
        <x:f>IF($A65="","",$J65*$T65)</x:f>
      </x:c>
      <x:c r="W65" s="63" t="str">
        <x:f>IF($A65="","",IF($D65="Pedro Américo Paletot",$J65,0))</x:f>
      </x:c>
      <x:c r="X65" s="63" t="str">
        <x:f>IF($A65="","",IF($D65="Camilly Queiroz",$J65,0))</x:f>
      </x:c>
      <x:c r="Y65" s="63" t="str">
        <x:f>IF($A65="","",$W65-$U65)</x:f>
      </x:c>
      <x:c r="Z65" s="36"/>
      <x:c r="AA65" s="36"/>
    </x:row>
    <x:row r="66">
      <x:c r="A66" s="36"/>
      <x:c r="B66" s="36"/>
      <x:c r="C66" s="59"/>
      <x:c r="D66" s="36"/>
      <x:c r="E66" s="36"/>
      <x:c r="F66" s="36"/>
      <x:c r="G66" s="36"/>
      <x:c r="H66" s="36"/>
      <x:c r="I66" s="36"/>
      <x:c r="J66" s="37"/>
      <x:c r="K66" s="36"/>
      <x:c r="L66" s="36"/>
      <x:c r="M66" s="36"/>
      <x:c r="N66" s="36"/>
      <x:c r="O66" s="36"/>
      <x:c r="P66" s="63" t="str">
        <x:f>IF($A66="","",IF($M66="Sim",IFERROR($J66/MAX($N66,1),$J66),$J66))</x:f>
      </x:c>
      <x:c r="Q66" s="36"/>
      <x:c r="R66" s="36"/>
      <x:c r="S66" s="38"/>
      <x:c r="T66" s="38"/>
      <x:c r="U66" s="63" t="str">
        <x:f>IF($A66="","",$J66*$S66)</x:f>
      </x:c>
      <x:c r="V66" s="63" t="str">
        <x:f>IF($A66="","",$J66*$T66)</x:f>
      </x:c>
      <x:c r="W66" s="63" t="str">
        <x:f>IF($A66="","",IF($D66="Pedro Américo Paletot",$J66,0))</x:f>
      </x:c>
      <x:c r="X66" s="63" t="str">
        <x:f>IF($A66="","",IF($D66="Camilly Queiroz",$J66,0))</x:f>
      </x:c>
      <x:c r="Y66" s="63" t="str">
        <x:f>IF($A66="","",$W66-$U66)</x:f>
      </x:c>
      <x:c r="Z66" s="36"/>
      <x:c r="AA66" s="36"/>
    </x:row>
    <x:row r="67">
      <x:c r="A67" s="36"/>
      <x:c r="B67" s="36"/>
      <x:c r="C67" s="59"/>
      <x:c r="D67" s="36"/>
      <x:c r="E67" s="36"/>
      <x:c r="F67" s="36"/>
      <x:c r="G67" s="36"/>
      <x:c r="H67" s="36"/>
      <x:c r="I67" s="36"/>
      <x:c r="J67" s="37"/>
      <x:c r="K67" s="36"/>
      <x:c r="L67" s="36"/>
      <x:c r="M67" s="36"/>
      <x:c r="N67" s="36"/>
      <x:c r="O67" s="36"/>
      <x:c r="P67" s="63" t="str">
        <x:f>IF($A67="","",IF($M67="Sim",IFERROR($J67/MAX($N67,1),$J67),$J67))</x:f>
      </x:c>
      <x:c r="Q67" s="36"/>
      <x:c r="R67" s="36"/>
      <x:c r="S67" s="38"/>
      <x:c r="T67" s="38"/>
      <x:c r="U67" s="63" t="str">
        <x:f>IF($A67="","",$J67*$S67)</x:f>
      </x:c>
      <x:c r="V67" s="63" t="str">
        <x:f>IF($A67="","",$J67*$T67)</x:f>
      </x:c>
      <x:c r="W67" s="63" t="str">
        <x:f>IF($A67="","",IF($D67="Pedro Américo Paletot",$J67,0))</x:f>
      </x:c>
      <x:c r="X67" s="63" t="str">
        <x:f>IF($A67="","",IF($D67="Camilly Queiroz",$J67,0))</x:f>
      </x:c>
      <x:c r="Y67" s="63" t="str">
        <x:f>IF($A67="","",$W67-$U67)</x:f>
      </x:c>
      <x:c r="Z67" s="36"/>
      <x:c r="AA67" s="36"/>
    </x:row>
    <x:row r="68">
      <x:c r="A68" s="36"/>
      <x:c r="B68" s="36"/>
      <x:c r="C68" s="59"/>
      <x:c r="D68" s="36"/>
      <x:c r="E68" s="36"/>
      <x:c r="F68" s="36"/>
      <x:c r="G68" s="36"/>
      <x:c r="H68" s="36"/>
      <x:c r="I68" s="36"/>
      <x:c r="J68" s="37"/>
      <x:c r="K68" s="36"/>
      <x:c r="L68" s="36"/>
      <x:c r="M68" s="36"/>
      <x:c r="N68" s="36"/>
      <x:c r="O68" s="36"/>
      <x:c r="P68" s="63" t="str">
        <x:f>IF($A68="","",IF($M68="Sim",IFERROR($J68/MAX($N68,1),$J68),$J68))</x:f>
      </x:c>
      <x:c r="Q68" s="36"/>
      <x:c r="R68" s="36"/>
      <x:c r="S68" s="38"/>
      <x:c r="T68" s="38"/>
      <x:c r="U68" s="63" t="str">
        <x:f>IF($A68="","",$J68*$S68)</x:f>
      </x:c>
      <x:c r="V68" s="63" t="str">
        <x:f>IF($A68="","",$J68*$T68)</x:f>
      </x:c>
      <x:c r="W68" s="63" t="str">
        <x:f>IF($A68="","",IF($D68="Pedro Américo Paletot",$J68,0))</x:f>
      </x:c>
      <x:c r="X68" s="63" t="str">
        <x:f>IF($A68="","",IF($D68="Camilly Queiroz",$J68,0))</x:f>
      </x:c>
      <x:c r="Y68" s="63" t="str">
        <x:f>IF($A68="","",$W68-$U68)</x:f>
      </x:c>
      <x:c r="Z68" s="36"/>
      <x:c r="AA68" s="36"/>
    </x:row>
    <x:row r="69">
      <x:c r="A69" s="36"/>
      <x:c r="B69" s="36"/>
      <x:c r="C69" s="59"/>
      <x:c r="D69" s="36"/>
      <x:c r="E69" s="36"/>
      <x:c r="F69" s="36"/>
      <x:c r="G69" s="36"/>
      <x:c r="H69" s="36"/>
      <x:c r="I69" s="36"/>
      <x:c r="J69" s="37"/>
      <x:c r="K69" s="36"/>
      <x:c r="L69" s="36"/>
      <x:c r="M69" s="36"/>
      <x:c r="N69" s="36"/>
      <x:c r="O69" s="36"/>
      <x:c r="P69" s="63" t="str">
        <x:f>IF($A69="","",IF($M69="Sim",IFERROR($J69/MAX($N69,1),$J69),$J69))</x:f>
      </x:c>
      <x:c r="Q69" s="36"/>
      <x:c r="R69" s="36"/>
      <x:c r="S69" s="38"/>
      <x:c r="T69" s="38"/>
      <x:c r="U69" s="63" t="str">
        <x:f>IF($A69="","",$J69*$S69)</x:f>
      </x:c>
      <x:c r="V69" s="63" t="str">
        <x:f>IF($A69="","",$J69*$T69)</x:f>
      </x:c>
      <x:c r="W69" s="63" t="str">
        <x:f>IF($A69="","",IF($D69="Pedro Américo Paletot",$J69,0))</x:f>
      </x:c>
      <x:c r="X69" s="63" t="str">
        <x:f>IF($A69="","",IF($D69="Camilly Queiroz",$J69,0))</x:f>
      </x:c>
      <x:c r="Y69" s="63" t="str">
        <x:f>IF($A69="","",$W69-$U69)</x:f>
      </x:c>
      <x:c r="Z69" s="36"/>
      <x:c r="AA69" s="36"/>
    </x:row>
    <x:row r="70">
      <x:c r="A70" s="36"/>
      <x:c r="B70" s="36"/>
      <x:c r="C70" s="59"/>
      <x:c r="D70" s="36"/>
      <x:c r="E70" s="36"/>
      <x:c r="F70" s="36"/>
      <x:c r="G70" s="36"/>
      <x:c r="H70" s="36"/>
      <x:c r="I70" s="36"/>
      <x:c r="J70" s="37"/>
      <x:c r="K70" s="36"/>
      <x:c r="L70" s="36"/>
      <x:c r="M70" s="36"/>
      <x:c r="N70" s="36"/>
      <x:c r="O70" s="36"/>
      <x:c r="P70" s="63" t="str">
        <x:f>IF($A70="","",IF($M70="Sim",IFERROR($J70/MAX($N70,1),$J70),$J70))</x:f>
      </x:c>
      <x:c r="Q70" s="36"/>
      <x:c r="R70" s="36"/>
      <x:c r="S70" s="38"/>
      <x:c r="T70" s="38"/>
      <x:c r="U70" s="63" t="str">
        <x:f>IF($A70="","",$J70*$S70)</x:f>
      </x:c>
      <x:c r="V70" s="63" t="str">
        <x:f>IF($A70="","",$J70*$T70)</x:f>
      </x:c>
      <x:c r="W70" s="63" t="str">
        <x:f>IF($A70="","",IF($D70="Pedro Américo Paletot",$J70,0))</x:f>
      </x:c>
      <x:c r="X70" s="63" t="str">
        <x:f>IF($A70="","",IF($D70="Camilly Queiroz",$J70,0))</x:f>
      </x:c>
      <x:c r="Y70" s="63" t="str">
        <x:f>IF($A70="","",$W70-$U70)</x:f>
      </x:c>
      <x:c r="Z70" s="36"/>
      <x:c r="AA70" s="36"/>
    </x:row>
    <x:row r="71">
      <x:c r="A71" s="36"/>
      <x:c r="B71" s="36"/>
      <x:c r="C71" s="59"/>
      <x:c r="D71" s="36"/>
      <x:c r="E71" s="36"/>
      <x:c r="F71" s="36"/>
      <x:c r="G71" s="36"/>
      <x:c r="H71" s="36"/>
      <x:c r="I71" s="36"/>
      <x:c r="J71" s="37"/>
      <x:c r="K71" s="36"/>
      <x:c r="L71" s="36"/>
      <x:c r="M71" s="36"/>
      <x:c r="N71" s="36"/>
      <x:c r="O71" s="36"/>
      <x:c r="P71" s="63" t="str">
        <x:f>IF($A71="","",IF($M71="Sim",IFERROR($J71/MAX($N71,1),$J71),$J71))</x:f>
      </x:c>
      <x:c r="Q71" s="36"/>
      <x:c r="R71" s="36"/>
      <x:c r="S71" s="38"/>
      <x:c r="T71" s="38"/>
      <x:c r="U71" s="63" t="str">
        <x:f>IF($A71="","",$J71*$S71)</x:f>
      </x:c>
      <x:c r="V71" s="63" t="str">
        <x:f>IF($A71="","",$J71*$T71)</x:f>
      </x:c>
      <x:c r="W71" s="63" t="str">
        <x:f>IF($A71="","",IF($D71="Pedro Américo Paletot",$J71,0))</x:f>
      </x:c>
      <x:c r="X71" s="63" t="str">
        <x:f>IF($A71="","",IF($D71="Camilly Queiroz",$J71,0))</x:f>
      </x:c>
      <x:c r="Y71" s="63" t="str">
        <x:f>IF($A71="","",$W71-$U71)</x:f>
      </x:c>
      <x:c r="Z71" s="36"/>
      <x:c r="AA71" s="36"/>
    </x:row>
    <x:row r="72">
      <x:c r="A72" s="36"/>
      <x:c r="B72" s="36"/>
      <x:c r="C72" s="59"/>
      <x:c r="D72" s="36"/>
      <x:c r="E72" s="36"/>
      <x:c r="F72" s="36"/>
      <x:c r="G72" s="36"/>
      <x:c r="H72" s="36"/>
      <x:c r="I72" s="36"/>
      <x:c r="J72" s="37"/>
      <x:c r="K72" s="36"/>
      <x:c r="L72" s="36"/>
      <x:c r="M72" s="36"/>
      <x:c r="N72" s="36"/>
      <x:c r="O72" s="36"/>
      <x:c r="P72" s="63" t="str">
        <x:f>IF($A72="","",IF($M72="Sim",IFERROR($J72/MAX($N72,1),$J72),$J72))</x:f>
      </x:c>
      <x:c r="Q72" s="36"/>
      <x:c r="R72" s="36"/>
      <x:c r="S72" s="38"/>
      <x:c r="T72" s="38"/>
      <x:c r="U72" s="63" t="str">
        <x:f>IF($A72="","",$J72*$S72)</x:f>
      </x:c>
      <x:c r="V72" s="63" t="str">
        <x:f>IF($A72="","",$J72*$T72)</x:f>
      </x:c>
      <x:c r="W72" s="63" t="str">
        <x:f>IF($A72="","",IF($D72="Pedro Américo Paletot",$J72,0))</x:f>
      </x:c>
      <x:c r="X72" s="63" t="str">
        <x:f>IF($A72="","",IF($D72="Camilly Queiroz",$J72,0))</x:f>
      </x:c>
      <x:c r="Y72" s="63" t="str">
        <x:f>IF($A72="","",$W72-$U72)</x:f>
      </x:c>
      <x:c r="Z72" s="36"/>
      <x:c r="AA72" s="36"/>
    </x:row>
    <x:row r="73">
      <x:c r="A73" s="36"/>
      <x:c r="B73" s="36"/>
      <x:c r="C73" s="59"/>
      <x:c r="D73" s="36"/>
      <x:c r="E73" s="36"/>
      <x:c r="F73" s="36"/>
      <x:c r="G73" s="36"/>
      <x:c r="H73" s="36"/>
      <x:c r="I73" s="36"/>
      <x:c r="J73" s="37"/>
      <x:c r="K73" s="36"/>
      <x:c r="L73" s="36"/>
      <x:c r="M73" s="36"/>
      <x:c r="N73" s="36"/>
      <x:c r="O73" s="36"/>
      <x:c r="P73" s="63" t="str">
        <x:f>IF($A73="","",IF($M73="Sim",IFERROR($J73/MAX($N73,1),$J73),$J73))</x:f>
      </x:c>
      <x:c r="Q73" s="36"/>
      <x:c r="R73" s="36"/>
      <x:c r="S73" s="38"/>
      <x:c r="T73" s="38"/>
      <x:c r="U73" s="63" t="str">
        <x:f>IF($A73="","",$J73*$S73)</x:f>
      </x:c>
      <x:c r="V73" s="63" t="str">
        <x:f>IF($A73="","",$J73*$T73)</x:f>
      </x:c>
      <x:c r="W73" s="63" t="str">
        <x:f>IF($A73="","",IF($D73="Pedro Américo Paletot",$J73,0))</x:f>
      </x:c>
      <x:c r="X73" s="63" t="str">
        <x:f>IF($A73="","",IF($D73="Camilly Queiroz",$J73,0))</x:f>
      </x:c>
      <x:c r="Y73" s="63" t="str">
        <x:f>IF($A73="","",$W73-$U73)</x:f>
      </x:c>
      <x:c r="Z73" s="36"/>
      <x:c r="AA73" s="36"/>
    </x:row>
    <x:row r="74">
      <x:c r="A74" s="36"/>
      <x:c r="B74" s="36"/>
      <x:c r="C74" s="59"/>
      <x:c r="D74" s="36"/>
      <x:c r="E74" s="36"/>
      <x:c r="F74" s="36"/>
      <x:c r="G74" s="36"/>
      <x:c r="H74" s="36"/>
      <x:c r="I74" s="36"/>
      <x:c r="J74" s="37"/>
      <x:c r="K74" s="36"/>
      <x:c r="L74" s="36"/>
      <x:c r="M74" s="36"/>
      <x:c r="N74" s="36"/>
      <x:c r="O74" s="36"/>
      <x:c r="P74" s="63" t="str">
        <x:f>IF($A74="","",IF($M74="Sim",IFERROR($J74/MAX($N74,1),$J74),$J74))</x:f>
      </x:c>
      <x:c r="Q74" s="36"/>
      <x:c r="R74" s="36"/>
      <x:c r="S74" s="38"/>
      <x:c r="T74" s="38"/>
      <x:c r="U74" s="63" t="str">
        <x:f>IF($A74="","",$J74*$S74)</x:f>
      </x:c>
      <x:c r="V74" s="63" t="str">
        <x:f>IF($A74="","",$J74*$T74)</x:f>
      </x:c>
      <x:c r="W74" s="63" t="str">
        <x:f>IF($A74="","",IF($D74="Pedro Américo Paletot",$J74,0))</x:f>
      </x:c>
      <x:c r="X74" s="63" t="str">
        <x:f>IF($A74="","",IF($D74="Camilly Queiroz",$J74,0))</x:f>
      </x:c>
      <x:c r="Y74" s="63" t="str">
        <x:f>IF($A74="","",$W74-$U74)</x:f>
      </x:c>
      <x:c r="Z74" s="36"/>
      <x:c r="AA74" s="36"/>
    </x:row>
    <x:row r="75">
      <x:c r="A75" s="36"/>
      <x:c r="B75" s="36"/>
      <x:c r="C75" s="59"/>
      <x:c r="D75" s="36"/>
      <x:c r="E75" s="36"/>
      <x:c r="F75" s="36"/>
      <x:c r="G75" s="36"/>
      <x:c r="H75" s="36"/>
      <x:c r="I75" s="36"/>
      <x:c r="J75" s="37"/>
      <x:c r="K75" s="36"/>
      <x:c r="L75" s="36"/>
      <x:c r="M75" s="36"/>
      <x:c r="N75" s="36"/>
      <x:c r="O75" s="36"/>
      <x:c r="P75" s="63" t="str">
        <x:f>IF($A75="","",IF($M75="Sim",IFERROR($J75/MAX($N75,1),$J75),$J75))</x:f>
      </x:c>
      <x:c r="Q75" s="36"/>
      <x:c r="R75" s="36"/>
      <x:c r="S75" s="38"/>
      <x:c r="T75" s="38"/>
      <x:c r="U75" s="63" t="str">
        <x:f>IF($A75="","",$J75*$S75)</x:f>
      </x:c>
      <x:c r="V75" s="63" t="str">
        <x:f>IF($A75="","",$J75*$T75)</x:f>
      </x:c>
      <x:c r="W75" s="63" t="str">
        <x:f>IF($A75="","",IF($D75="Pedro Américo Paletot",$J75,0))</x:f>
      </x:c>
      <x:c r="X75" s="63" t="str">
        <x:f>IF($A75="","",IF($D75="Camilly Queiroz",$J75,0))</x:f>
      </x:c>
      <x:c r="Y75" s="63" t="str">
        <x:f>IF($A75="","",$W75-$U75)</x:f>
      </x:c>
      <x:c r="Z75" s="36"/>
      <x:c r="AA75" s="36"/>
    </x:row>
    <x:row r="76">
      <x:c r="A76" s="36"/>
      <x:c r="B76" s="36"/>
      <x:c r="C76" s="59"/>
      <x:c r="D76" s="36"/>
      <x:c r="E76" s="36"/>
      <x:c r="F76" s="36"/>
      <x:c r="G76" s="36"/>
      <x:c r="H76" s="36"/>
      <x:c r="I76" s="36"/>
      <x:c r="J76" s="37"/>
      <x:c r="K76" s="36"/>
      <x:c r="L76" s="36"/>
      <x:c r="M76" s="36"/>
      <x:c r="N76" s="36"/>
      <x:c r="O76" s="36"/>
      <x:c r="P76" s="63" t="str">
        <x:f>IF($A76="","",IF($M76="Sim",IFERROR($J76/MAX($N76,1),$J76),$J76))</x:f>
      </x:c>
      <x:c r="Q76" s="36"/>
      <x:c r="R76" s="36"/>
      <x:c r="S76" s="38"/>
      <x:c r="T76" s="38"/>
      <x:c r="U76" s="63" t="str">
        <x:f>IF($A76="","",$J76*$S76)</x:f>
      </x:c>
      <x:c r="V76" s="63" t="str">
        <x:f>IF($A76="","",$J76*$T76)</x:f>
      </x:c>
      <x:c r="W76" s="63" t="str">
        <x:f>IF($A76="","",IF($D76="Pedro Américo Paletot",$J76,0))</x:f>
      </x:c>
      <x:c r="X76" s="63" t="str">
        <x:f>IF($A76="","",IF($D76="Camilly Queiroz",$J76,0))</x:f>
      </x:c>
      <x:c r="Y76" s="63" t="str">
        <x:f>IF($A76="","",$W76-$U76)</x:f>
      </x:c>
      <x:c r="Z76" s="36"/>
      <x:c r="AA76" s="36"/>
    </x:row>
    <x:row r="77">
      <x:c r="A77" s="36"/>
      <x:c r="B77" s="36"/>
      <x:c r="C77" s="59"/>
      <x:c r="D77" s="36"/>
      <x:c r="E77" s="36"/>
      <x:c r="F77" s="36"/>
      <x:c r="G77" s="36"/>
      <x:c r="H77" s="36"/>
      <x:c r="I77" s="36"/>
      <x:c r="J77" s="37"/>
      <x:c r="K77" s="36"/>
      <x:c r="L77" s="36"/>
      <x:c r="M77" s="36"/>
      <x:c r="N77" s="36"/>
      <x:c r="O77" s="36"/>
      <x:c r="P77" s="63" t="str">
        <x:f>IF($A77="","",IF($M77="Sim",IFERROR($J77/MAX($N77,1),$J77),$J77))</x:f>
      </x:c>
      <x:c r="Q77" s="36"/>
      <x:c r="R77" s="36"/>
      <x:c r="S77" s="38"/>
      <x:c r="T77" s="38"/>
      <x:c r="U77" s="63" t="str">
        <x:f>IF($A77="","",$J77*$S77)</x:f>
      </x:c>
      <x:c r="V77" s="63" t="str">
        <x:f>IF($A77="","",$J77*$T77)</x:f>
      </x:c>
      <x:c r="W77" s="63" t="str">
        <x:f>IF($A77="","",IF($D77="Pedro Américo Paletot",$J77,0))</x:f>
      </x:c>
      <x:c r="X77" s="63" t="str">
        <x:f>IF($A77="","",IF($D77="Camilly Queiroz",$J77,0))</x:f>
      </x:c>
      <x:c r="Y77" s="63" t="str">
        <x:f>IF($A77="","",$W77-$U77)</x:f>
      </x:c>
      <x:c r="Z77" s="36"/>
      <x:c r="AA77" s="36"/>
    </x:row>
    <x:row r="78">
      <x:c r="A78" s="36"/>
      <x:c r="B78" s="36"/>
      <x:c r="C78" s="59"/>
      <x:c r="D78" s="36"/>
      <x:c r="E78" s="36"/>
      <x:c r="F78" s="36"/>
      <x:c r="G78" s="36"/>
      <x:c r="H78" s="36"/>
      <x:c r="I78" s="36"/>
      <x:c r="J78" s="37"/>
      <x:c r="K78" s="36"/>
      <x:c r="L78" s="36"/>
      <x:c r="M78" s="36"/>
      <x:c r="N78" s="36"/>
      <x:c r="O78" s="36"/>
      <x:c r="P78" s="63" t="str">
        <x:f>IF($A78="","",IF($M78="Sim",IFERROR($J78/MAX($N78,1),$J78),$J78))</x:f>
      </x:c>
      <x:c r="Q78" s="36"/>
      <x:c r="R78" s="36"/>
      <x:c r="S78" s="38"/>
      <x:c r="T78" s="38"/>
      <x:c r="U78" s="63" t="str">
        <x:f>IF($A78="","",$J78*$S78)</x:f>
      </x:c>
      <x:c r="V78" s="63" t="str">
        <x:f>IF($A78="","",$J78*$T78)</x:f>
      </x:c>
      <x:c r="W78" s="63" t="str">
        <x:f>IF($A78="","",IF($D78="Pedro Américo Paletot",$J78,0))</x:f>
      </x:c>
      <x:c r="X78" s="63" t="str">
        <x:f>IF($A78="","",IF($D78="Camilly Queiroz",$J78,0))</x:f>
      </x:c>
      <x:c r="Y78" s="63" t="str">
        <x:f>IF($A78="","",$W78-$U78)</x:f>
      </x:c>
      <x:c r="Z78" s="36"/>
      <x:c r="AA78" s="36"/>
    </x:row>
    <x:row r="79">
      <x:c r="A79" s="36"/>
      <x:c r="B79" s="36"/>
      <x:c r="C79" s="59"/>
      <x:c r="D79" s="36"/>
      <x:c r="E79" s="36"/>
      <x:c r="F79" s="36"/>
      <x:c r="G79" s="36"/>
      <x:c r="H79" s="36"/>
      <x:c r="I79" s="36"/>
      <x:c r="J79" s="37"/>
      <x:c r="K79" s="36"/>
      <x:c r="L79" s="36"/>
      <x:c r="M79" s="36"/>
      <x:c r="N79" s="36"/>
      <x:c r="O79" s="36"/>
      <x:c r="P79" s="63" t="str">
        <x:f>IF($A79="","",IF($M79="Sim",IFERROR($J79/MAX($N79,1),$J79),$J79))</x:f>
      </x:c>
      <x:c r="Q79" s="36"/>
      <x:c r="R79" s="36"/>
      <x:c r="S79" s="38"/>
      <x:c r="T79" s="38"/>
      <x:c r="U79" s="63" t="str">
        <x:f>IF($A79="","",$J79*$S79)</x:f>
      </x:c>
      <x:c r="V79" s="63" t="str">
        <x:f>IF($A79="","",$J79*$T79)</x:f>
      </x:c>
      <x:c r="W79" s="63" t="str">
        <x:f>IF($A79="","",IF($D79="Pedro Américo Paletot",$J79,0))</x:f>
      </x:c>
      <x:c r="X79" s="63" t="str">
        <x:f>IF($A79="","",IF($D79="Camilly Queiroz",$J79,0))</x:f>
      </x:c>
      <x:c r="Y79" s="63" t="str">
        <x:f>IF($A79="","",$W79-$U79)</x:f>
      </x:c>
      <x:c r="Z79" s="36"/>
      <x:c r="AA79" s="36"/>
    </x:row>
    <x:row r="80">
      <x:c r="A80" s="36"/>
      <x:c r="B80" s="36"/>
      <x:c r="C80" s="59"/>
      <x:c r="D80" s="36"/>
      <x:c r="E80" s="36"/>
      <x:c r="F80" s="36"/>
      <x:c r="G80" s="36"/>
      <x:c r="H80" s="36"/>
      <x:c r="I80" s="36"/>
      <x:c r="J80" s="37"/>
      <x:c r="K80" s="36"/>
      <x:c r="L80" s="36"/>
      <x:c r="M80" s="36"/>
      <x:c r="N80" s="36"/>
      <x:c r="O80" s="36"/>
      <x:c r="P80" s="63" t="str">
        <x:f>IF($A80="","",IF($M80="Sim",IFERROR($J80/MAX($N80,1),$J80),$J80))</x:f>
      </x:c>
      <x:c r="Q80" s="36"/>
      <x:c r="R80" s="36"/>
      <x:c r="S80" s="38"/>
      <x:c r="T80" s="38"/>
      <x:c r="U80" s="63" t="str">
        <x:f>IF($A80="","",$J80*$S80)</x:f>
      </x:c>
      <x:c r="V80" s="63" t="str">
        <x:f>IF($A80="","",$J80*$T80)</x:f>
      </x:c>
      <x:c r="W80" s="63" t="str">
        <x:f>IF($A80="","",IF($D80="Pedro Américo Paletot",$J80,0))</x:f>
      </x:c>
      <x:c r="X80" s="63" t="str">
        <x:f>IF($A80="","",IF($D80="Camilly Queiroz",$J80,0))</x:f>
      </x:c>
      <x:c r="Y80" s="63" t="str">
        <x:f>IF($A80="","",$W80-$U80)</x:f>
      </x:c>
      <x:c r="Z80" s="36"/>
      <x:c r="AA80" s="36"/>
    </x:row>
    <x:row r="81">
      <x:c r="A81" s="36"/>
      <x:c r="B81" s="36"/>
      <x:c r="C81" s="59"/>
      <x:c r="D81" s="36"/>
      <x:c r="E81" s="36"/>
      <x:c r="F81" s="36"/>
      <x:c r="G81" s="36"/>
      <x:c r="H81" s="36"/>
      <x:c r="I81" s="36"/>
      <x:c r="J81" s="37"/>
      <x:c r="K81" s="36"/>
      <x:c r="L81" s="36"/>
      <x:c r="M81" s="36"/>
      <x:c r="N81" s="36"/>
      <x:c r="O81" s="36"/>
      <x:c r="P81" s="63" t="str">
        <x:f>IF($A81="","",IF($M81="Sim",IFERROR($J81/MAX($N81,1),$J81),$J81))</x:f>
      </x:c>
      <x:c r="Q81" s="36"/>
      <x:c r="R81" s="36"/>
      <x:c r="S81" s="38"/>
      <x:c r="T81" s="38"/>
      <x:c r="U81" s="63" t="str">
        <x:f>IF($A81="","",$J81*$S81)</x:f>
      </x:c>
      <x:c r="V81" s="63" t="str">
        <x:f>IF($A81="","",$J81*$T81)</x:f>
      </x:c>
      <x:c r="W81" s="63" t="str">
        <x:f>IF($A81="","",IF($D81="Pedro Américo Paletot",$J81,0))</x:f>
      </x:c>
      <x:c r="X81" s="63" t="str">
        <x:f>IF($A81="","",IF($D81="Camilly Queiroz",$J81,0))</x:f>
      </x:c>
      <x:c r="Y81" s="63" t="str">
        <x:f>IF($A81="","",$W81-$U81)</x:f>
      </x:c>
      <x:c r="Z81" s="36"/>
      <x:c r="AA81" s="36"/>
    </x:row>
    <x:row r="82">
      <x:c r="A82" s="36"/>
      <x:c r="B82" s="36"/>
      <x:c r="C82" s="59"/>
      <x:c r="D82" s="36"/>
      <x:c r="E82" s="36"/>
      <x:c r="F82" s="36"/>
      <x:c r="G82" s="36"/>
      <x:c r="H82" s="36"/>
      <x:c r="I82" s="36"/>
      <x:c r="J82" s="37"/>
      <x:c r="K82" s="36"/>
      <x:c r="L82" s="36"/>
      <x:c r="M82" s="36"/>
      <x:c r="N82" s="36"/>
      <x:c r="O82" s="36"/>
      <x:c r="P82" s="63" t="str">
        <x:f>IF($A82="","",IF($M82="Sim",IFERROR($J82/MAX($N82,1),$J82),$J82))</x:f>
      </x:c>
      <x:c r="Q82" s="36"/>
      <x:c r="R82" s="36"/>
      <x:c r="S82" s="38"/>
      <x:c r="T82" s="38"/>
      <x:c r="U82" s="63" t="str">
        <x:f>IF($A82="","",$J82*$S82)</x:f>
      </x:c>
      <x:c r="V82" s="63" t="str">
        <x:f>IF($A82="","",$J82*$T82)</x:f>
      </x:c>
      <x:c r="W82" s="63" t="str">
        <x:f>IF($A82="","",IF($D82="Pedro Américo Paletot",$J82,0))</x:f>
      </x:c>
      <x:c r="X82" s="63" t="str">
        <x:f>IF($A82="","",IF($D82="Camilly Queiroz",$J82,0))</x:f>
      </x:c>
      <x:c r="Y82" s="63" t="str">
        <x:f>IF($A82="","",$W82-$U82)</x:f>
      </x:c>
      <x:c r="Z82" s="36"/>
      <x:c r="AA82" s="36"/>
    </x:row>
    <x:row r="83">
      <x:c r="A83" s="36"/>
      <x:c r="B83" s="36"/>
      <x:c r="C83" s="59"/>
      <x:c r="D83" s="36"/>
      <x:c r="E83" s="36"/>
      <x:c r="F83" s="36"/>
      <x:c r="G83" s="36"/>
      <x:c r="H83" s="36"/>
      <x:c r="I83" s="36"/>
      <x:c r="J83" s="37"/>
      <x:c r="K83" s="36"/>
      <x:c r="L83" s="36"/>
      <x:c r="M83" s="36"/>
      <x:c r="N83" s="36"/>
      <x:c r="O83" s="36"/>
      <x:c r="P83" s="63" t="str">
        <x:f>IF($A83="","",IF($M83="Sim",IFERROR($J83/MAX($N83,1),$J83),$J83))</x:f>
      </x:c>
      <x:c r="Q83" s="36"/>
      <x:c r="R83" s="36"/>
      <x:c r="S83" s="38"/>
      <x:c r="T83" s="38"/>
      <x:c r="U83" s="63" t="str">
        <x:f>IF($A83="","",$J83*$S83)</x:f>
      </x:c>
      <x:c r="V83" s="63" t="str">
        <x:f>IF($A83="","",$J83*$T83)</x:f>
      </x:c>
      <x:c r="W83" s="63" t="str">
        <x:f>IF($A83="","",IF($D83="Pedro Américo Paletot",$J83,0))</x:f>
      </x:c>
      <x:c r="X83" s="63" t="str">
        <x:f>IF($A83="","",IF($D83="Camilly Queiroz",$J83,0))</x:f>
      </x:c>
      <x:c r="Y83" s="63" t="str">
        <x:f>IF($A83="","",$W83-$U83)</x:f>
      </x:c>
      <x:c r="Z83" s="36"/>
      <x:c r="AA83" s="36"/>
    </x:row>
    <x:row r="84">
      <x:c r="A84" s="36"/>
      <x:c r="B84" s="36"/>
      <x:c r="C84" s="59"/>
      <x:c r="D84" s="36"/>
      <x:c r="E84" s="36"/>
      <x:c r="F84" s="36"/>
      <x:c r="G84" s="36"/>
      <x:c r="H84" s="36"/>
      <x:c r="I84" s="36"/>
      <x:c r="J84" s="37"/>
      <x:c r="K84" s="36"/>
      <x:c r="L84" s="36"/>
      <x:c r="M84" s="36"/>
      <x:c r="N84" s="36"/>
      <x:c r="O84" s="36"/>
      <x:c r="P84" s="63" t="str">
        <x:f>IF($A84="","",IF($M84="Sim",IFERROR($J84/MAX($N84,1),$J84),$J84))</x:f>
      </x:c>
      <x:c r="Q84" s="36"/>
      <x:c r="R84" s="36"/>
      <x:c r="S84" s="38"/>
      <x:c r="T84" s="38"/>
      <x:c r="U84" s="63" t="str">
        <x:f>IF($A84="","",$J84*$S84)</x:f>
      </x:c>
      <x:c r="V84" s="63" t="str">
        <x:f>IF($A84="","",$J84*$T84)</x:f>
      </x:c>
      <x:c r="W84" s="63" t="str">
        <x:f>IF($A84="","",IF($D84="Pedro Américo Paletot",$J84,0))</x:f>
      </x:c>
      <x:c r="X84" s="63" t="str">
        <x:f>IF($A84="","",IF($D84="Camilly Queiroz",$J84,0))</x:f>
      </x:c>
      <x:c r="Y84" s="63" t="str">
        <x:f>IF($A84="","",$W84-$U84)</x:f>
      </x:c>
      <x:c r="Z84" s="36"/>
      <x:c r="AA84" s="36"/>
    </x:row>
    <x:row r="85">
      <x:c r="A85" s="36"/>
      <x:c r="B85" s="36"/>
      <x:c r="C85" s="59"/>
      <x:c r="D85" s="36"/>
      <x:c r="E85" s="36"/>
      <x:c r="F85" s="36"/>
      <x:c r="G85" s="36"/>
      <x:c r="H85" s="36"/>
      <x:c r="I85" s="36"/>
      <x:c r="J85" s="37"/>
      <x:c r="K85" s="36"/>
      <x:c r="L85" s="36"/>
      <x:c r="M85" s="36"/>
      <x:c r="N85" s="36"/>
      <x:c r="O85" s="36"/>
      <x:c r="P85" s="63" t="str">
        <x:f>IF($A85="","",IF($M85="Sim",IFERROR($J85/MAX($N85,1),$J85),$J85))</x:f>
      </x:c>
      <x:c r="Q85" s="36"/>
      <x:c r="R85" s="36"/>
      <x:c r="S85" s="38"/>
      <x:c r="T85" s="38"/>
      <x:c r="U85" s="63" t="str">
        <x:f>IF($A85="","",$J85*$S85)</x:f>
      </x:c>
      <x:c r="V85" s="63" t="str">
        <x:f>IF($A85="","",$J85*$T85)</x:f>
      </x:c>
      <x:c r="W85" s="63" t="str">
        <x:f>IF($A85="","",IF($D85="Pedro Américo Paletot",$J85,0))</x:f>
      </x:c>
      <x:c r="X85" s="63" t="str">
        <x:f>IF($A85="","",IF($D85="Camilly Queiroz",$J85,0))</x:f>
      </x:c>
      <x:c r="Y85" s="63" t="str">
        <x:f>IF($A85="","",$W85-$U85)</x:f>
      </x:c>
      <x:c r="Z85" s="36"/>
      <x:c r="AA85" s="36"/>
    </x:row>
    <x:row r="86">
      <x:c r="A86" s="36"/>
      <x:c r="B86" s="36"/>
      <x:c r="C86" s="59"/>
      <x:c r="D86" s="36"/>
      <x:c r="E86" s="36"/>
      <x:c r="F86" s="36"/>
      <x:c r="G86" s="36"/>
      <x:c r="H86" s="36"/>
      <x:c r="I86" s="36"/>
      <x:c r="J86" s="37"/>
      <x:c r="K86" s="36"/>
      <x:c r="L86" s="36"/>
      <x:c r="M86" s="36"/>
      <x:c r="N86" s="36"/>
      <x:c r="O86" s="36"/>
      <x:c r="P86" s="63" t="str">
        <x:f>IF($A86="","",IF($M86="Sim",IFERROR($J86/MAX($N86,1),$J86),$J86))</x:f>
      </x:c>
      <x:c r="Q86" s="36"/>
      <x:c r="R86" s="36"/>
      <x:c r="S86" s="38"/>
      <x:c r="T86" s="38"/>
      <x:c r="U86" s="63" t="str">
        <x:f>IF($A86="","",$J86*$S86)</x:f>
      </x:c>
      <x:c r="V86" s="63" t="str">
        <x:f>IF($A86="","",$J86*$T86)</x:f>
      </x:c>
      <x:c r="W86" s="63" t="str">
        <x:f>IF($A86="","",IF($D86="Pedro Américo Paletot",$J86,0))</x:f>
      </x:c>
      <x:c r="X86" s="63" t="str">
        <x:f>IF($A86="","",IF($D86="Camilly Queiroz",$J86,0))</x:f>
      </x:c>
      <x:c r="Y86" s="63" t="str">
        <x:f>IF($A86="","",$W86-$U86)</x:f>
      </x:c>
      <x:c r="Z86" s="36"/>
      <x:c r="AA86" s="36"/>
    </x:row>
    <x:row r="87">
      <x:c r="A87" s="36"/>
      <x:c r="B87" s="36"/>
      <x:c r="C87" s="59"/>
      <x:c r="D87" s="36"/>
      <x:c r="E87" s="36"/>
      <x:c r="F87" s="36"/>
      <x:c r="G87" s="36"/>
      <x:c r="H87" s="36"/>
      <x:c r="I87" s="36"/>
      <x:c r="J87" s="37"/>
      <x:c r="K87" s="36"/>
      <x:c r="L87" s="36"/>
      <x:c r="M87" s="36"/>
      <x:c r="N87" s="36"/>
      <x:c r="O87" s="36"/>
      <x:c r="P87" s="63" t="str">
        <x:f>IF($A87="","",IF($M87="Sim",IFERROR($J87/MAX($N87,1),$J87),$J87))</x:f>
      </x:c>
      <x:c r="Q87" s="36"/>
      <x:c r="R87" s="36"/>
      <x:c r="S87" s="38"/>
      <x:c r="T87" s="38"/>
      <x:c r="U87" s="63" t="str">
        <x:f>IF($A87="","",$J87*$S87)</x:f>
      </x:c>
      <x:c r="V87" s="63" t="str">
        <x:f>IF($A87="","",$J87*$T87)</x:f>
      </x:c>
      <x:c r="W87" s="63" t="str">
        <x:f>IF($A87="","",IF($D87="Pedro Américo Paletot",$J87,0))</x:f>
      </x:c>
      <x:c r="X87" s="63" t="str">
        <x:f>IF($A87="","",IF($D87="Camilly Queiroz",$J87,0))</x:f>
      </x:c>
      <x:c r="Y87" s="63" t="str">
        <x:f>IF($A87="","",$W87-$U87)</x:f>
      </x:c>
      <x:c r="Z87" s="36"/>
      <x:c r="AA87" s="36"/>
    </x:row>
    <x:row r="88">
      <x:c r="A88" s="36"/>
      <x:c r="B88" s="36"/>
      <x:c r="C88" s="59"/>
      <x:c r="D88" s="36"/>
      <x:c r="E88" s="36"/>
      <x:c r="F88" s="36"/>
      <x:c r="G88" s="36"/>
      <x:c r="H88" s="36"/>
      <x:c r="I88" s="36"/>
      <x:c r="J88" s="37"/>
      <x:c r="K88" s="36"/>
      <x:c r="L88" s="36"/>
      <x:c r="M88" s="36"/>
      <x:c r="N88" s="36"/>
      <x:c r="O88" s="36"/>
      <x:c r="P88" s="63" t="str">
        <x:f>IF($A88="","",IF($M88="Sim",IFERROR($J88/MAX($N88,1),$J88),$J88))</x:f>
      </x:c>
      <x:c r="Q88" s="36"/>
      <x:c r="R88" s="36"/>
      <x:c r="S88" s="38"/>
      <x:c r="T88" s="38"/>
      <x:c r="U88" s="63" t="str">
        <x:f>IF($A88="","",$J88*$S88)</x:f>
      </x:c>
      <x:c r="V88" s="63" t="str">
        <x:f>IF($A88="","",$J88*$T88)</x:f>
      </x:c>
      <x:c r="W88" s="63" t="str">
        <x:f>IF($A88="","",IF($D88="Pedro Américo Paletot",$J88,0))</x:f>
      </x:c>
      <x:c r="X88" s="63" t="str">
        <x:f>IF($A88="","",IF($D88="Camilly Queiroz",$J88,0))</x:f>
      </x:c>
      <x:c r="Y88" s="63" t="str">
        <x:f>IF($A88="","",$W88-$U88)</x:f>
      </x:c>
      <x:c r="Z88" s="36"/>
      <x:c r="AA88" s="36"/>
    </x:row>
    <x:row r="89">
      <x:c r="A89" s="36"/>
      <x:c r="B89" s="36"/>
      <x:c r="C89" s="59"/>
      <x:c r="D89" s="36"/>
      <x:c r="E89" s="36"/>
      <x:c r="F89" s="36"/>
      <x:c r="G89" s="36"/>
      <x:c r="H89" s="36"/>
      <x:c r="I89" s="36"/>
      <x:c r="J89" s="37"/>
      <x:c r="K89" s="36"/>
      <x:c r="L89" s="36"/>
      <x:c r="M89" s="36"/>
      <x:c r="N89" s="36"/>
      <x:c r="O89" s="36"/>
      <x:c r="P89" s="63" t="str">
        <x:f>IF($A89="","",IF($M89="Sim",IFERROR($J89/MAX($N89,1),$J89),$J89))</x:f>
      </x:c>
      <x:c r="Q89" s="36"/>
      <x:c r="R89" s="36"/>
      <x:c r="S89" s="38"/>
      <x:c r="T89" s="38"/>
      <x:c r="U89" s="63" t="str">
        <x:f>IF($A89="","",$J89*$S89)</x:f>
      </x:c>
      <x:c r="V89" s="63" t="str">
        <x:f>IF($A89="","",$J89*$T89)</x:f>
      </x:c>
      <x:c r="W89" s="63" t="str">
        <x:f>IF($A89="","",IF($D89="Pedro Américo Paletot",$J89,0))</x:f>
      </x:c>
      <x:c r="X89" s="63" t="str">
        <x:f>IF($A89="","",IF($D89="Camilly Queiroz",$J89,0))</x:f>
      </x:c>
      <x:c r="Y89" s="63" t="str">
        <x:f>IF($A89="","",$W89-$U89)</x:f>
      </x:c>
      <x:c r="Z89" s="36"/>
      <x:c r="AA89" s="36"/>
    </x:row>
    <x:row r="90">
      <x:c r="A90" s="36"/>
      <x:c r="B90" s="36"/>
      <x:c r="C90" s="59"/>
      <x:c r="D90" s="36"/>
      <x:c r="E90" s="36"/>
      <x:c r="F90" s="36"/>
      <x:c r="G90" s="36"/>
      <x:c r="H90" s="36"/>
      <x:c r="I90" s="36"/>
      <x:c r="J90" s="37"/>
      <x:c r="K90" s="36"/>
      <x:c r="L90" s="36"/>
      <x:c r="M90" s="36"/>
      <x:c r="N90" s="36"/>
      <x:c r="O90" s="36"/>
      <x:c r="P90" s="63" t="str">
        <x:f>IF($A90="","",IF($M90="Sim",IFERROR($J90/MAX($N90,1),$J90),$J90))</x:f>
      </x:c>
      <x:c r="Q90" s="36"/>
      <x:c r="R90" s="36"/>
      <x:c r="S90" s="38"/>
      <x:c r="T90" s="38"/>
      <x:c r="U90" s="63" t="str">
        <x:f>IF($A90="","",$J90*$S90)</x:f>
      </x:c>
      <x:c r="V90" s="63" t="str">
        <x:f>IF($A90="","",$J90*$T90)</x:f>
      </x:c>
      <x:c r="W90" s="63" t="str">
        <x:f>IF($A90="","",IF($D90="Pedro Américo Paletot",$J90,0))</x:f>
      </x:c>
      <x:c r="X90" s="63" t="str">
        <x:f>IF($A90="","",IF($D90="Camilly Queiroz",$J90,0))</x:f>
      </x:c>
      <x:c r="Y90" s="63" t="str">
        <x:f>IF($A90="","",$W90-$U90)</x:f>
      </x:c>
      <x:c r="Z90" s="36"/>
      <x:c r="AA90" s="36"/>
    </x:row>
    <x:row r="91">
      <x:c r="A91" s="36"/>
      <x:c r="B91" s="36"/>
      <x:c r="C91" s="59"/>
      <x:c r="D91" s="36"/>
      <x:c r="E91" s="36"/>
      <x:c r="F91" s="36"/>
      <x:c r="G91" s="36"/>
      <x:c r="H91" s="36"/>
      <x:c r="I91" s="36"/>
      <x:c r="J91" s="37"/>
      <x:c r="K91" s="36"/>
      <x:c r="L91" s="36"/>
      <x:c r="M91" s="36"/>
      <x:c r="N91" s="36"/>
      <x:c r="O91" s="36"/>
      <x:c r="P91" s="63" t="str">
        <x:f>IF($A91="","",IF($M91="Sim",IFERROR($J91/MAX($N91,1),$J91),$J91))</x:f>
      </x:c>
      <x:c r="Q91" s="36"/>
      <x:c r="R91" s="36"/>
      <x:c r="S91" s="38"/>
      <x:c r="T91" s="38"/>
      <x:c r="U91" s="63" t="str">
        <x:f>IF($A91="","",$J91*$S91)</x:f>
      </x:c>
      <x:c r="V91" s="63" t="str">
        <x:f>IF($A91="","",$J91*$T91)</x:f>
      </x:c>
      <x:c r="W91" s="63" t="str">
        <x:f>IF($A91="","",IF($D91="Pedro Américo Paletot",$J91,0))</x:f>
      </x:c>
      <x:c r="X91" s="63" t="str">
        <x:f>IF($A91="","",IF($D91="Camilly Queiroz",$J91,0))</x:f>
      </x:c>
      <x:c r="Y91" s="63" t="str">
        <x:f>IF($A91="","",$W91-$U91)</x:f>
      </x:c>
      <x:c r="Z91" s="36"/>
      <x:c r="AA91" s="36"/>
    </x:row>
    <x:row r="92">
      <x:c r="A92" s="36"/>
      <x:c r="B92" s="36"/>
      <x:c r="C92" s="59"/>
      <x:c r="D92" s="36"/>
      <x:c r="E92" s="36"/>
      <x:c r="F92" s="36"/>
      <x:c r="G92" s="36"/>
      <x:c r="H92" s="36"/>
      <x:c r="I92" s="36"/>
      <x:c r="J92" s="37"/>
      <x:c r="K92" s="36"/>
      <x:c r="L92" s="36"/>
      <x:c r="M92" s="36"/>
      <x:c r="N92" s="36"/>
      <x:c r="O92" s="36"/>
      <x:c r="P92" s="63" t="str">
        <x:f>IF($A92="","",IF($M92="Sim",IFERROR($J92/MAX($N92,1),$J92),$J92))</x:f>
      </x:c>
      <x:c r="Q92" s="36"/>
      <x:c r="R92" s="36"/>
      <x:c r="S92" s="38"/>
      <x:c r="T92" s="38"/>
      <x:c r="U92" s="63" t="str">
        <x:f>IF($A92="","",$J92*$S92)</x:f>
      </x:c>
      <x:c r="V92" s="63" t="str">
        <x:f>IF($A92="","",$J92*$T92)</x:f>
      </x:c>
      <x:c r="W92" s="63" t="str">
        <x:f>IF($A92="","",IF($D92="Pedro Américo Paletot",$J92,0))</x:f>
      </x:c>
      <x:c r="X92" s="63" t="str">
        <x:f>IF($A92="","",IF($D92="Camilly Queiroz",$J92,0))</x:f>
      </x:c>
      <x:c r="Y92" s="63" t="str">
        <x:f>IF($A92="","",$W92-$U92)</x:f>
      </x:c>
      <x:c r="Z92" s="36"/>
      <x:c r="AA92" s="36"/>
    </x:row>
    <x:row r="93">
      <x:c r="A93" s="36"/>
      <x:c r="B93" s="36"/>
      <x:c r="C93" s="59"/>
      <x:c r="D93" s="36"/>
      <x:c r="E93" s="36"/>
      <x:c r="F93" s="36"/>
      <x:c r="G93" s="36"/>
      <x:c r="H93" s="36"/>
      <x:c r="I93" s="36"/>
      <x:c r="J93" s="37"/>
      <x:c r="K93" s="36"/>
      <x:c r="L93" s="36"/>
      <x:c r="M93" s="36"/>
      <x:c r="N93" s="36"/>
      <x:c r="O93" s="36"/>
      <x:c r="P93" s="63" t="str">
        <x:f>IF($A93="","",IF($M93="Sim",IFERROR($J93/MAX($N93,1),$J93),$J93))</x:f>
      </x:c>
      <x:c r="Q93" s="36"/>
      <x:c r="R93" s="36"/>
      <x:c r="S93" s="38"/>
      <x:c r="T93" s="38"/>
      <x:c r="U93" s="63" t="str">
        <x:f>IF($A93="","",$J93*$S93)</x:f>
      </x:c>
      <x:c r="V93" s="63" t="str">
        <x:f>IF($A93="","",$J93*$T93)</x:f>
      </x:c>
      <x:c r="W93" s="63" t="str">
        <x:f>IF($A93="","",IF($D93="Pedro Américo Paletot",$J93,0))</x:f>
      </x:c>
      <x:c r="X93" s="63" t="str">
        <x:f>IF($A93="","",IF($D93="Camilly Queiroz",$J93,0))</x:f>
      </x:c>
      <x:c r="Y93" s="63" t="str">
        <x:f>IF($A93="","",$W93-$U93)</x:f>
      </x:c>
      <x:c r="Z93" s="36"/>
      <x:c r="AA93" s="36"/>
    </x:row>
    <x:row r="94">
      <x:c r="A94" s="36"/>
      <x:c r="B94" s="36"/>
      <x:c r="C94" s="59"/>
      <x:c r="D94" s="36"/>
      <x:c r="E94" s="36"/>
      <x:c r="F94" s="36"/>
      <x:c r="G94" s="36"/>
      <x:c r="H94" s="36"/>
      <x:c r="I94" s="36"/>
      <x:c r="J94" s="37"/>
      <x:c r="K94" s="36"/>
      <x:c r="L94" s="36"/>
      <x:c r="M94" s="36"/>
      <x:c r="N94" s="36"/>
      <x:c r="O94" s="36"/>
      <x:c r="P94" s="63" t="str">
        <x:f>IF($A94="","",IF($M94="Sim",IFERROR($J94/MAX($N94,1),$J94),$J94))</x:f>
      </x:c>
      <x:c r="Q94" s="36"/>
      <x:c r="R94" s="36"/>
      <x:c r="S94" s="38"/>
      <x:c r="T94" s="38"/>
      <x:c r="U94" s="63" t="str">
        <x:f>IF($A94="","",$J94*$S94)</x:f>
      </x:c>
      <x:c r="V94" s="63" t="str">
        <x:f>IF($A94="","",$J94*$T94)</x:f>
      </x:c>
      <x:c r="W94" s="63" t="str">
        <x:f>IF($A94="","",IF($D94="Pedro Américo Paletot",$J94,0))</x:f>
      </x:c>
      <x:c r="X94" s="63" t="str">
        <x:f>IF($A94="","",IF($D94="Camilly Queiroz",$J94,0))</x:f>
      </x:c>
      <x:c r="Y94" s="63" t="str">
        <x:f>IF($A94="","",$W94-$U94)</x:f>
      </x:c>
      <x:c r="Z94" s="36"/>
      <x:c r="AA94" s="36"/>
    </x:row>
    <x:row r="95">
      <x:c r="A95" s="36"/>
      <x:c r="B95" s="36"/>
      <x:c r="C95" s="59"/>
      <x:c r="D95" s="36"/>
      <x:c r="E95" s="36"/>
      <x:c r="F95" s="36"/>
      <x:c r="G95" s="36"/>
      <x:c r="H95" s="36"/>
      <x:c r="I95" s="36"/>
      <x:c r="J95" s="37"/>
      <x:c r="K95" s="36"/>
      <x:c r="L95" s="36"/>
      <x:c r="M95" s="36"/>
      <x:c r="N95" s="36"/>
      <x:c r="O95" s="36"/>
      <x:c r="P95" s="63" t="str">
        <x:f>IF($A95="","",IF($M95="Sim",IFERROR($J95/MAX($N95,1),$J95),$J95))</x:f>
      </x:c>
      <x:c r="Q95" s="36"/>
      <x:c r="R95" s="36"/>
      <x:c r="S95" s="38"/>
      <x:c r="T95" s="38"/>
      <x:c r="U95" s="63" t="str">
        <x:f>IF($A95="","",$J95*$S95)</x:f>
      </x:c>
      <x:c r="V95" s="63" t="str">
        <x:f>IF($A95="","",$J95*$T95)</x:f>
      </x:c>
      <x:c r="W95" s="63" t="str">
        <x:f>IF($A95="","",IF($D95="Pedro Américo Paletot",$J95,0))</x:f>
      </x:c>
      <x:c r="X95" s="63" t="str">
        <x:f>IF($A95="","",IF($D95="Camilly Queiroz",$J95,0))</x:f>
      </x:c>
      <x:c r="Y95" s="63" t="str">
        <x:f>IF($A95="","",$W95-$U95)</x:f>
      </x:c>
      <x:c r="Z95" s="36"/>
      <x:c r="AA95" s="36"/>
    </x:row>
    <x:row r="96">
      <x:c r="A96" s="36"/>
      <x:c r="B96" s="36"/>
      <x:c r="C96" s="59"/>
      <x:c r="D96" s="36"/>
      <x:c r="E96" s="36"/>
      <x:c r="F96" s="36"/>
      <x:c r="G96" s="36"/>
      <x:c r="H96" s="36"/>
      <x:c r="I96" s="36"/>
      <x:c r="J96" s="37"/>
      <x:c r="K96" s="36"/>
      <x:c r="L96" s="36"/>
      <x:c r="M96" s="36"/>
      <x:c r="N96" s="36"/>
      <x:c r="O96" s="36"/>
      <x:c r="P96" s="63" t="str">
        <x:f>IF($A96="","",IF($M96="Sim",IFERROR($J96/MAX($N96,1),$J96),$J96))</x:f>
      </x:c>
      <x:c r="Q96" s="36"/>
      <x:c r="R96" s="36"/>
      <x:c r="S96" s="38"/>
      <x:c r="T96" s="38"/>
      <x:c r="U96" s="63" t="str">
        <x:f>IF($A96="","",$J96*$S96)</x:f>
      </x:c>
      <x:c r="V96" s="63" t="str">
        <x:f>IF($A96="","",$J96*$T96)</x:f>
      </x:c>
      <x:c r="W96" s="63" t="str">
        <x:f>IF($A96="","",IF($D96="Pedro Américo Paletot",$J96,0))</x:f>
      </x:c>
      <x:c r="X96" s="63" t="str">
        <x:f>IF($A96="","",IF($D96="Camilly Queiroz",$J96,0))</x:f>
      </x:c>
      <x:c r="Y96" s="63" t="str">
        <x:f>IF($A96="","",$W96-$U96)</x:f>
      </x:c>
      <x:c r="Z96" s="36"/>
      <x:c r="AA96" s="36"/>
    </x:row>
    <x:row r="97">
      <x:c r="A97" s="36"/>
      <x:c r="B97" s="36"/>
      <x:c r="C97" s="59"/>
      <x:c r="D97" s="36"/>
      <x:c r="E97" s="36"/>
      <x:c r="F97" s="36"/>
      <x:c r="G97" s="36"/>
      <x:c r="H97" s="36"/>
      <x:c r="I97" s="36"/>
      <x:c r="J97" s="37"/>
      <x:c r="K97" s="36"/>
      <x:c r="L97" s="36"/>
      <x:c r="M97" s="36"/>
      <x:c r="N97" s="36"/>
      <x:c r="O97" s="36"/>
      <x:c r="P97" s="63" t="str">
        <x:f>IF($A97="","",IF($M97="Sim",IFERROR($J97/MAX($N97,1),$J97),$J97))</x:f>
      </x:c>
      <x:c r="Q97" s="36"/>
      <x:c r="R97" s="36"/>
      <x:c r="S97" s="38"/>
      <x:c r="T97" s="38"/>
      <x:c r="U97" s="63" t="str">
        <x:f>IF($A97="","",$J97*$S97)</x:f>
      </x:c>
      <x:c r="V97" s="63" t="str">
        <x:f>IF($A97="","",$J97*$T97)</x:f>
      </x:c>
      <x:c r="W97" s="63" t="str">
        <x:f>IF($A97="","",IF($D97="Pedro Américo Paletot",$J97,0))</x:f>
      </x:c>
      <x:c r="X97" s="63" t="str">
        <x:f>IF($A97="","",IF($D97="Camilly Queiroz",$J97,0))</x:f>
      </x:c>
      <x:c r="Y97" s="63" t="str">
        <x:f>IF($A97="","",$W97-$U97)</x:f>
      </x:c>
      <x:c r="Z97" s="36"/>
      <x:c r="AA97" s="36"/>
    </x:row>
    <x:row r="98">
      <x:c r="A98" s="36"/>
      <x:c r="B98" s="36"/>
      <x:c r="C98" s="59"/>
      <x:c r="D98" s="36"/>
      <x:c r="E98" s="36"/>
      <x:c r="F98" s="36"/>
      <x:c r="G98" s="36"/>
      <x:c r="H98" s="36"/>
      <x:c r="I98" s="36"/>
      <x:c r="J98" s="37"/>
      <x:c r="K98" s="36"/>
      <x:c r="L98" s="36"/>
      <x:c r="M98" s="36"/>
      <x:c r="N98" s="36"/>
      <x:c r="O98" s="36"/>
      <x:c r="P98" s="63" t="str">
        <x:f>IF($A98="","",IF($M98="Sim",IFERROR($J98/MAX($N98,1),$J98),$J98))</x:f>
      </x:c>
      <x:c r="Q98" s="36"/>
      <x:c r="R98" s="36"/>
      <x:c r="S98" s="38"/>
      <x:c r="T98" s="38"/>
      <x:c r="U98" s="63" t="str">
        <x:f>IF($A98="","",$J98*$S98)</x:f>
      </x:c>
      <x:c r="V98" s="63" t="str">
        <x:f>IF($A98="","",$J98*$T98)</x:f>
      </x:c>
      <x:c r="W98" s="63" t="str">
        <x:f>IF($A98="","",IF($D98="Pedro Américo Paletot",$J98,0))</x:f>
      </x:c>
      <x:c r="X98" s="63" t="str">
        <x:f>IF($A98="","",IF($D98="Camilly Queiroz",$J98,0))</x:f>
      </x:c>
      <x:c r="Y98" s="63" t="str">
        <x:f>IF($A98="","",$W98-$U98)</x:f>
      </x:c>
      <x:c r="Z98" s="36"/>
      <x:c r="AA98" s="36"/>
    </x:row>
    <x:row r="99">
      <x:c r="A99" s="36"/>
      <x:c r="B99" s="36"/>
      <x:c r="C99" s="59"/>
      <x:c r="D99" s="36"/>
      <x:c r="E99" s="36"/>
      <x:c r="F99" s="36"/>
      <x:c r="G99" s="36"/>
      <x:c r="H99" s="36"/>
      <x:c r="I99" s="36"/>
      <x:c r="J99" s="37"/>
      <x:c r="K99" s="36"/>
      <x:c r="L99" s="36"/>
      <x:c r="M99" s="36"/>
      <x:c r="N99" s="36"/>
      <x:c r="O99" s="36"/>
      <x:c r="P99" s="63" t="str">
        <x:f>IF($A99="","",IF($M99="Sim",IFERROR($J99/MAX($N99,1),$J99),$J99))</x:f>
      </x:c>
      <x:c r="Q99" s="36"/>
      <x:c r="R99" s="36"/>
      <x:c r="S99" s="38"/>
      <x:c r="T99" s="38"/>
      <x:c r="U99" s="63" t="str">
        <x:f>IF($A99="","",$J99*$S99)</x:f>
      </x:c>
      <x:c r="V99" s="63" t="str">
        <x:f>IF($A99="","",$J99*$T99)</x:f>
      </x:c>
      <x:c r="W99" s="63" t="str">
        <x:f>IF($A99="","",IF($D99="Pedro Américo Paletot",$J99,0))</x:f>
      </x:c>
      <x:c r="X99" s="63" t="str">
        <x:f>IF($A99="","",IF($D99="Camilly Queiroz",$J99,0))</x:f>
      </x:c>
      <x:c r="Y99" s="63" t="str">
        <x:f>IF($A99="","",$W99-$U99)</x:f>
      </x:c>
      <x:c r="Z99" s="36"/>
      <x:c r="AA99" s="36"/>
    </x:row>
    <x:row r="100">
      <x:c r="A100" s="36"/>
      <x:c r="B100" s="36"/>
      <x:c r="C100" s="59"/>
      <x:c r="D100" s="36"/>
      <x:c r="E100" s="36"/>
      <x:c r="F100" s="36"/>
      <x:c r="G100" s="36"/>
      <x:c r="H100" s="36"/>
      <x:c r="I100" s="36"/>
      <x:c r="J100" s="37"/>
      <x:c r="K100" s="36"/>
      <x:c r="L100" s="36"/>
      <x:c r="M100" s="36"/>
      <x:c r="N100" s="36"/>
      <x:c r="O100" s="36"/>
      <x:c r="P100" s="63" t="str">
        <x:f>IF($A100="","",IF($M100="Sim",IFERROR($J100/MAX($N100,1),$J100),$J100))</x:f>
      </x:c>
      <x:c r="Q100" s="36"/>
      <x:c r="R100" s="36"/>
      <x:c r="S100" s="38"/>
      <x:c r="T100" s="38"/>
      <x:c r="U100" s="63" t="str">
        <x:f>IF($A100="","",$J100*$S100)</x:f>
      </x:c>
      <x:c r="V100" s="63" t="str">
        <x:f>IF($A100="","",$J100*$T100)</x:f>
      </x:c>
      <x:c r="W100" s="63" t="str">
        <x:f>IF($A100="","",IF($D100="Pedro Américo Paletot",$J100,0))</x:f>
      </x:c>
      <x:c r="X100" s="63" t="str">
        <x:f>IF($A100="","",IF($D100="Camilly Queiroz",$J100,0))</x:f>
      </x:c>
      <x:c r="Y100" s="63" t="str">
        <x:f>IF($A100="","",$W100-$U100)</x:f>
      </x:c>
      <x:c r="Z100" s="36"/>
      <x:c r="AA100" s="36"/>
    </x:row>
    <x:row r="101">
      <x:c r="A101" s="36"/>
      <x:c r="B101" s="36"/>
      <x:c r="C101" s="59"/>
      <x:c r="D101" s="36"/>
      <x:c r="E101" s="36"/>
      <x:c r="F101" s="36"/>
      <x:c r="G101" s="36"/>
      <x:c r="H101" s="36"/>
      <x:c r="I101" s="36"/>
      <x:c r="J101" s="37"/>
      <x:c r="K101" s="36"/>
      <x:c r="L101" s="36"/>
      <x:c r="M101" s="36"/>
      <x:c r="N101" s="36"/>
      <x:c r="O101" s="36"/>
      <x:c r="P101" s="63" t="str">
        <x:f>IF($A101="","",IF($M101="Sim",IFERROR($J101/MAX($N101,1),$J101),$J101))</x:f>
      </x:c>
      <x:c r="Q101" s="36"/>
      <x:c r="R101" s="36"/>
      <x:c r="S101" s="38"/>
      <x:c r="T101" s="38"/>
      <x:c r="U101" s="63" t="str">
        <x:f>IF($A101="","",$J101*$S101)</x:f>
      </x:c>
      <x:c r="V101" s="63" t="str">
        <x:f>IF($A101="","",$J101*$T101)</x:f>
      </x:c>
      <x:c r="W101" s="63" t="str">
        <x:f>IF($A101="","",IF($D101="Pedro Américo Paletot",$J101,0))</x:f>
      </x:c>
      <x:c r="X101" s="63" t="str">
        <x:f>IF($A101="","",IF($D101="Camilly Queiroz",$J101,0))</x:f>
      </x:c>
      <x:c r="Y101" s="63" t="str">
        <x:f>IF($A101="","",$W101-$U101)</x:f>
      </x:c>
      <x:c r="Z101" s="36"/>
      <x:c r="AA101" s="36"/>
    </x:row>
    <x:row r="102">
      <x:c r="A102" s="36"/>
      <x:c r="B102" s="36"/>
      <x:c r="C102" s="59"/>
      <x:c r="D102" s="36"/>
      <x:c r="E102" s="36"/>
      <x:c r="F102" s="36"/>
      <x:c r="G102" s="36"/>
      <x:c r="H102" s="36"/>
      <x:c r="I102" s="36"/>
      <x:c r="J102" s="37"/>
      <x:c r="K102" s="36"/>
      <x:c r="L102" s="36"/>
      <x:c r="M102" s="36"/>
      <x:c r="N102" s="36"/>
      <x:c r="O102" s="36"/>
      <x:c r="P102" s="63" t="str">
        <x:f>IF($A102="","",IF($M102="Sim",IFERROR($J102/MAX($N102,1),$J102),$J102))</x:f>
      </x:c>
      <x:c r="Q102" s="36"/>
      <x:c r="R102" s="36"/>
      <x:c r="S102" s="38"/>
      <x:c r="T102" s="38"/>
      <x:c r="U102" s="63" t="str">
        <x:f>IF($A102="","",$J102*$S102)</x:f>
      </x:c>
      <x:c r="V102" s="63" t="str">
        <x:f>IF($A102="","",$J102*$T102)</x:f>
      </x:c>
      <x:c r="W102" s="63" t="str">
        <x:f>IF($A102="","",IF($D102="Pedro Américo Paletot",$J102,0))</x:f>
      </x:c>
      <x:c r="X102" s="63" t="str">
        <x:f>IF($A102="","",IF($D102="Camilly Queiroz",$J102,0))</x:f>
      </x:c>
      <x:c r="Y102" s="63" t="str">
        <x:f>IF($A102="","",$W102-$U102)</x:f>
      </x:c>
      <x:c r="Z102" s="36"/>
      <x:c r="AA102" s="36"/>
    </x:row>
    <x:row r="103">
      <x:c r="A103" s="36"/>
      <x:c r="B103" s="36"/>
      <x:c r="C103" s="59"/>
      <x:c r="D103" s="36"/>
      <x:c r="E103" s="36"/>
      <x:c r="F103" s="36"/>
      <x:c r="G103" s="36"/>
      <x:c r="H103" s="36"/>
      <x:c r="I103" s="36"/>
      <x:c r="J103" s="37"/>
      <x:c r="K103" s="36"/>
      <x:c r="L103" s="36"/>
      <x:c r="M103" s="36"/>
      <x:c r="N103" s="36"/>
      <x:c r="O103" s="36"/>
      <x:c r="P103" s="63" t="str">
        <x:f>IF($A103="","",IF($M103="Sim",IFERROR($J103/MAX($N103,1),$J103),$J103))</x:f>
      </x:c>
      <x:c r="Q103" s="36"/>
      <x:c r="R103" s="36"/>
      <x:c r="S103" s="38"/>
      <x:c r="T103" s="38"/>
      <x:c r="U103" s="63" t="str">
        <x:f>IF($A103="","",$J103*$S103)</x:f>
      </x:c>
      <x:c r="V103" s="63" t="str">
        <x:f>IF($A103="","",$J103*$T103)</x:f>
      </x:c>
      <x:c r="W103" s="63" t="str">
        <x:f>IF($A103="","",IF($D103="Pedro Américo Paletot",$J103,0))</x:f>
      </x:c>
      <x:c r="X103" s="63" t="str">
        <x:f>IF($A103="","",IF($D103="Camilly Queiroz",$J103,0))</x:f>
      </x:c>
      <x:c r="Y103" s="63" t="str">
        <x:f>IF($A103="","",$W103-$U103)</x:f>
      </x:c>
      <x:c r="Z103" s="36"/>
      <x:c r="AA103" s="36"/>
    </x:row>
    <x:row r="104">
      <x:c r="A104" s="36"/>
      <x:c r="B104" s="36"/>
      <x:c r="C104" s="59"/>
      <x:c r="D104" s="36"/>
      <x:c r="E104" s="36"/>
      <x:c r="F104" s="36"/>
      <x:c r="G104" s="36"/>
      <x:c r="H104" s="36"/>
      <x:c r="I104" s="36"/>
      <x:c r="J104" s="37"/>
      <x:c r="K104" s="36"/>
      <x:c r="L104" s="36"/>
      <x:c r="M104" s="36"/>
      <x:c r="N104" s="36"/>
      <x:c r="O104" s="36"/>
      <x:c r="P104" s="63" t="str">
        <x:f>IF($A104="","",IF($M104="Sim",IFERROR($J104/MAX($N104,1),$J104),$J104))</x:f>
      </x:c>
      <x:c r="Q104" s="36"/>
      <x:c r="R104" s="36"/>
      <x:c r="S104" s="38"/>
      <x:c r="T104" s="38"/>
      <x:c r="U104" s="63" t="str">
        <x:f>IF($A104="","",$J104*$S104)</x:f>
      </x:c>
      <x:c r="V104" s="63" t="str">
        <x:f>IF($A104="","",$J104*$T104)</x:f>
      </x:c>
      <x:c r="W104" s="63" t="str">
        <x:f>IF($A104="","",IF($D104="Pedro Américo Paletot",$J104,0))</x:f>
      </x:c>
      <x:c r="X104" s="63" t="str">
        <x:f>IF($A104="","",IF($D104="Camilly Queiroz",$J104,0))</x:f>
      </x:c>
      <x:c r="Y104" s="63" t="str">
        <x:f>IF($A104="","",$W104-$U104)</x:f>
      </x:c>
      <x:c r="Z104" s="36"/>
      <x:c r="AA104" s="36"/>
    </x:row>
    <x:row r="105">
      <x:c r="A105" s="36"/>
      <x:c r="B105" s="36"/>
      <x:c r="C105" s="59"/>
      <x:c r="D105" s="36"/>
      <x:c r="E105" s="36"/>
      <x:c r="F105" s="36"/>
      <x:c r="G105" s="36"/>
      <x:c r="H105" s="36"/>
      <x:c r="I105" s="36"/>
      <x:c r="J105" s="37"/>
      <x:c r="K105" s="36"/>
      <x:c r="L105" s="36"/>
      <x:c r="M105" s="36"/>
      <x:c r="N105" s="36"/>
      <x:c r="O105" s="36"/>
      <x:c r="P105" s="63" t="str">
        <x:f>IF($A105="","",IF($M105="Sim",IFERROR($J105/MAX($N105,1),$J105),$J105))</x:f>
      </x:c>
      <x:c r="Q105" s="36"/>
      <x:c r="R105" s="36"/>
      <x:c r="S105" s="38"/>
      <x:c r="T105" s="38"/>
      <x:c r="U105" s="63" t="str">
        <x:f>IF($A105="","",$J105*$S105)</x:f>
      </x:c>
      <x:c r="V105" s="63" t="str">
        <x:f>IF($A105="","",$J105*$T105)</x:f>
      </x:c>
      <x:c r="W105" s="63" t="str">
        <x:f>IF($A105="","",IF($D105="Pedro Américo Paletot",$J105,0))</x:f>
      </x:c>
      <x:c r="X105" s="63" t="str">
        <x:f>IF($A105="","",IF($D105="Camilly Queiroz",$J105,0))</x:f>
      </x:c>
      <x:c r="Y105" s="63" t="str">
        <x:f>IF($A105="","",$W105-$U105)</x:f>
      </x:c>
      <x:c r="Z105" s="36"/>
      <x:c r="AA105" s="36"/>
    </x:row>
    <x:row r="106">
      <x:c r="A106" s="36"/>
      <x:c r="B106" s="36"/>
      <x:c r="C106" s="59"/>
      <x:c r="D106" s="36"/>
      <x:c r="E106" s="36"/>
      <x:c r="F106" s="36"/>
      <x:c r="G106" s="36"/>
      <x:c r="H106" s="36"/>
      <x:c r="I106" s="36"/>
      <x:c r="J106" s="37"/>
      <x:c r="K106" s="36"/>
      <x:c r="L106" s="36"/>
      <x:c r="M106" s="36"/>
      <x:c r="N106" s="36"/>
      <x:c r="O106" s="36"/>
      <x:c r="P106" s="63" t="str">
        <x:f>IF($A106="","",IF($M106="Sim",IFERROR($J106/MAX($N106,1),$J106),$J106))</x:f>
      </x:c>
      <x:c r="Q106" s="36"/>
      <x:c r="R106" s="36"/>
      <x:c r="S106" s="38"/>
      <x:c r="T106" s="38"/>
      <x:c r="U106" s="63" t="str">
        <x:f>IF($A106="","",$J106*$S106)</x:f>
      </x:c>
      <x:c r="V106" s="63" t="str">
        <x:f>IF($A106="","",$J106*$T106)</x:f>
      </x:c>
      <x:c r="W106" s="63" t="str">
        <x:f>IF($A106="","",IF($D106="Pedro Américo Paletot",$J106,0))</x:f>
      </x:c>
      <x:c r="X106" s="63" t="str">
        <x:f>IF($A106="","",IF($D106="Camilly Queiroz",$J106,0))</x:f>
      </x:c>
      <x:c r="Y106" s="63" t="str">
        <x:f>IF($A106="","",$W106-$U106)</x:f>
      </x:c>
      <x:c r="Z106" s="36"/>
      <x:c r="AA106" s="36"/>
    </x:row>
    <x:row r="107">
      <x:c r="A107" s="36"/>
      <x:c r="B107" s="36"/>
      <x:c r="C107" s="59"/>
      <x:c r="D107" s="36"/>
      <x:c r="E107" s="36"/>
      <x:c r="F107" s="36"/>
      <x:c r="G107" s="36"/>
      <x:c r="H107" s="36"/>
      <x:c r="I107" s="36"/>
      <x:c r="J107" s="37"/>
      <x:c r="K107" s="36"/>
      <x:c r="L107" s="36"/>
      <x:c r="M107" s="36"/>
      <x:c r="N107" s="36"/>
      <x:c r="O107" s="36"/>
      <x:c r="P107" s="63" t="str">
        <x:f>IF($A107="","",IF($M107="Sim",IFERROR($J107/MAX($N107,1),$J107),$J107))</x:f>
      </x:c>
      <x:c r="Q107" s="36"/>
      <x:c r="R107" s="36"/>
      <x:c r="S107" s="38"/>
      <x:c r="T107" s="38"/>
      <x:c r="U107" s="63" t="str">
        <x:f>IF($A107="","",$J107*$S107)</x:f>
      </x:c>
      <x:c r="V107" s="63" t="str">
        <x:f>IF($A107="","",$J107*$T107)</x:f>
      </x:c>
      <x:c r="W107" s="63" t="str">
        <x:f>IF($A107="","",IF($D107="Pedro Américo Paletot",$J107,0))</x:f>
      </x:c>
      <x:c r="X107" s="63" t="str">
        <x:f>IF($A107="","",IF($D107="Camilly Queiroz",$J107,0))</x:f>
      </x:c>
      <x:c r="Y107" s="63" t="str">
        <x:f>IF($A107="","",$W107-$U107)</x:f>
      </x:c>
      <x:c r="Z107" s="36"/>
      <x:c r="AA107" s="36"/>
    </x:row>
    <x:row r="108">
      <x:c r="A108" s="36"/>
      <x:c r="B108" s="36"/>
      <x:c r="C108" s="59"/>
      <x:c r="D108" s="36"/>
      <x:c r="E108" s="36"/>
      <x:c r="F108" s="36"/>
      <x:c r="G108" s="36"/>
      <x:c r="H108" s="36"/>
      <x:c r="I108" s="36"/>
      <x:c r="J108" s="37"/>
      <x:c r="K108" s="36"/>
      <x:c r="L108" s="36"/>
      <x:c r="M108" s="36"/>
      <x:c r="N108" s="36"/>
      <x:c r="O108" s="36"/>
      <x:c r="P108" s="63" t="str">
        <x:f>IF($A108="","",IF($M108="Sim",IFERROR($J108/MAX($N108,1),$J108),$J108))</x:f>
      </x:c>
      <x:c r="Q108" s="36"/>
      <x:c r="R108" s="36"/>
      <x:c r="S108" s="38"/>
      <x:c r="T108" s="38"/>
      <x:c r="U108" s="63" t="str">
        <x:f>IF($A108="","",$J108*$S108)</x:f>
      </x:c>
      <x:c r="V108" s="63" t="str">
        <x:f>IF($A108="","",$J108*$T108)</x:f>
      </x:c>
      <x:c r="W108" s="63" t="str">
        <x:f>IF($A108="","",IF($D108="Pedro Américo Paletot",$J108,0))</x:f>
      </x:c>
      <x:c r="X108" s="63" t="str">
        <x:f>IF($A108="","",IF($D108="Camilly Queiroz",$J108,0))</x:f>
      </x:c>
      <x:c r="Y108" s="63" t="str">
        <x:f>IF($A108="","",$W108-$U108)</x:f>
      </x:c>
      <x:c r="Z108" s="36"/>
      <x:c r="AA108" s="36"/>
    </x:row>
    <x:row r="109">
      <x:c r="A109" s="36"/>
      <x:c r="B109" s="36"/>
      <x:c r="C109" s="59"/>
      <x:c r="D109" s="36"/>
      <x:c r="E109" s="36"/>
      <x:c r="F109" s="36"/>
      <x:c r="G109" s="36"/>
      <x:c r="H109" s="36"/>
      <x:c r="I109" s="36"/>
      <x:c r="J109" s="37"/>
      <x:c r="K109" s="36"/>
      <x:c r="L109" s="36"/>
      <x:c r="M109" s="36"/>
      <x:c r="N109" s="36"/>
      <x:c r="O109" s="36"/>
      <x:c r="P109" s="63" t="str">
        <x:f>IF($A109="","",IF($M109="Sim",IFERROR($J109/MAX($N109,1),$J109),$J109))</x:f>
      </x:c>
      <x:c r="Q109" s="36"/>
      <x:c r="R109" s="36"/>
      <x:c r="S109" s="38"/>
      <x:c r="T109" s="38"/>
      <x:c r="U109" s="63" t="str">
        <x:f>IF($A109="","",$J109*$S109)</x:f>
      </x:c>
      <x:c r="V109" s="63" t="str">
        <x:f>IF($A109="","",$J109*$T109)</x:f>
      </x:c>
      <x:c r="W109" s="63" t="str">
        <x:f>IF($A109="","",IF($D109="Pedro Américo Paletot",$J109,0))</x:f>
      </x:c>
      <x:c r="X109" s="63" t="str">
        <x:f>IF($A109="","",IF($D109="Camilly Queiroz",$J109,0))</x:f>
      </x:c>
      <x:c r="Y109" s="63" t="str">
        <x:f>IF($A109="","",$W109-$U109)</x:f>
      </x:c>
      <x:c r="Z109" s="36"/>
      <x:c r="AA109" s="36"/>
    </x:row>
    <x:row r="110">
      <x:c r="A110" s="36"/>
      <x:c r="B110" s="36"/>
      <x:c r="C110" s="59"/>
      <x:c r="D110" s="36"/>
      <x:c r="E110" s="36"/>
      <x:c r="F110" s="36"/>
      <x:c r="G110" s="36"/>
      <x:c r="H110" s="36"/>
      <x:c r="I110" s="36"/>
      <x:c r="J110" s="37"/>
      <x:c r="K110" s="36"/>
      <x:c r="L110" s="36"/>
      <x:c r="M110" s="36"/>
      <x:c r="N110" s="36"/>
      <x:c r="O110" s="36"/>
      <x:c r="P110" s="63" t="str">
        <x:f>IF($A110="","",IF($M110="Sim",IFERROR($J110/MAX($N110,1),$J110),$J110))</x:f>
      </x:c>
      <x:c r="Q110" s="36"/>
      <x:c r="R110" s="36"/>
      <x:c r="S110" s="38"/>
      <x:c r="T110" s="38"/>
      <x:c r="U110" s="63" t="str">
        <x:f>IF($A110="","",$J110*$S110)</x:f>
      </x:c>
      <x:c r="V110" s="63" t="str">
        <x:f>IF($A110="","",$J110*$T110)</x:f>
      </x:c>
      <x:c r="W110" s="63" t="str">
        <x:f>IF($A110="","",IF($D110="Pedro Américo Paletot",$J110,0))</x:f>
      </x:c>
      <x:c r="X110" s="63" t="str">
        <x:f>IF($A110="","",IF($D110="Camilly Queiroz",$J110,0))</x:f>
      </x:c>
      <x:c r="Y110" s="63" t="str">
        <x:f>IF($A110="","",$W110-$U110)</x:f>
      </x:c>
      <x:c r="Z110" s="36"/>
      <x:c r="AA110" s="36"/>
    </x:row>
    <x:row r="111">
      <x:c r="A111" s="36"/>
      <x:c r="B111" s="36"/>
      <x:c r="C111" s="59"/>
      <x:c r="D111" s="36"/>
      <x:c r="E111" s="36"/>
      <x:c r="F111" s="36"/>
      <x:c r="G111" s="36"/>
      <x:c r="H111" s="36"/>
      <x:c r="I111" s="36"/>
      <x:c r="J111" s="37"/>
      <x:c r="K111" s="36"/>
      <x:c r="L111" s="36"/>
      <x:c r="M111" s="36"/>
      <x:c r="N111" s="36"/>
      <x:c r="O111" s="36"/>
      <x:c r="P111" s="63" t="str">
        <x:f>IF($A111="","",IF($M111="Sim",IFERROR($J111/MAX($N111,1),$J111),$J111))</x:f>
      </x:c>
      <x:c r="Q111" s="36"/>
      <x:c r="R111" s="36"/>
      <x:c r="S111" s="38"/>
      <x:c r="T111" s="38"/>
      <x:c r="U111" s="63" t="str">
        <x:f>IF($A111="","",$J111*$S111)</x:f>
      </x:c>
      <x:c r="V111" s="63" t="str">
        <x:f>IF($A111="","",$J111*$T111)</x:f>
      </x:c>
      <x:c r="W111" s="63" t="str">
        <x:f>IF($A111="","",IF($D111="Pedro Américo Paletot",$J111,0))</x:f>
      </x:c>
      <x:c r="X111" s="63" t="str">
        <x:f>IF($A111="","",IF($D111="Camilly Queiroz",$J111,0))</x:f>
      </x:c>
      <x:c r="Y111" s="63" t="str">
        <x:f>IF($A111="","",$W111-$U111)</x:f>
      </x:c>
      <x:c r="Z111" s="36"/>
      <x:c r="AA111" s="36"/>
    </x:row>
    <x:row r="112">
      <x:c r="A112" s="36"/>
      <x:c r="B112" s="36"/>
      <x:c r="C112" s="59"/>
      <x:c r="D112" s="36"/>
      <x:c r="E112" s="36"/>
      <x:c r="F112" s="36"/>
      <x:c r="G112" s="36"/>
      <x:c r="H112" s="36"/>
      <x:c r="I112" s="36"/>
      <x:c r="J112" s="37"/>
      <x:c r="K112" s="36"/>
      <x:c r="L112" s="36"/>
      <x:c r="M112" s="36"/>
      <x:c r="N112" s="36"/>
      <x:c r="O112" s="36"/>
      <x:c r="P112" s="63" t="str">
        <x:f>IF($A112="","",IF($M112="Sim",IFERROR($J112/MAX($N112,1),$J112),$J112))</x:f>
      </x:c>
      <x:c r="Q112" s="36"/>
      <x:c r="R112" s="36"/>
      <x:c r="S112" s="38"/>
      <x:c r="T112" s="38"/>
      <x:c r="U112" s="63" t="str">
        <x:f>IF($A112="","",$J112*$S112)</x:f>
      </x:c>
      <x:c r="V112" s="63" t="str">
        <x:f>IF($A112="","",$J112*$T112)</x:f>
      </x:c>
      <x:c r="W112" s="63" t="str">
        <x:f>IF($A112="","",IF($D112="Pedro Américo Paletot",$J112,0))</x:f>
      </x:c>
      <x:c r="X112" s="63" t="str">
        <x:f>IF($A112="","",IF($D112="Camilly Queiroz",$J112,0))</x:f>
      </x:c>
      <x:c r="Y112" s="63" t="str">
        <x:f>IF($A112="","",$W112-$U112)</x:f>
      </x:c>
      <x:c r="Z112" s="36"/>
      <x:c r="AA112" s="36"/>
    </x:row>
    <x:row r="113">
      <x:c r="A113" s="36"/>
      <x:c r="B113" s="36"/>
      <x:c r="C113" s="59"/>
      <x:c r="D113" s="36"/>
      <x:c r="E113" s="36"/>
      <x:c r="F113" s="36"/>
      <x:c r="G113" s="36"/>
      <x:c r="H113" s="36"/>
      <x:c r="I113" s="36"/>
      <x:c r="J113" s="37"/>
      <x:c r="K113" s="36"/>
      <x:c r="L113" s="36"/>
      <x:c r="M113" s="36"/>
      <x:c r="N113" s="36"/>
      <x:c r="O113" s="36"/>
      <x:c r="P113" s="63" t="str">
        <x:f>IF($A113="","",IF($M113="Sim",IFERROR($J113/MAX($N113,1),$J113),$J113))</x:f>
      </x:c>
      <x:c r="Q113" s="36"/>
      <x:c r="R113" s="36"/>
      <x:c r="S113" s="38"/>
      <x:c r="T113" s="38"/>
      <x:c r="U113" s="63" t="str">
        <x:f>IF($A113="","",$J113*$S113)</x:f>
      </x:c>
      <x:c r="V113" s="63" t="str">
        <x:f>IF($A113="","",$J113*$T113)</x:f>
      </x:c>
      <x:c r="W113" s="63" t="str">
        <x:f>IF($A113="","",IF($D113="Pedro Américo Paletot",$J113,0))</x:f>
      </x:c>
      <x:c r="X113" s="63" t="str">
        <x:f>IF($A113="","",IF($D113="Camilly Queiroz",$J113,0))</x:f>
      </x:c>
      <x:c r="Y113" s="63" t="str">
        <x:f>IF($A113="","",$W113-$U113)</x:f>
      </x:c>
      <x:c r="Z113" s="36"/>
      <x:c r="AA113" s="36"/>
    </x:row>
    <x:row r="114">
      <x:c r="A114" s="36"/>
      <x:c r="B114" s="36"/>
      <x:c r="C114" s="59"/>
      <x:c r="D114" s="36"/>
      <x:c r="E114" s="36"/>
      <x:c r="F114" s="36"/>
      <x:c r="G114" s="36"/>
      <x:c r="H114" s="36"/>
      <x:c r="I114" s="36"/>
      <x:c r="J114" s="37"/>
      <x:c r="K114" s="36"/>
      <x:c r="L114" s="36"/>
      <x:c r="M114" s="36"/>
      <x:c r="N114" s="36"/>
      <x:c r="O114" s="36"/>
      <x:c r="P114" s="63" t="str">
        <x:f>IF($A114="","",IF($M114="Sim",IFERROR($J114/MAX($N114,1),$J114),$J114))</x:f>
      </x:c>
      <x:c r="Q114" s="36"/>
      <x:c r="R114" s="36"/>
      <x:c r="S114" s="38"/>
      <x:c r="T114" s="38"/>
      <x:c r="U114" s="63" t="str">
        <x:f>IF($A114="","",$J114*$S114)</x:f>
      </x:c>
      <x:c r="V114" s="63" t="str">
        <x:f>IF($A114="","",$J114*$T114)</x:f>
      </x:c>
      <x:c r="W114" s="63" t="str">
        <x:f>IF($A114="","",IF($D114="Pedro Américo Paletot",$J114,0))</x:f>
      </x:c>
      <x:c r="X114" s="63" t="str">
        <x:f>IF($A114="","",IF($D114="Camilly Queiroz",$J114,0))</x:f>
      </x:c>
      <x:c r="Y114" s="63" t="str">
        <x:f>IF($A114="","",$W114-$U114)</x:f>
      </x:c>
      <x:c r="Z114" s="36"/>
      <x:c r="AA114" s="36"/>
    </x:row>
    <x:row r="115">
      <x:c r="A115" s="36"/>
      <x:c r="B115" s="36"/>
      <x:c r="C115" s="59"/>
      <x:c r="D115" s="36"/>
      <x:c r="E115" s="36"/>
      <x:c r="F115" s="36"/>
      <x:c r="G115" s="36"/>
      <x:c r="H115" s="36"/>
      <x:c r="I115" s="36"/>
      <x:c r="J115" s="37"/>
      <x:c r="K115" s="36"/>
      <x:c r="L115" s="36"/>
      <x:c r="M115" s="36"/>
      <x:c r="N115" s="36"/>
      <x:c r="O115" s="36"/>
      <x:c r="P115" s="63" t="str">
        <x:f>IF($A115="","",IF($M115="Sim",IFERROR($J115/MAX($N115,1),$J115),$J115))</x:f>
      </x:c>
      <x:c r="Q115" s="36"/>
      <x:c r="R115" s="36"/>
      <x:c r="S115" s="38"/>
      <x:c r="T115" s="38"/>
      <x:c r="U115" s="63" t="str">
        <x:f>IF($A115="","",$J115*$S115)</x:f>
      </x:c>
      <x:c r="V115" s="63" t="str">
        <x:f>IF($A115="","",$J115*$T115)</x:f>
      </x:c>
      <x:c r="W115" s="63" t="str">
        <x:f>IF($A115="","",IF($D115="Pedro Américo Paletot",$J115,0))</x:f>
      </x:c>
      <x:c r="X115" s="63" t="str">
        <x:f>IF($A115="","",IF($D115="Camilly Queiroz",$J115,0))</x:f>
      </x:c>
      <x:c r="Y115" s="63" t="str">
        <x:f>IF($A115="","",$W115-$U115)</x:f>
      </x:c>
      <x:c r="Z115" s="36"/>
      <x:c r="AA115" s="36"/>
    </x:row>
    <x:row r="116">
      <x:c r="A116" s="36"/>
      <x:c r="B116" s="36"/>
      <x:c r="C116" s="59"/>
      <x:c r="D116" s="36"/>
      <x:c r="E116" s="36"/>
      <x:c r="F116" s="36"/>
      <x:c r="G116" s="36"/>
      <x:c r="H116" s="36"/>
      <x:c r="I116" s="36"/>
      <x:c r="J116" s="37"/>
      <x:c r="K116" s="36"/>
      <x:c r="L116" s="36"/>
      <x:c r="M116" s="36"/>
      <x:c r="N116" s="36"/>
      <x:c r="O116" s="36"/>
      <x:c r="P116" s="63" t="str">
        <x:f>IF($A116="","",IF($M116="Sim",IFERROR($J116/MAX($N116,1),$J116),$J116))</x:f>
      </x:c>
      <x:c r="Q116" s="36"/>
      <x:c r="R116" s="36"/>
      <x:c r="S116" s="38"/>
      <x:c r="T116" s="38"/>
      <x:c r="U116" s="63" t="str">
        <x:f>IF($A116="","",$J116*$S116)</x:f>
      </x:c>
      <x:c r="V116" s="63" t="str">
        <x:f>IF($A116="","",$J116*$T116)</x:f>
      </x:c>
      <x:c r="W116" s="63" t="str">
        <x:f>IF($A116="","",IF($D116="Pedro Américo Paletot",$J116,0))</x:f>
      </x:c>
      <x:c r="X116" s="63" t="str">
        <x:f>IF($A116="","",IF($D116="Camilly Queiroz",$J116,0))</x:f>
      </x:c>
      <x:c r="Y116" s="63" t="str">
        <x:f>IF($A116="","",$W116-$U116)</x:f>
      </x:c>
      <x:c r="Z116" s="36"/>
      <x:c r="AA116" s="36"/>
    </x:row>
    <x:row r="117">
      <x:c r="A117" s="36"/>
      <x:c r="B117" s="36"/>
      <x:c r="C117" s="59"/>
      <x:c r="D117" s="36"/>
      <x:c r="E117" s="36"/>
      <x:c r="F117" s="36"/>
      <x:c r="G117" s="36"/>
      <x:c r="H117" s="36"/>
      <x:c r="I117" s="36"/>
      <x:c r="J117" s="37"/>
      <x:c r="K117" s="36"/>
      <x:c r="L117" s="36"/>
      <x:c r="M117" s="36"/>
      <x:c r="N117" s="36"/>
      <x:c r="O117" s="36"/>
      <x:c r="P117" s="63" t="str">
        <x:f>IF($A117="","",IF($M117="Sim",IFERROR($J117/MAX($N117,1),$J117),$J117))</x:f>
      </x:c>
      <x:c r="Q117" s="36"/>
      <x:c r="R117" s="36"/>
      <x:c r="S117" s="38"/>
      <x:c r="T117" s="38"/>
      <x:c r="U117" s="63" t="str">
        <x:f>IF($A117="","",$J117*$S117)</x:f>
      </x:c>
      <x:c r="V117" s="63" t="str">
        <x:f>IF($A117="","",$J117*$T117)</x:f>
      </x:c>
      <x:c r="W117" s="63" t="str">
        <x:f>IF($A117="","",IF($D117="Pedro Américo Paletot",$J117,0))</x:f>
      </x:c>
      <x:c r="X117" s="63" t="str">
        <x:f>IF($A117="","",IF($D117="Camilly Queiroz",$J117,0))</x:f>
      </x:c>
      <x:c r="Y117" s="63" t="str">
        <x:f>IF($A117="","",$W117-$U117)</x:f>
      </x:c>
      <x:c r="Z117" s="36"/>
      <x:c r="AA117" s="36"/>
    </x:row>
    <x:row r="118">
      <x:c r="A118" s="36"/>
      <x:c r="B118" s="36"/>
      <x:c r="C118" s="59"/>
      <x:c r="D118" s="36"/>
      <x:c r="E118" s="36"/>
      <x:c r="F118" s="36"/>
      <x:c r="G118" s="36"/>
      <x:c r="H118" s="36"/>
      <x:c r="I118" s="36"/>
      <x:c r="J118" s="37"/>
      <x:c r="K118" s="36"/>
      <x:c r="L118" s="36"/>
      <x:c r="M118" s="36"/>
      <x:c r="N118" s="36"/>
      <x:c r="O118" s="36"/>
      <x:c r="P118" s="63" t="str">
        <x:f>IF($A118="","",IF($M118="Sim",IFERROR($J118/MAX($N118,1),$J118),$J118))</x:f>
      </x:c>
      <x:c r="Q118" s="36"/>
      <x:c r="R118" s="36"/>
      <x:c r="S118" s="38"/>
      <x:c r="T118" s="38"/>
      <x:c r="U118" s="63" t="str">
        <x:f>IF($A118="","",$J118*$S118)</x:f>
      </x:c>
      <x:c r="V118" s="63" t="str">
        <x:f>IF($A118="","",$J118*$T118)</x:f>
      </x:c>
      <x:c r="W118" s="63" t="str">
        <x:f>IF($A118="","",IF($D118="Pedro Américo Paletot",$J118,0))</x:f>
      </x:c>
      <x:c r="X118" s="63" t="str">
        <x:f>IF($A118="","",IF($D118="Camilly Queiroz",$J118,0))</x:f>
      </x:c>
      <x:c r="Y118" s="63" t="str">
        <x:f>IF($A118="","",$W118-$U118)</x:f>
      </x:c>
      <x:c r="Z118" s="36"/>
      <x:c r="AA118" s="36"/>
    </x:row>
    <x:row r="119">
      <x:c r="A119" s="36"/>
      <x:c r="B119" s="36"/>
      <x:c r="C119" s="59"/>
      <x:c r="D119" s="36"/>
      <x:c r="E119" s="36"/>
      <x:c r="F119" s="36"/>
      <x:c r="G119" s="36"/>
      <x:c r="H119" s="36"/>
      <x:c r="I119" s="36"/>
      <x:c r="J119" s="37"/>
      <x:c r="K119" s="36"/>
      <x:c r="L119" s="36"/>
      <x:c r="M119" s="36"/>
      <x:c r="N119" s="36"/>
      <x:c r="O119" s="36"/>
      <x:c r="P119" s="63" t="str">
        <x:f>IF($A119="","",IF($M119="Sim",IFERROR($J119/MAX($N119,1),$J119),$J119))</x:f>
      </x:c>
      <x:c r="Q119" s="36"/>
      <x:c r="R119" s="36"/>
      <x:c r="S119" s="38"/>
      <x:c r="T119" s="38"/>
      <x:c r="U119" s="63" t="str">
        <x:f>IF($A119="","",$J119*$S119)</x:f>
      </x:c>
      <x:c r="V119" s="63" t="str">
        <x:f>IF($A119="","",$J119*$T119)</x:f>
      </x:c>
      <x:c r="W119" s="63" t="str">
        <x:f>IF($A119="","",IF($D119="Pedro Américo Paletot",$J119,0))</x:f>
      </x:c>
      <x:c r="X119" s="63" t="str">
        <x:f>IF($A119="","",IF($D119="Camilly Queiroz",$J119,0))</x:f>
      </x:c>
      <x:c r="Y119" s="63" t="str">
        <x:f>IF($A119="","",$W119-$U119)</x:f>
      </x:c>
      <x:c r="Z119" s="36"/>
      <x:c r="AA119" s="36"/>
    </x:row>
    <x:row r="120">
      <x:c r="A120" s="36"/>
      <x:c r="B120" s="36"/>
      <x:c r="C120" s="59"/>
      <x:c r="D120" s="36"/>
      <x:c r="E120" s="36"/>
      <x:c r="F120" s="36"/>
      <x:c r="G120" s="36"/>
      <x:c r="H120" s="36"/>
      <x:c r="I120" s="36"/>
      <x:c r="J120" s="37"/>
      <x:c r="K120" s="36"/>
      <x:c r="L120" s="36"/>
      <x:c r="M120" s="36"/>
      <x:c r="N120" s="36"/>
      <x:c r="O120" s="36"/>
      <x:c r="P120" s="63" t="str">
        <x:f>IF($A120="","",IF($M120="Sim",IFERROR($J120/MAX($N120,1),$J120),$J120))</x:f>
      </x:c>
      <x:c r="Q120" s="36"/>
      <x:c r="R120" s="36"/>
      <x:c r="S120" s="38"/>
      <x:c r="T120" s="38"/>
      <x:c r="U120" s="63" t="str">
        <x:f>IF($A120="","",$J120*$S120)</x:f>
      </x:c>
      <x:c r="V120" s="63" t="str">
        <x:f>IF($A120="","",$J120*$T120)</x:f>
      </x:c>
      <x:c r="W120" s="63" t="str">
        <x:f>IF($A120="","",IF($D120="Pedro Américo Paletot",$J120,0))</x:f>
      </x:c>
      <x:c r="X120" s="63" t="str">
        <x:f>IF($A120="","",IF($D120="Camilly Queiroz",$J120,0))</x:f>
      </x:c>
      <x:c r="Y120" s="63" t="str">
        <x:f>IF($A120="","",$W120-$U120)</x:f>
      </x:c>
      <x:c r="Z120" s="36"/>
      <x:c r="AA120" s="36"/>
    </x:row>
    <x:row r="121">
      <x:c r="A121" s="36"/>
      <x:c r="B121" s="36"/>
      <x:c r="C121" s="59"/>
      <x:c r="D121" s="36"/>
      <x:c r="E121" s="36"/>
      <x:c r="F121" s="36"/>
      <x:c r="G121" s="36"/>
      <x:c r="H121" s="36"/>
      <x:c r="I121" s="36"/>
      <x:c r="J121" s="37"/>
      <x:c r="K121" s="36"/>
      <x:c r="L121" s="36"/>
      <x:c r="M121" s="36"/>
      <x:c r="N121" s="36"/>
      <x:c r="O121" s="36"/>
      <x:c r="P121" s="63" t="str">
        <x:f>IF($A121="","",IF($M121="Sim",IFERROR($J121/MAX($N121,1),$J121),$J121))</x:f>
      </x:c>
      <x:c r="Q121" s="36"/>
      <x:c r="R121" s="36"/>
      <x:c r="S121" s="38"/>
      <x:c r="T121" s="38"/>
      <x:c r="U121" s="63" t="str">
        <x:f>IF($A121="","",$J121*$S121)</x:f>
      </x:c>
      <x:c r="V121" s="63" t="str">
        <x:f>IF($A121="","",$J121*$T121)</x:f>
      </x:c>
      <x:c r="W121" s="63" t="str">
        <x:f>IF($A121="","",IF($D121="Pedro Américo Paletot",$J121,0))</x:f>
      </x:c>
      <x:c r="X121" s="63" t="str">
        <x:f>IF($A121="","",IF($D121="Camilly Queiroz",$J121,0))</x:f>
      </x:c>
      <x:c r="Y121" s="63" t="str">
        <x:f>IF($A121="","",$W121-$U121)</x:f>
      </x:c>
      <x:c r="Z121" s="36"/>
      <x:c r="AA121" s="36"/>
    </x:row>
    <x:row r="122">
      <x:c r="A122" s="36"/>
      <x:c r="B122" s="36"/>
      <x:c r="C122" s="59"/>
      <x:c r="D122" s="36"/>
      <x:c r="E122" s="36"/>
      <x:c r="F122" s="36"/>
      <x:c r="G122" s="36"/>
      <x:c r="H122" s="36"/>
      <x:c r="I122" s="36"/>
      <x:c r="J122" s="37"/>
      <x:c r="K122" s="36"/>
      <x:c r="L122" s="36"/>
      <x:c r="M122" s="36"/>
      <x:c r="N122" s="36"/>
      <x:c r="O122" s="36"/>
      <x:c r="P122" s="63" t="str">
        <x:f>IF($A122="","",IF($M122="Sim",IFERROR($J122/MAX($N122,1),$J122),$J122))</x:f>
      </x:c>
      <x:c r="Q122" s="36"/>
      <x:c r="R122" s="36"/>
      <x:c r="S122" s="38"/>
      <x:c r="T122" s="38"/>
      <x:c r="U122" s="63" t="str">
        <x:f>IF($A122="","",$J122*$S122)</x:f>
      </x:c>
      <x:c r="V122" s="63" t="str">
        <x:f>IF($A122="","",$J122*$T122)</x:f>
      </x:c>
      <x:c r="W122" s="63" t="str">
        <x:f>IF($A122="","",IF($D122="Pedro Américo Paletot",$J122,0))</x:f>
      </x:c>
      <x:c r="X122" s="63" t="str">
        <x:f>IF($A122="","",IF($D122="Camilly Queiroz",$J122,0))</x:f>
      </x:c>
      <x:c r="Y122" s="63" t="str">
        <x:f>IF($A122="","",$W122-$U122)</x:f>
      </x:c>
      <x:c r="Z122" s="36"/>
      <x:c r="AA122" s="36"/>
    </x:row>
    <x:row r="123">
      <x:c r="A123" s="36"/>
      <x:c r="B123" s="36"/>
      <x:c r="C123" s="59"/>
      <x:c r="D123" s="36"/>
      <x:c r="E123" s="36"/>
      <x:c r="F123" s="36"/>
      <x:c r="G123" s="36"/>
      <x:c r="H123" s="36"/>
      <x:c r="I123" s="36"/>
      <x:c r="J123" s="37"/>
      <x:c r="K123" s="36"/>
      <x:c r="L123" s="36"/>
      <x:c r="M123" s="36"/>
      <x:c r="N123" s="36"/>
      <x:c r="O123" s="36"/>
      <x:c r="P123" s="63" t="str">
        <x:f>IF($A123="","",IF($M123="Sim",IFERROR($J123/MAX($N123,1),$J123),$J123))</x:f>
      </x:c>
      <x:c r="Q123" s="36"/>
      <x:c r="R123" s="36"/>
      <x:c r="S123" s="38"/>
      <x:c r="T123" s="38"/>
      <x:c r="U123" s="63" t="str">
        <x:f>IF($A123="","",$J123*$S123)</x:f>
      </x:c>
      <x:c r="V123" s="63" t="str">
        <x:f>IF($A123="","",$J123*$T123)</x:f>
      </x:c>
      <x:c r="W123" s="63" t="str">
        <x:f>IF($A123="","",IF($D123="Pedro Américo Paletot",$J123,0))</x:f>
      </x:c>
      <x:c r="X123" s="63" t="str">
        <x:f>IF($A123="","",IF($D123="Camilly Queiroz",$J123,0))</x:f>
      </x:c>
      <x:c r="Y123" s="63" t="str">
        <x:f>IF($A123="","",$W123-$U123)</x:f>
      </x:c>
      <x:c r="Z123" s="36"/>
      <x:c r="AA123" s="36"/>
    </x:row>
    <x:row r="124">
      <x:c r="A124" s="36"/>
      <x:c r="B124" s="36"/>
      <x:c r="C124" s="59"/>
      <x:c r="D124" s="36"/>
      <x:c r="E124" s="36"/>
      <x:c r="F124" s="36"/>
      <x:c r="G124" s="36"/>
      <x:c r="H124" s="36"/>
      <x:c r="I124" s="36"/>
      <x:c r="J124" s="37"/>
      <x:c r="K124" s="36"/>
      <x:c r="L124" s="36"/>
      <x:c r="M124" s="36"/>
      <x:c r="N124" s="36"/>
      <x:c r="O124" s="36"/>
      <x:c r="P124" s="63" t="str">
        <x:f>IF($A124="","",IF($M124="Sim",IFERROR($J124/MAX($N124,1),$J124),$J124))</x:f>
      </x:c>
      <x:c r="Q124" s="36"/>
      <x:c r="R124" s="36"/>
      <x:c r="S124" s="38"/>
      <x:c r="T124" s="38"/>
      <x:c r="U124" s="63" t="str">
        <x:f>IF($A124="","",$J124*$S124)</x:f>
      </x:c>
      <x:c r="V124" s="63" t="str">
        <x:f>IF($A124="","",$J124*$T124)</x:f>
      </x:c>
      <x:c r="W124" s="63" t="str">
        <x:f>IF($A124="","",IF($D124="Pedro Américo Paletot",$J124,0))</x:f>
      </x:c>
      <x:c r="X124" s="63" t="str">
        <x:f>IF($A124="","",IF($D124="Camilly Queiroz",$J124,0))</x:f>
      </x:c>
      <x:c r="Y124" s="63" t="str">
        <x:f>IF($A124="","",$W124-$U124)</x:f>
      </x:c>
      <x:c r="Z124" s="36"/>
      <x:c r="AA124" s="36"/>
    </x:row>
    <x:row r="125">
      <x:c r="A125" s="36"/>
      <x:c r="B125" s="36"/>
      <x:c r="C125" s="59"/>
      <x:c r="D125" s="36"/>
      <x:c r="E125" s="36"/>
      <x:c r="F125" s="36"/>
      <x:c r="G125" s="36"/>
      <x:c r="H125" s="36"/>
      <x:c r="I125" s="36"/>
      <x:c r="J125" s="37"/>
      <x:c r="K125" s="36"/>
      <x:c r="L125" s="36"/>
      <x:c r="M125" s="36"/>
      <x:c r="N125" s="36"/>
      <x:c r="O125" s="36"/>
      <x:c r="P125" s="63" t="str">
        <x:f>IF($A125="","",IF($M125="Sim",IFERROR($J125/MAX($N125,1),$J125),$J125))</x:f>
      </x:c>
      <x:c r="Q125" s="36"/>
      <x:c r="R125" s="36"/>
      <x:c r="S125" s="38"/>
      <x:c r="T125" s="38"/>
      <x:c r="U125" s="63" t="str">
        <x:f>IF($A125="","",$J125*$S125)</x:f>
      </x:c>
      <x:c r="V125" s="63" t="str">
        <x:f>IF($A125="","",$J125*$T125)</x:f>
      </x:c>
      <x:c r="W125" s="63" t="str">
        <x:f>IF($A125="","",IF($D125="Pedro Américo Paletot",$J125,0))</x:f>
      </x:c>
      <x:c r="X125" s="63" t="str">
        <x:f>IF($A125="","",IF($D125="Camilly Queiroz",$J125,0))</x:f>
      </x:c>
      <x:c r="Y125" s="63" t="str">
        <x:f>IF($A125="","",$W125-$U125)</x:f>
      </x:c>
      <x:c r="Z125" s="36"/>
      <x:c r="AA125" s="36"/>
    </x:row>
    <x:row r="126">
      <x:c r="A126" s="36"/>
      <x:c r="B126" s="36"/>
      <x:c r="C126" s="59"/>
      <x:c r="D126" s="36"/>
      <x:c r="E126" s="36"/>
      <x:c r="F126" s="36"/>
      <x:c r="G126" s="36"/>
      <x:c r="H126" s="36"/>
      <x:c r="I126" s="36"/>
      <x:c r="J126" s="37"/>
      <x:c r="K126" s="36"/>
      <x:c r="L126" s="36"/>
      <x:c r="M126" s="36"/>
      <x:c r="N126" s="36"/>
      <x:c r="O126" s="36"/>
      <x:c r="P126" s="63" t="str">
        <x:f>IF($A126="","",IF($M126="Sim",IFERROR($J126/MAX($N126,1),$J126),$J126))</x:f>
      </x:c>
      <x:c r="Q126" s="36"/>
      <x:c r="R126" s="36"/>
      <x:c r="S126" s="38"/>
      <x:c r="T126" s="38"/>
      <x:c r="U126" s="63" t="str">
        <x:f>IF($A126="","",$J126*$S126)</x:f>
      </x:c>
      <x:c r="V126" s="63" t="str">
        <x:f>IF($A126="","",$J126*$T126)</x:f>
      </x:c>
      <x:c r="W126" s="63" t="str">
        <x:f>IF($A126="","",IF($D126="Pedro Américo Paletot",$J126,0))</x:f>
      </x:c>
      <x:c r="X126" s="63" t="str">
        <x:f>IF($A126="","",IF($D126="Camilly Queiroz",$J126,0))</x:f>
      </x:c>
      <x:c r="Y126" s="63" t="str">
        <x:f>IF($A126="","",$W126-$U126)</x:f>
      </x:c>
      <x:c r="Z126" s="36"/>
      <x:c r="AA126" s="36"/>
    </x:row>
    <x:row r="127">
      <x:c r="A127" s="36"/>
      <x:c r="B127" s="36"/>
      <x:c r="C127" s="59"/>
      <x:c r="D127" s="36"/>
      <x:c r="E127" s="36"/>
      <x:c r="F127" s="36"/>
      <x:c r="G127" s="36"/>
      <x:c r="H127" s="36"/>
      <x:c r="I127" s="36"/>
      <x:c r="J127" s="37"/>
      <x:c r="K127" s="36"/>
      <x:c r="L127" s="36"/>
      <x:c r="M127" s="36"/>
      <x:c r="N127" s="36"/>
      <x:c r="O127" s="36"/>
      <x:c r="P127" s="63" t="str">
        <x:f>IF($A127="","",IF($M127="Sim",IFERROR($J127/MAX($N127,1),$J127),$J127))</x:f>
      </x:c>
      <x:c r="Q127" s="36"/>
      <x:c r="R127" s="36"/>
      <x:c r="S127" s="38"/>
      <x:c r="T127" s="38"/>
      <x:c r="U127" s="63" t="str">
        <x:f>IF($A127="","",$J127*$S127)</x:f>
      </x:c>
      <x:c r="V127" s="63" t="str">
        <x:f>IF($A127="","",$J127*$T127)</x:f>
      </x:c>
      <x:c r="W127" s="63" t="str">
        <x:f>IF($A127="","",IF($D127="Pedro Américo Paletot",$J127,0))</x:f>
      </x:c>
      <x:c r="X127" s="63" t="str">
        <x:f>IF($A127="","",IF($D127="Camilly Queiroz",$J127,0))</x:f>
      </x:c>
      <x:c r="Y127" s="63" t="str">
        <x:f>IF($A127="","",$W127-$U127)</x:f>
      </x:c>
      <x:c r="Z127" s="36"/>
      <x:c r="AA127" s="36"/>
    </x:row>
    <x:row r="128">
      <x:c r="A128" s="36"/>
      <x:c r="B128" s="36"/>
      <x:c r="C128" s="59"/>
      <x:c r="D128" s="36"/>
      <x:c r="E128" s="36"/>
      <x:c r="F128" s="36"/>
      <x:c r="G128" s="36"/>
      <x:c r="H128" s="36"/>
      <x:c r="I128" s="36"/>
      <x:c r="J128" s="37"/>
      <x:c r="K128" s="36"/>
      <x:c r="L128" s="36"/>
      <x:c r="M128" s="36"/>
      <x:c r="N128" s="36"/>
      <x:c r="O128" s="36"/>
      <x:c r="P128" s="63" t="str">
        <x:f>IF($A128="","",IF($M128="Sim",IFERROR($J128/MAX($N128,1),$J128),$J128))</x:f>
      </x:c>
      <x:c r="Q128" s="36"/>
      <x:c r="R128" s="36"/>
      <x:c r="S128" s="38"/>
      <x:c r="T128" s="38"/>
      <x:c r="U128" s="63" t="str">
        <x:f>IF($A128="","",$J128*$S128)</x:f>
      </x:c>
      <x:c r="V128" s="63" t="str">
        <x:f>IF($A128="","",$J128*$T128)</x:f>
      </x:c>
      <x:c r="W128" s="63" t="str">
        <x:f>IF($A128="","",IF($D128="Pedro Américo Paletot",$J128,0))</x:f>
      </x:c>
      <x:c r="X128" s="63" t="str">
        <x:f>IF($A128="","",IF($D128="Camilly Queiroz",$J128,0))</x:f>
      </x:c>
      <x:c r="Y128" s="63" t="str">
        <x:f>IF($A128="","",$W128-$U128)</x:f>
      </x:c>
      <x:c r="Z128" s="36"/>
      <x:c r="AA128" s="36"/>
    </x:row>
    <x:row r="129">
      <x:c r="A129" s="36"/>
      <x:c r="B129" s="36"/>
      <x:c r="C129" s="59"/>
      <x:c r="D129" s="36"/>
      <x:c r="E129" s="36"/>
      <x:c r="F129" s="36"/>
      <x:c r="G129" s="36"/>
      <x:c r="H129" s="36"/>
      <x:c r="I129" s="36"/>
      <x:c r="J129" s="37"/>
      <x:c r="K129" s="36"/>
      <x:c r="L129" s="36"/>
      <x:c r="M129" s="36"/>
      <x:c r="N129" s="36"/>
      <x:c r="O129" s="36"/>
      <x:c r="P129" s="63" t="str">
        <x:f>IF($A129="","",IF($M129="Sim",IFERROR($J129/MAX($N129,1),$J129),$J129))</x:f>
      </x:c>
      <x:c r="Q129" s="36"/>
      <x:c r="R129" s="36"/>
      <x:c r="S129" s="38"/>
      <x:c r="T129" s="38"/>
      <x:c r="U129" s="63" t="str">
        <x:f>IF($A129="","",$J129*$S129)</x:f>
      </x:c>
      <x:c r="V129" s="63" t="str">
        <x:f>IF($A129="","",$J129*$T129)</x:f>
      </x:c>
      <x:c r="W129" s="63" t="str">
        <x:f>IF($A129="","",IF($D129="Pedro Américo Paletot",$J129,0))</x:f>
      </x:c>
      <x:c r="X129" s="63" t="str">
        <x:f>IF($A129="","",IF($D129="Camilly Queiroz",$J129,0))</x:f>
      </x:c>
      <x:c r="Y129" s="63" t="str">
        <x:f>IF($A129="","",$W129-$U129)</x:f>
      </x:c>
      <x:c r="Z129" s="36"/>
      <x:c r="AA129" s="36"/>
    </x:row>
    <x:row r="130">
      <x:c r="A130" s="36"/>
      <x:c r="B130" s="36"/>
      <x:c r="C130" s="59"/>
      <x:c r="D130" s="36"/>
      <x:c r="E130" s="36"/>
      <x:c r="F130" s="36"/>
      <x:c r="G130" s="36"/>
      <x:c r="H130" s="36"/>
      <x:c r="I130" s="36"/>
      <x:c r="J130" s="37"/>
      <x:c r="K130" s="36"/>
      <x:c r="L130" s="36"/>
      <x:c r="M130" s="36"/>
      <x:c r="N130" s="36"/>
      <x:c r="O130" s="36"/>
      <x:c r="P130" s="63" t="str">
        <x:f>IF($A130="","",IF($M130="Sim",IFERROR($J130/MAX($N130,1),$J130),$J130))</x:f>
      </x:c>
      <x:c r="Q130" s="36"/>
      <x:c r="R130" s="36"/>
      <x:c r="S130" s="38"/>
      <x:c r="T130" s="38"/>
      <x:c r="U130" s="63" t="str">
        <x:f>IF($A130="","",$J130*$S130)</x:f>
      </x:c>
      <x:c r="V130" s="63" t="str">
        <x:f>IF($A130="","",$J130*$T130)</x:f>
      </x:c>
      <x:c r="W130" s="63" t="str">
        <x:f>IF($A130="","",IF($D130="Pedro Américo Paletot",$J130,0))</x:f>
      </x:c>
      <x:c r="X130" s="63" t="str">
        <x:f>IF($A130="","",IF($D130="Camilly Queiroz",$J130,0))</x:f>
      </x:c>
      <x:c r="Y130" s="63" t="str">
        <x:f>IF($A130="","",$W130-$U130)</x:f>
      </x:c>
      <x:c r="Z130" s="36"/>
      <x:c r="AA130" s="36"/>
    </x:row>
    <x:row r="131">
      <x:c r="A131" s="36"/>
      <x:c r="B131" s="36"/>
      <x:c r="C131" s="59"/>
      <x:c r="D131" s="36"/>
      <x:c r="E131" s="36"/>
      <x:c r="F131" s="36"/>
      <x:c r="G131" s="36"/>
      <x:c r="H131" s="36"/>
      <x:c r="I131" s="36"/>
      <x:c r="J131" s="37"/>
      <x:c r="K131" s="36"/>
      <x:c r="L131" s="36"/>
      <x:c r="M131" s="36"/>
      <x:c r="N131" s="36"/>
      <x:c r="O131" s="36"/>
      <x:c r="P131" s="63" t="str">
        <x:f>IF($A131="","",IF($M131="Sim",IFERROR($J131/MAX($N131,1),$J131),$J131))</x:f>
      </x:c>
      <x:c r="Q131" s="36"/>
      <x:c r="R131" s="36"/>
      <x:c r="S131" s="38"/>
      <x:c r="T131" s="38"/>
      <x:c r="U131" s="63" t="str">
        <x:f>IF($A131="","",$J131*$S131)</x:f>
      </x:c>
      <x:c r="V131" s="63" t="str">
        <x:f>IF($A131="","",$J131*$T131)</x:f>
      </x:c>
      <x:c r="W131" s="63" t="str">
        <x:f>IF($A131="","",IF($D131="Pedro Américo Paletot",$J131,0))</x:f>
      </x:c>
      <x:c r="X131" s="63" t="str">
        <x:f>IF($A131="","",IF($D131="Camilly Queiroz",$J131,0))</x:f>
      </x:c>
      <x:c r="Y131" s="63" t="str">
        <x:f>IF($A131="","",$W131-$U131)</x:f>
      </x:c>
      <x:c r="Z131" s="36"/>
      <x:c r="AA131" s="36"/>
    </x:row>
    <x:row r="132">
      <x:c r="A132" s="36"/>
      <x:c r="B132" s="36"/>
      <x:c r="C132" s="59"/>
      <x:c r="D132" s="36"/>
      <x:c r="E132" s="36"/>
      <x:c r="F132" s="36"/>
      <x:c r="G132" s="36"/>
      <x:c r="H132" s="36"/>
      <x:c r="I132" s="36"/>
      <x:c r="J132" s="37"/>
      <x:c r="K132" s="36"/>
      <x:c r="L132" s="36"/>
      <x:c r="M132" s="36"/>
      <x:c r="N132" s="36"/>
      <x:c r="O132" s="36"/>
      <x:c r="P132" s="63" t="str">
        <x:f>IF($A132="","",IF($M132="Sim",IFERROR($J132/MAX($N132,1),$J132),$J132))</x:f>
      </x:c>
      <x:c r="Q132" s="36"/>
      <x:c r="R132" s="36"/>
      <x:c r="S132" s="38"/>
      <x:c r="T132" s="38"/>
      <x:c r="U132" s="63" t="str">
        <x:f>IF($A132="","",$J132*$S132)</x:f>
      </x:c>
      <x:c r="V132" s="63" t="str">
        <x:f>IF($A132="","",$J132*$T132)</x:f>
      </x:c>
      <x:c r="W132" s="63" t="str">
        <x:f>IF($A132="","",IF($D132="Pedro Américo Paletot",$J132,0))</x:f>
      </x:c>
      <x:c r="X132" s="63" t="str">
        <x:f>IF($A132="","",IF($D132="Camilly Queiroz",$J132,0))</x:f>
      </x:c>
      <x:c r="Y132" s="63" t="str">
        <x:f>IF($A132="","",$W132-$U132)</x:f>
      </x:c>
      <x:c r="Z132" s="36"/>
      <x:c r="AA132" s="36"/>
    </x:row>
    <x:row r="133">
      <x:c r="A133" s="36"/>
      <x:c r="B133" s="36"/>
      <x:c r="C133" s="59"/>
      <x:c r="D133" s="36"/>
      <x:c r="E133" s="36"/>
      <x:c r="F133" s="36"/>
      <x:c r="G133" s="36"/>
      <x:c r="H133" s="36"/>
      <x:c r="I133" s="36"/>
      <x:c r="J133" s="37"/>
      <x:c r="K133" s="36"/>
      <x:c r="L133" s="36"/>
      <x:c r="M133" s="36"/>
      <x:c r="N133" s="36"/>
      <x:c r="O133" s="36"/>
      <x:c r="P133" s="63" t="str">
        <x:f>IF($A133="","",IF($M133="Sim",IFERROR($J133/MAX($N133,1),$J133),$J133))</x:f>
      </x:c>
      <x:c r="Q133" s="36"/>
      <x:c r="R133" s="36"/>
      <x:c r="S133" s="38"/>
      <x:c r="T133" s="38"/>
      <x:c r="U133" s="63" t="str">
        <x:f>IF($A133="","",$J133*$S133)</x:f>
      </x:c>
      <x:c r="V133" s="63" t="str">
        <x:f>IF($A133="","",$J133*$T133)</x:f>
      </x:c>
      <x:c r="W133" s="63" t="str">
        <x:f>IF($A133="","",IF($D133="Pedro Américo Paletot",$J133,0))</x:f>
      </x:c>
      <x:c r="X133" s="63" t="str">
        <x:f>IF($A133="","",IF($D133="Camilly Queiroz",$J133,0))</x:f>
      </x:c>
      <x:c r="Y133" s="63" t="str">
        <x:f>IF($A133="","",$W133-$U133)</x:f>
      </x:c>
      <x:c r="Z133" s="36"/>
      <x:c r="AA133" s="36"/>
    </x:row>
    <x:row r="134">
      <x:c r="A134" s="36"/>
      <x:c r="B134" s="36"/>
      <x:c r="C134" s="59"/>
      <x:c r="D134" s="36"/>
      <x:c r="E134" s="36"/>
      <x:c r="F134" s="36"/>
      <x:c r="G134" s="36"/>
      <x:c r="H134" s="36"/>
      <x:c r="I134" s="36"/>
      <x:c r="J134" s="37"/>
      <x:c r="K134" s="36"/>
      <x:c r="L134" s="36"/>
      <x:c r="M134" s="36"/>
      <x:c r="N134" s="36"/>
      <x:c r="O134" s="36"/>
      <x:c r="P134" s="63" t="str">
        <x:f>IF($A134="","",IF($M134="Sim",IFERROR($J134/MAX($N134,1),$J134),$J134))</x:f>
      </x:c>
      <x:c r="Q134" s="36"/>
      <x:c r="R134" s="36"/>
      <x:c r="S134" s="38"/>
      <x:c r="T134" s="38"/>
      <x:c r="U134" s="63" t="str">
        <x:f>IF($A134="","",$J134*$S134)</x:f>
      </x:c>
      <x:c r="V134" s="63" t="str">
        <x:f>IF($A134="","",$J134*$T134)</x:f>
      </x:c>
      <x:c r="W134" s="63" t="str">
        <x:f>IF($A134="","",IF($D134="Pedro Américo Paletot",$J134,0))</x:f>
      </x:c>
      <x:c r="X134" s="63" t="str">
        <x:f>IF($A134="","",IF($D134="Camilly Queiroz",$J134,0))</x:f>
      </x:c>
      <x:c r="Y134" s="63" t="str">
        <x:f>IF($A134="","",$W134-$U134)</x:f>
      </x:c>
      <x:c r="Z134" s="36"/>
      <x:c r="AA134" s="36"/>
    </x:row>
    <x:row r="135">
      <x:c r="A135" s="36"/>
      <x:c r="B135" s="36"/>
      <x:c r="C135" s="59"/>
      <x:c r="D135" s="36"/>
      <x:c r="E135" s="36"/>
      <x:c r="F135" s="36"/>
      <x:c r="G135" s="36"/>
      <x:c r="H135" s="36"/>
      <x:c r="I135" s="36"/>
      <x:c r="J135" s="37"/>
      <x:c r="K135" s="36"/>
      <x:c r="L135" s="36"/>
      <x:c r="M135" s="36"/>
      <x:c r="N135" s="36"/>
      <x:c r="O135" s="36"/>
      <x:c r="P135" s="63" t="str">
        <x:f>IF($A135="","",IF($M135="Sim",IFERROR($J135/MAX($N135,1),$J135),$J135))</x:f>
      </x:c>
      <x:c r="Q135" s="36"/>
      <x:c r="R135" s="36"/>
      <x:c r="S135" s="38"/>
      <x:c r="T135" s="38"/>
      <x:c r="U135" s="63" t="str">
        <x:f>IF($A135="","",$J135*$S135)</x:f>
      </x:c>
      <x:c r="V135" s="63" t="str">
        <x:f>IF($A135="","",$J135*$T135)</x:f>
      </x:c>
      <x:c r="W135" s="63" t="str">
        <x:f>IF($A135="","",IF($D135="Pedro Américo Paletot",$J135,0))</x:f>
      </x:c>
      <x:c r="X135" s="63" t="str">
        <x:f>IF($A135="","",IF($D135="Camilly Queiroz",$J135,0))</x:f>
      </x:c>
      <x:c r="Y135" s="63" t="str">
        <x:f>IF($A135="","",$W135-$U135)</x:f>
      </x:c>
      <x:c r="Z135" s="36"/>
      <x:c r="AA135" s="36"/>
    </x:row>
    <x:row r="136">
      <x:c r="A136" s="36"/>
      <x:c r="B136" s="36"/>
      <x:c r="C136" s="59"/>
      <x:c r="D136" s="36"/>
      <x:c r="E136" s="36"/>
      <x:c r="F136" s="36"/>
      <x:c r="G136" s="36"/>
      <x:c r="H136" s="36"/>
      <x:c r="I136" s="36"/>
      <x:c r="J136" s="37"/>
      <x:c r="K136" s="36"/>
      <x:c r="L136" s="36"/>
      <x:c r="M136" s="36"/>
      <x:c r="N136" s="36"/>
      <x:c r="O136" s="36"/>
      <x:c r="P136" s="63" t="str">
        <x:f>IF($A136="","",IF($M136="Sim",IFERROR($J136/MAX($N136,1),$J136),$J136))</x:f>
      </x:c>
      <x:c r="Q136" s="36"/>
      <x:c r="R136" s="36"/>
      <x:c r="S136" s="38"/>
      <x:c r="T136" s="38"/>
      <x:c r="U136" s="63" t="str">
        <x:f>IF($A136="","",$J136*$S136)</x:f>
      </x:c>
      <x:c r="V136" s="63" t="str">
        <x:f>IF($A136="","",$J136*$T136)</x:f>
      </x:c>
      <x:c r="W136" s="63" t="str">
        <x:f>IF($A136="","",IF($D136="Pedro Américo Paletot",$J136,0))</x:f>
      </x:c>
      <x:c r="X136" s="63" t="str">
        <x:f>IF($A136="","",IF($D136="Camilly Queiroz",$J136,0))</x:f>
      </x:c>
      <x:c r="Y136" s="63" t="str">
        <x:f>IF($A136="","",$W136-$U136)</x:f>
      </x:c>
      <x:c r="Z136" s="36"/>
      <x:c r="AA136" s="36"/>
    </x:row>
    <x:row r="137">
      <x:c r="A137" s="36"/>
      <x:c r="B137" s="36"/>
      <x:c r="C137" s="59"/>
      <x:c r="D137" s="36"/>
      <x:c r="E137" s="36"/>
      <x:c r="F137" s="36"/>
      <x:c r="G137" s="36"/>
      <x:c r="H137" s="36"/>
      <x:c r="I137" s="36"/>
      <x:c r="J137" s="37"/>
      <x:c r="K137" s="36"/>
      <x:c r="L137" s="36"/>
      <x:c r="M137" s="36"/>
      <x:c r="N137" s="36"/>
      <x:c r="O137" s="36"/>
      <x:c r="P137" s="63" t="str">
        <x:f>IF($A137="","",IF($M137="Sim",IFERROR($J137/MAX($N137,1),$J137),$J137))</x:f>
      </x:c>
      <x:c r="Q137" s="36"/>
      <x:c r="R137" s="36"/>
      <x:c r="S137" s="38"/>
      <x:c r="T137" s="38"/>
      <x:c r="U137" s="63" t="str">
        <x:f>IF($A137="","",$J137*$S137)</x:f>
      </x:c>
      <x:c r="V137" s="63" t="str">
        <x:f>IF($A137="","",$J137*$T137)</x:f>
      </x:c>
      <x:c r="W137" s="63" t="str">
        <x:f>IF($A137="","",IF($D137="Pedro Américo Paletot",$J137,0))</x:f>
      </x:c>
      <x:c r="X137" s="63" t="str">
        <x:f>IF($A137="","",IF($D137="Camilly Queiroz",$J137,0))</x:f>
      </x:c>
      <x:c r="Y137" s="63" t="str">
        <x:f>IF($A137="","",$W137-$U137)</x:f>
      </x:c>
      <x:c r="Z137" s="36"/>
      <x:c r="AA137" s="36"/>
    </x:row>
    <x:row r="138">
      <x:c r="A138" s="36"/>
      <x:c r="B138" s="36"/>
      <x:c r="C138" s="59"/>
      <x:c r="D138" s="36"/>
      <x:c r="E138" s="36"/>
      <x:c r="F138" s="36"/>
      <x:c r="G138" s="36"/>
      <x:c r="H138" s="36"/>
      <x:c r="I138" s="36"/>
      <x:c r="J138" s="37"/>
      <x:c r="K138" s="36"/>
      <x:c r="L138" s="36"/>
      <x:c r="M138" s="36"/>
      <x:c r="N138" s="36"/>
      <x:c r="O138" s="36"/>
      <x:c r="P138" s="63" t="str">
        <x:f>IF($A138="","",IF($M138="Sim",IFERROR($J138/MAX($N138,1),$J138),$J138))</x:f>
      </x:c>
      <x:c r="Q138" s="36"/>
      <x:c r="R138" s="36"/>
      <x:c r="S138" s="38"/>
      <x:c r="T138" s="38"/>
      <x:c r="U138" s="63" t="str">
        <x:f>IF($A138="","",$J138*$S138)</x:f>
      </x:c>
      <x:c r="V138" s="63" t="str">
        <x:f>IF($A138="","",$J138*$T138)</x:f>
      </x:c>
      <x:c r="W138" s="63" t="str">
        <x:f>IF($A138="","",IF($D138="Pedro Américo Paletot",$J138,0))</x:f>
      </x:c>
      <x:c r="X138" s="63" t="str">
        <x:f>IF($A138="","",IF($D138="Camilly Queiroz",$J138,0))</x:f>
      </x:c>
      <x:c r="Y138" s="63" t="str">
        <x:f>IF($A138="","",$W138-$U138)</x:f>
      </x:c>
      <x:c r="Z138" s="36"/>
      <x:c r="AA138" s="36"/>
    </x:row>
    <x:row r="139">
      <x:c r="A139" s="36"/>
      <x:c r="B139" s="36"/>
      <x:c r="C139" s="59"/>
      <x:c r="D139" s="36"/>
      <x:c r="E139" s="36"/>
      <x:c r="F139" s="36"/>
      <x:c r="G139" s="36"/>
      <x:c r="H139" s="36"/>
      <x:c r="I139" s="36"/>
      <x:c r="J139" s="37"/>
      <x:c r="K139" s="36"/>
      <x:c r="L139" s="36"/>
      <x:c r="M139" s="36"/>
      <x:c r="N139" s="36"/>
      <x:c r="O139" s="36"/>
      <x:c r="P139" s="63" t="str">
        <x:f>IF($A139="","",IF($M139="Sim",IFERROR($J139/MAX($N139,1),$J139),$J139))</x:f>
      </x:c>
      <x:c r="Q139" s="36"/>
      <x:c r="R139" s="36"/>
      <x:c r="S139" s="38"/>
      <x:c r="T139" s="38"/>
      <x:c r="U139" s="63" t="str">
        <x:f>IF($A139="","",$J139*$S139)</x:f>
      </x:c>
      <x:c r="V139" s="63" t="str">
        <x:f>IF($A139="","",$J139*$T139)</x:f>
      </x:c>
      <x:c r="W139" s="63" t="str">
        <x:f>IF($A139="","",IF($D139="Pedro Américo Paletot",$J139,0))</x:f>
      </x:c>
      <x:c r="X139" s="63" t="str">
        <x:f>IF($A139="","",IF($D139="Camilly Queiroz",$J139,0))</x:f>
      </x:c>
      <x:c r="Y139" s="63" t="str">
        <x:f>IF($A139="","",$W139-$U139)</x:f>
      </x:c>
      <x:c r="Z139" s="36"/>
      <x:c r="AA139" s="36"/>
    </x:row>
    <x:row r="140">
      <x:c r="A140" s="36"/>
      <x:c r="B140" s="36"/>
      <x:c r="C140" s="59"/>
      <x:c r="D140" s="36"/>
      <x:c r="E140" s="36"/>
      <x:c r="F140" s="36"/>
      <x:c r="G140" s="36"/>
      <x:c r="H140" s="36"/>
      <x:c r="I140" s="36"/>
      <x:c r="J140" s="37"/>
      <x:c r="K140" s="36"/>
      <x:c r="L140" s="36"/>
      <x:c r="M140" s="36"/>
      <x:c r="N140" s="36"/>
      <x:c r="O140" s="36"/>
      <x:c r="P140" s="63" t="str">
        <x:f>IF($A140="","",IF($M140="Sim",IFERROR($J140/MAX($N140,1),$J140),$J140))</x:f>
      </x:c>
      <x:c r="Q140" s="36"/>
      <x:c r="R140" s="36"/>
      <x:c r="S140" s="38"/>
      <x:c r="T140" s="38"/>
      <x:c r="U140" s="63" t="str">
        <x:f>IF($A140="","",$J140*$S140)</x:f>
      </x:c>
      <x:c r="V140" s="63" t="str">
        <x:f>IF($A140="","",$J140*$T140)</x:f>
      </x:c>
      <x:c r="W140" s="63" t="str">
        <x:f>IF($A140="","",IF($D140="Pedro Américo Paletot",$J140,0))</x:f>
      </x:c>
      <x:c r="X140" s="63" t="str">
        <x:f>IF($A140="","",IF($D140="Camilly Queiroz",$J140,0))</x:f>
      </x:c>
      <x:c r="Y140" s="63" t="str">
        <x:f>IF($A140="","",$W140-$U140)</x:f>
      </x:c>
      <x:c r="Z140" s="36"/>
      <x:c r="AA140" s="36"/>
    </x:row>
    <x:row r="141">
      <x:c r="A141" s="36"/>
      <x:c r="B141" s="36"/>
      <x:c r="C141" s="59"/>
      <x:c r="D141" s="36"/>
      <x:c r="E141" s="36"/>
      <x:c r="F141" s="36"/>
      <x:c r="G141" s="36"/>
      <x:c r="H141" s="36"/>
      <x:c r="I141" s="36"/>
      <x:c r="J141" s="37"/>
      <x:c r="K141" s="36"/>
      <x:c r="L141" s="36"/>
      <x:c r="M141" s="36"/>
      <x:c r="N141" s="36"/>
      <x:c r="O141" s="36"/>
      <x:c r="P141" s="63" t="str">
        <x:f>IF($A141="","",IF($M141="Sim",IFERROR($J141/MAX($N141,1),$J141),$J141))</x:f>
      </x:c>
      <x:c r="Q141" s="36"/>
      <x:c r="R141" s="36"/>
      <x:c r="S141" s="38"/>
      <x:c r="T141" s="38"/>
      <x:c r="U141" s="63" t="str">
        <x:f>IF($A141="","",$J141*$S141)</x:f>
      </x:c>
      <x:c r="V141" s="63" t="str">
        <x:f>IF($A141="","",$J141*$T141)</x:f>
      </x:c>
      <x:c r="W141" s="63" t="str">
        <x:f>IF($A141="","",IF($D141="Pedro Américo Paletot",$J141,0))</x:f>
      </x:c>
      <x:c r="X141" s="63" t="str">
        <x:f>IF($A141="","",IF($D141="Camilly Queiroz",$J141,0))</x:f>
      </x:c>
      <x:c r="Y141" s="63" t="str">
        <x:f>IF($A141="","",$W141-$U141)</x:f>
      </x:c>
      <x:c r="Z141" s="36"/>
      <x:c r="AA141" s="36"/>
    </x:row>
    <x:row r="142">
      <x:c r="A142" s="36"/>
      <x:c r="B142" s="36"/>
      <x:c r="C142" s="59"/>
      <x:c r="D142" s="36"/>
      <x:c r="E142" s="36"/>
      <x:c r="F142" s="36"/>
      <x:c r="G142" s="36"/>
      <x:c r="H142" s="36"/>
      <x:c r="I142" s="36"/>
      <x:c r="J142" s="37"/>
      <x:c r="K142" s="36"/>
      <x:c r="L142" s="36"/>
      <x:c r="M142" s="36"/>
      <x:c r="N142" s="36"/>
      <x:c r="O142" s="36"/>
      <x:c r="P142" s="63" t="str">
        <x:f>IF($A142="","",IF($M142="Sim",IFERROR($J142/MAX($N142,1),$J142),$J142))</x:f>
      </x:c>
      <x:c r="Q142" s="36"/>
      <x:c r="R142" s="36"/>
      <x:c r="S142" s="38"/>
      <x:c r="T142" s="38"/>
      <x:c r="U142" s="63" t="str">
        <x:f>IF($A142="","",$J142*$S142)</x:f>
      </x:c>
      <x:c r="V142" s="63" t="str">
        <x:f>IF($A142="","",$J142*$T142)</x:f>
      </x:c>
      <x:c r="W142" s="63" t="str">
        <x:f>IF($A142="","",IF($D142="Pedro Américo Paletot",$J142,0))</x:f>
      </x:c>
      <x:c r="X142" s="63" t="str">
        <x:f>IF($A142="","",IF($D142="Camilly Queiroz",$J142,0))</x:f>
      </x:c>
      <x:c r="Y142" s="63" t="str">
        <x:f>IF($A142="","",$W142-$U142)</x:f>
      </x:c>
      <x:c r="Z142" s="36"/>
      <x:c r="AA142" s="36"/>
    </x:row>
    <x:row r="143">
      <x:c r="A143" s="36"/>
      <x:c r="B143" s="36"/>
      <x:c r="C143" s="59"/>
      <x:c r="D143" s="36"/>
      <x:c r="E143" s="36"/>
      <x:c r="F143" s="36"/>
      <x:c r="G143" s="36"/>
      <x:c r="H143" s="36"/>
      <x:c r="I143" s="36"/>
      <x:c r="J143" s="37"/>
      <x:c r="K143" s="36"/>
      <x:c r="L143" s="36"/>
      <x:c r="M143" s="36"/>
      <x:c r="N143" s="36"/>
      <x:c r="O143" s="36"/>
      <x:c r="P143" s="63" t="str">
        <x:f>IF($A143="","",IF($M143="Sim",IFERROR($J143/MAX($N143,1),$J143),$J143))</x:f>
      </x:c>
      <x:c r="Q143" s="36"/>
      <x:c r="R143" s="36"/>
      <x:c r="S143" s="38"/>
      <x:c r="T143" s="38"/>
      <x:c r="U143" s="63" t="str">
        <x:f>IF($A143="","",$J143*$S143)</x:f>
      </x:c>
      <x:c r="V143" s="63" t="str">
        <x:f>IF($A143="","",$J143*$T143)</x:f>
      </x:c>
      <x:c r="W143" s="63" t="str">
        <x:f>IF($A143="","",IF($D143="Pedro Américo Paletot",$J143,0))</x:f>
      </x:c>
      <x:c r="X143" s="63" t="str">
        <x:f>IF($A143="","",IF($D143="Camilly Queiroz",$J143,0))</x:f>
      </x:c>
      <x:c r="Y143" s="63" t="str">
        <x:f>IF($A143="","",$W143-$U143)</x:f>
      </x:c>
      <x:c r="Z143" s="36"/>
      <x:c r="AA143" s="36"/>
    </x:row>
    <x:row r="144">
      <x:c r="A144" s="36"/>
      <x:c r="B144" s="36"/>
      <x:c r="C144" s="59"/>
      <x:c r="D144" s="36"/>
      <x:c r="E144" s="36"/>
      <x:c r="F144" s="36"/>
      <x:c r="G144" s="36"/>
      <x:c r="H144" s="36"/>
      <x:c r="I144" s="36"/>
      <x:c r="J144" s="37"/>
      <x:c r="K144" s="36"/>
      <x:c r="L144" s="36"/>
      <x:c r="M144" s="36"/>
      <x:c r="N144" s="36"/>
      <x:c r="O144" s="36"/>
      <x:c r="P144" s="63" t="str">
        <x:f>IF($A144="","",IF($M144="Sim",IFERROR($J144/MAX($N144,1),$J144),$J144))</x:f>
      </x:c>
      <x:c r="Q144" s="36"/>
      <x:c r="R144" s="36"/>
      <x:c r="S144" s="38"/>
      <x:c r="T144" s="38"/>
      <x:c r="U144" s="63" t="str">
        <x:f>IF($A144="","",$J144*$S144)</x:f>
      </x:c>
      <x:c r="V144" s="63" t="str">
        <x:f>IF($A144="","",$J144*$T144)</x:f>
      </x:c>
      <x:c r="W144" s="63" t="str">
        <x:f>IF($A144="","",IF($D144="Pedro Américo Paletot",$J144,0))</x:f>
      </x:c>
      <x:c r="X144" s="63" t="str">
        <x:f>IF($A144="","",IF($D144="Camilly Queiroz",$J144,0))</x:f>
      </x:c>
      <x:c r="Y144" s="63" t="str">
        <x:f>IF($A144="","",$W144-$U144)</x:f>
      </x:c>
      <x:c r="Z144" s="36"/>
      <x:c r="AA144" s="36"/>
    </x:row>
    <x:row r="145">
      <x:c r="A145" s="36"/>
      <x:c r="B145" s="36"/>
      <x:c r="C145" s="59"/>
      <x:c r="D145" s="36"/>
      <x:c r="E145" s="36"/>
      <x:c r="F145" s="36"/>
      <x:c r="G145" s="36"/>
      <x:c r="H145" s="36"/>
      <x:c r="I145" s="36"/>
      <x:c r="J145" s="37"/>
      <x:c r="K145" s="36"/>
      <x:c r="L145" s="36"/>
      <x:c r="M145" s="36"/>
      <x:c r="N145" s="36"/>
      <x:c r="O145" s="36"/>
      <x:c r="P145" s="63" t="str">
        <x:f>IF($A145="","",IF($M145="Sim",IFERROR($J145/MAX($N145,1),$J145),$J145))</x:f>
      </x:c>
      <x:c r="Q145" s="36"/>
      <x:c r="R145" s="36"/>
      <x:c r="S145" s="38"/>
      <x:c r="T145" s="38"/>
      <x:c r="U145" s="63" t="str">
        <x:f>IF($A145="","",$J145*$S145)</x:f>
      </x:c>
      <x:c r="V145" s="63" t="str">
        <x:f>IF($A145="","",$J145*$T145)</x:f>
      </x:c>
      <x:c r="W145" s="63" t="str">
        <x:f>IF($A145="","",IF($D145="Pedro Américo Paletot",$J145,0))</x:f>
      </x:c>
      <x:c r="X145" s="63" t="str">
        <x:f>IF($A145="","",IF($D145="Camilly Queiroz",$J145,0))</x:f>
      </x:c>
      <x:c r="Y145" s="63" t="str">
        <x:f>IF($A145="","",$W145-$U145)</x:f>
      </x:c>
      <x:c r="Z145" s="36"/>
      <x:c r="AA145" s="36"/>
    </x:row>
    <x:row r="146">
      <x:c r="A146" s="36"/>
      <x:c r="B146" s="36"/>
      <x:c r="C146" s="59"/>
      <x:c r="D146" s="36"/>
      <x:c r="E146" s="36"/>
      <x:c r="F146" s="36"/>
      <x:c r="G146" s="36"/>
      <x:c r="H146" s="36"/>
      <x:c r="I146" s="36"/>
      <x:c r="J146" s="37"/>
      <x:c r="K146" s="36"/>
      <x:c r="L146" s="36"/>
      <x:c r="M146" s="36"/>
      <x:c r="N146" s="36"/>
      <x:c r="O146" s="36"/>
      <x:c r="P146" s="63" t="str">
        <x:f>IF($A146="","",IF($M146="Sim",IFERROR($J146/MAX($N146,1),$J146),$J146))</x:f>
      </x:c>
      <x:c r="Q146" s="36"/>
      <x:c r="R146" s="36"/>
      <x:c r="S146" s="38"/>
      <x:c r="T146" s="38"/>
      <x:c r="U146" s="63" t="str">
        <x:f>IF($A146="","",$J146*$S146)</x:f>
      </x:c>
      <x:c r="V146" s="63" t="str">
        <x:f>IF($A146="","",$J146*$T146)</x:f>
      </x:c>
      <x:c r="W146" s="63" t="str">
        <x:f>IF($A146="","",IF($D146="Pedro Américo Paletot",$J146,0))</x:f>
      </x:c>
      <x:c r="X146" s="63" t="str">
        <x:f>IF($A146="","",IF($D146="Camilly Queiroz",$J146,0))</x:f>
      </x:c>
      <x:c r="Y146" s="63" t="str">
        <x:f>IF($A146="","",$W146-$U146)</x:f>
      </x:c>
      <x:c r="Z146" s="36"/>
      <x:c r="AA146" s="36"/>
    </x:row>
    <x:row r="147">
      <x:c r="A147" s="36"/>
      <x:c r="B147" s="36"/>
      <x:c r="C147" s="59"/>
      <x:c r="D147" s="36"/>
      <x:c r="E147" s="36"/>
      <x:c r="F147" s="36"/>
      <x:c r="G147" s="36"/>
      <x:c r="H147" s="36"/>
      <x:c r="I147" s="36"/>
      <x:c r="J147" s="37"/>
      <x:c r="K147" s="36"/>
      <x:c r="L147" s="36"/>
      <x:c r="M147" s="36"/>
      <x:c r="N147" s="36"/>
      <x:c r="O147" s="36"/>
      <x:c r="P147" s="63" t="str">
        <x:f>IF($A147="","",IF($M147="Sim",IFERROR($J147/MAX($N147,1),$J147),$J147))</x:f>
      </x:c>
      <x:c r="Q147" s="36"/>
      <x:c r="R147" s="36"/>
      <x:c r="S147" s="38"/>
      <x:c r="T147" s="38"/>
      <x:c r="U147" s="63" t="str">
        <x:f>IF($A147="","",$J147*$S147)</x:f>
      </x:c>
      <x:c r="V147" s="63" t="str">
        <x:f>IF($A147="","",$J147*$T147)</x:f>
      </x:c>
      <x:c r="W147" s="63" t="str">
        <x:f>IF($A147="","",IF($D147="Pedro Américo Paletot",$J147,0))</x:f>
      </x:c>
      <x:c r="X147" s="63" t="str">
        <x:f>IF($A147="","",IF($D147="Camilly Queiroz",$J147,0))</x:f>
      </x:c>
      <x:c r="Y147" s="63" t="str">
        <x:f>IF($A147="","",$W147-$U147)</x:f>
      </x:c>
      <x:c r="Z147" s="36"/>
      <x:c r="AA147" s="36"/>
    </x:row>
    <x:row r="148">
      <x:c r="A148" s="36"/>
      <x:c r="B148" s="36"/>
      <x:c r="C148" s="59"/>
      <x:c r="D148" s="36"/>
      <x:c r="E148" s="36"/>
      <x:c r="F148" s="36"/>
      <x:c r="G148" s="36"/>
      <x:c r="H148" s="36"/>
      <x:c r="I148" s="36"/>
      <x:c r="J148" s="37"/>
      <x:c r="K148" s="36"/>
      <x:c r="L148" s="36"/>
      <x:c r="M148" s="36"/>
      <x:c r="N148" s="36"/>
      <x:c r="O148" s="36"/>
      <x:c r="P148" s="63" t="str">
        <x:f>IF($A148="","",IF($M148="Sim",IFERROR($J148/MAX($N148,1),$J148),$J148))</x:f>
      </x:c>
      <x:c r="Q148" s="36"/>
      <x:c r="R148" s="36"/>
      <x:c r="S148" s="38"/>
      <x:c r="T148" s="38"/>
      <x:c r="U148" s="63" t="str">
        <x:f>IF($A148="","",$J148*$S148)</x:f>
      </x:c>
      <x:c r="V148" s="63" t="str">
        <x:f>IF($A148="","",$J148*$T148)</x:f>
      </x:c>
      <x:c r="W148" s="63" t="str">
        <x:f>IF($A148="","",IF($D148="Pedro Américo Paletot",$J148,0))</x:f>
      </x:c>
      <x:c r="X148" s="63" t="str">
        <x:f>IF($A148="","",IF($D148="Camilly Queiroz",$J148,0))</x:f>
      </x:c>
      <x:c r="Y148" s="63" t="str">
        <x:f>IF($A148="","",$W148-$U148)</x:f>
      </x:c>
      <x:c r="Z148" s="36"/>
      <x:c r="AA148" s="36"/>
    </x:row>
    <x:row r="149">
      <x:c r="A149" s="36"/>
      <x:c r="B149" s="36"/>
      <x:c r="C149" s="59"/>
      <x:c r="D149" s="36"/>
      <x:c r="E149" s="36"/>
      <x:c r="F149" s="36"/>
      <x:c r="G149" s="36"/>
      <x:c r="H149" s="36"/>
      <x:c r="I149" s="36"/>
      <x:c r="J149" s="37"/>
      <x:c r="K149" s="36"/>
      <x:c r="L149" s="36"/>
      <x:c r="M149" s="36"/>
      <x:c r="N149" s="36"/>
      <x:c r="O149" s="36"/>
      <x:c r="P149" s="63" t="str">
        <x:f>IF($A149="","",IF($M149="Sim",IFERROR($J149/MAX($N149,1),$J149),$J149))</x:f>
      </x:c>
      <x:c r="Q149" s="36"/>
      <x:c r="R149" s="36"/>
      <x:c r="S149" s="38"/>
      <x:c r="T149" s="38"/>
      <x:c r="U149" s="63" t="str">
        <x:f>IF($A149="","",$J149*$S149)</x:f>
      </x:c>
      <x:c r="V149" s="63" t="str">
        <x:f>IF($A149="","",$J149*$T149)</x:f>
      </x:c>
      <x:c r="W149" s="63" t="str">
        <x:f>IF($A149="","",IF($D149="Pedro Américo Paletot",$J149,0))</x:f>
      </x:c>
      <x:c r="X149" s="63" t="str">
        <x:f>IF($A149="","",IF($D149="Camilly Queiroz",$J149,0))</x:f>
      </x:c>
      <x:c r="Y149" s="63" t="str">
        <x:f>IF($A149="","",$W149-$U149)</x:f>
      </x:c>
      <x:c r="Z149" s="36"/>
      <x:c r="AA149" s="36"/>
    </x:row>
    <x:row r="150">
      <x:c r="A150" s="36"/>
      <x:c r="B150" s="36"/>
      <x:c r="C150" s="59"/>
      <x:c r="D150" s="36"/>
      <x:c r="E150" s="36"/>
      <x:c r="F150" s="36"/>
      <x:c r="G150" s="36"/>
      <x:c r="H150" s="36"/>
      <x:c r="I150" s="36"/>
      <x:c r="J150" s="37"/>
      <x:c r="K150" s="36"/>
      <x:c r="L150" s="36"/>
      <x:c r="M150" s="36"/>
      <x:c r="N150" s="36"/>
      <x:c r="O150" s="36"/>
      <x:c r="P150" s="63" t="str">
        <x:f>IF($A150="","",IF($M150="Sim",IFERROR($J150/MAX($N150,1),$J150),$J150))</x:f>
      </x:c>
      <x:c r="Q150" s="36"/>
      <x:c r="R150" s="36"/>
      <x:c r="S150" s="38"/>
      <x:c r="T150" s="38"/>
      <x:c r="U150" s="63" t="str">
        <x:f>IF($A150="","",$J150*$S150)</x:f>
      </x:c>
      <x:c r="V150" s="63" t="str">
        <x:f>IF($A150="","",$J150*$T150)</x:f>
      </x:c>
      <x:c r="W150" s="63" t="str">
        <x:f>IF($A150="","",IF($D150="Pedro Américo Paletot",$J150,0))</x:f>
      </x:c>
      <x:c r="X150" s="63" t="str">
        <x:f>IF($A150="","",IF($D150="Camilly Queiroz",$J150,0))</x:f>
      </x:c>
      <x:c r="Y150" s="63" t="str">
        <x:f>IF($A150="","",$W150-$U150)</x:f>
      </x:c>
      <x:c r="Z150" s="36"/>
      <x:c r="AA150" s="36"/>
    </x:row>
    <x:row r="151">
      <x:c r="A151" s="36"/>
      <x:c r="B151" s="36"/>
      <x:c r="C151" s="59"/>
      <x:c r="D151" s="36"/>
      <x:c r="E151" s="36"/>
      <x:c r="F151" s="36"/>
      <x:c r="G151" s="36"/>
      <x:c r="H151" s="36"/>
      <x:c r="I151" s="36"/>
      <x:c r="J151" s="37"/>
      <x:c r="K151" s="36"/>
      <x:c r="L151" s="36"/>
      <x:c r="M151" s="36"/>
      <x:c r="N151" s="36"/>
      <x:c r="O151" s="36"/>
      <x:c r="P151" s="63" t="str">
        <x:f>IF($A151="","",IF($M151="Sim",IFERROR($J151/MAX($N151,1),$J151),$J151))</x:f>
      </x:c>
      <x:c r="Q151" s="36"/>
      <x:c r="R151" s="36"/>
      <x:c r="S151" s="38"/>
      <x:c r="T151" s="38"/>
      <x:c r="U151" s="63" t="str">
        <x:f>IF($A151="","",$J151*$S151)</x:f>
      </x:c>
      <x:c r="V151" s="63" t="str">
        <x:f>IF($A151="","",$J151*$T151)</x:f>
      </x:c>
      <x:c r="W151" s="63" t="str">
        <x:f>IF($A151="","",IF($D151="Pedro Américo Paletot",$J151,0))</x:f>
      </x:c>
      <x:c r="X151" s="63" t="str">
        <x:f>IF($A151="","",IF($D151="Camilly Queiroz",$J151,0))</x:f>
      </x:c>
      <x:c r="Y151" s="63" t="str">
        <x:f>IF($A151="","",$W151-$U151)</x:f>
      </x:c>
      <x:c r="Z151" s="36"/>
      <x:c r="AA151" s="36"/>
    </x:row>
    <x:row r="152">
      <x:c r="A152" s="36"/>
      <x:c r="B152" s="36"/>
      <x:c r="C152" s="59"/>
      <x:c r="D152" s="36"/>
      <x:c r="E152" s="36"/>
      <x:c r="F152" s="36"/>
      <x:c r="G152" s="36"/>
      <x:c r="H152" s="36"/>
      <x:c r="I152" s="36"/>
      <x:c r="J152" s="37"/>
      <x:c r="K152" s="36"/>
      <x:c r="L152" s="36"/>
      <x:c r="M152" s="36"/>
      <x:c r="N152" s="36"/>
      <x:c r="O152" s="36"/>
      <x:c r="P152" s="63" t="str">
        <x:f>IF($A152="","",IF($M152="Sim",IFERROR($J152/MAX($N152,1),$J152),$J152))</x:f>
      </x:c>
      <x:c r="Q152" s="36"/>
      <x:c r="R152" s="36"/>
      <x:c r="S152" s="38"/>
      <x:c r="T152" s="38"/>
      <x:c r="U152" s="63" t="str">
        <x:f>IF($A152="","",$J152*$S152)</x:f>
      </x:c>
      <x:c r="V152" s="63" t="str">
        <x:f>IF($A152="","",$J152*$T152)</x:f>
      </x:c>
      <x:c r="W152" s="63" t="str">
        <x:f>IF($A152="","",IF($D152="Pedro Américo Paletot",$J152,0))</x:f>
      </x:c>
      <x:c r="X152" s="63" t="str">
        <x:f>IF($A152="","",IF($D152="Camilly Queiroz",$J152,0))</x:f>
      </x:c>
      <x:c r="Y152" s="63" t="str">
        <x:f>IF($A152="","",$W152-$U152)</x:f>
      </x:c>
      <x:c r="Z152" s="36"/>
      <x:c r="AA152" s="36"/>
    </x:row>
    <x:row r="153">
      <x:c r="A153" s="36"/>
      <x:c r="B153" s="36"/>
      <x:c r="C153" s="59"/>
      <x:c r="D153" s="36"/>
      <x:c r="E153" s="36"/>
      <x:c r="F153" s="36"/>
      <x:c r="G153" s="36"/>
      <x:c r="H153" s="36"/>
      <x:c r="I153" s="36"/>
      <x:c r="J153" s="37"/>
      <x:c r="K153" s="36"/>
      <x:c r="L153" s="36"/>
      <x:c r="M153" s="36"/>
      <x:c r="N153" s="36"/>
      <x:c r="O153" s="36"/>
      <x:c r="P153" s="63" t="str">
        <x:f>IF($A153="","",IF($M153="Sim",IFERROR($J153/MAX($N153,1),$J153),$J153))</x:f>
      </x:c>
      <x:c r="Q153" s="36"/>
      <x:c r="R153" s="36"/>
      <x:c r="S153" s="38"/>
      <x:c r="T153" s="38"/>
      <x:c r="U153" s="63" t="str">
        <x:f>IF($A153="","",$J153*$S153)</x:f>
      </x:c>
      <x:c r="V153" s="63" t="str">
        <x:f>IF($A153="","",$J153*$T153)</x:f>
      </x:c>
      <x:c r="W153" s="63" t="str">
        <x:f>IF($A153="","",IF($D153="Pedro Américo Paletot",$J153,0))</x:f>
      </x:c>
      <x:c r="X153" s="63" t="str">
        <x:f>IF($A153="","",IF($D153="Camilly Queiroz",$J153,0))</x:f>
      </x:c>
      <x:c r="Y153" s="63" t="str">
        <x:f>IF($A153="","",$W153-$U153)</x:f>
      </x:c>
      <x:c r="Z153" s="36"/>
      <x:c r="AA153" s="36"/>
    </x:row>
    <x:row r="154">
      <x:c r="A154" s="36"/>
      <x:c r="B154" s="36"/>
      <x:c r="C154" s="59"/>
      <x:c r="D154" s="36"/>
      <x:c r="E154" s="36"/>
      <x:c r="F154" s="36"/>
      <x:c r="G154" s="36"/>
      <x:c r="H154" s="36"/>
      <x:c r="I154" s="36"/>
      <x:c r="J154" s="37"/>
      <x:c r="K154" s="36"/>
      <x:c r="L154" s="36"/>
      <x:c r="M154" s="36"/>
      <x:c r="N154" s="36"/>
      <x:c r="O154" s="36"/>
      <x:c r="P154" s="63" t="str">
        <x:f>IF($A154="","",IF($M154="Sim",IFERROR($J154/MAX($N154,1),$J154),$J154))</x:f>
      </x:c>
      <x:c r="Q154" s="36"/>
      <x:c r="R154" s="36"/>
      <x:c r="S154" s="38"/>
      <x:c r="T154" s="38"/>
      <x:c r="U154" s="63" t="str">
        <x:f>IF($A154="","",$J154*$S154)</x:f>
      </x:c>
      <x:c r="V154" s="63" t="str">
        <x:f>IF($A154="","",$J154*$T154)</x:f>
      </x:c>
      <x:c r="W154" s="63" t="str">
        <x:f>IF($A154="","",IF($D154="Pedro Américo Paletot",$J154,0))</x:f>
      </x:c>
      <x:c r="X154" s="63" t="str">
        <x:f>IF($A154="","",IF($D154="Camilly Queiroz",$J154,0))</x:f>
      </x:c>
      <x:c r="Y154" s="63" t="str">
        <x:f>IF($A154="","",$W154-$U154)</x:f>
      </x:c>
      <x:c r="Z154" s="36"/>
      <x:c r="AA154" s="36"/>
    </x:row>
    <x:row r="155">
      <x:c r="A155" s="36"/>
      <x:c r="B155" s="36"/>
      <x:c r="C155" s="59"/>
      <x:c r="D155" s="36"/>
      <x:c r="E155" s="36"/>
      <x:c r="F155" s="36"/>
      <x:c r="G155" s="36"/>
      <x:c r="H155" s="36"/>
      <x:c r="I155" s="36"/>
      <x:c r="J155" s="37"/>
      <x:c r="K155" s="36"/>
      <x:c r="L155" s="36"/>
      <x:c r="M155" s="36"/>
      <x:c r="N155" s="36"/>
      <x:c r="O155" s="36"/>
      <x:c r="P155" s="63" t="str">
        <x:f>IF($A155="","",IF($M155="Sim",IFERROR($J155/MAX($N155,1),$J155),$J155))</x:f>
      </x:c>
      <x:c r="Q155" s="36"/>
      <x:c r="R155" s="36"/>
      <x:c r="S155" s="38"/>
      <x:c r="T155" s="38"/>
      <x:c r="U155" s="63" t="str">
        <x:f>IF($A155="","",$J155*$S155)</x:f>
      </x:c>
      <x:c r="V155" s="63" t="str">
        <x:f>IF($A155="","",$J155*$T155)</x:f>
      </x:c>
      <x:c r="W155" s="63" t="str">
        <x:f>IF($A155="","",IF($D155="Pedro Américo Paletot",$J155,0))</x:f>
      </x:c>
      <x:c r="X155" s="63" t="str">
        <x:f>IF($A155="","",IF($D155="Camilly Queiroz",$J155,0))</x:f>
      </x:c>
      <x:c r="Y155" s="63" t="str">
        <x:f>IF($A155="","",$W155-$U155)</x:f>
      </x:c>
      <x:c r="Z155" s="36"/>
      <x:c r="AA155" s="36"/>
    </x:row>
    <x:row r="156">
      <x:c r="A156" s="36"/>
      <x:c r="B156" s="36"/>
      <x:c r="C156" s="59"/>
      <x:c r="D156" s="36"/>
      <x:c r="E156" s="36"/>
      <x:c r="F156" s="36"/>
      <x:c r="G156" s="36"/>
      <x:c r="H156" s="36"/>
      <x:c r="I156" s="36"/>
      <x:c r="J156" s="37"/>
      <x:c r="K156" s="36"/>
      <x:c r="L156" s="36"/>
      <x:c r="M156" s="36"/>
      <x:c r="N156" s="36"/>
      <x:c r="O156" s="36"/>
      <x:c r="P156" s="63" t="str">
        <x:f>IF($A156="","",IF($M156="Sim",IFERROR($J156/MAX($N156,1),$J156),$J156))</x:f>
      </x:c>
      <x:c r="Q156" s="36"/>
      <x:c r="R156" s="36"/>
      <x:c r="S156" s="38"/>
      <x:c r="T156" s="38"/>
      <x:c r="U156" s="63" t="str">
        <x:f>IF($A156="","",$J156*$S156)</x:f>
      </x:c>
      <x:c r="V156" s="63" t="str">
        <x:f>IF($A156="","",$J156*$T156)</x:f>
      </x:c>
      <x:c r="W156" s="63" t="str">
        <x:f>IF($A156="","",IF($D156="Pedro Américo Paletot",$J156,0))</x:f>
      </x:c>
      <x:c r="X156" s="63" t="str">
        <x:f>IF($A156="","",IF($D156="Camilly Queiroz",$J156,0))</x:f>
      </x:c>
      <x:c r="Y156" s="63" t="str">
        <x:f>IF($A156="","",$W156-$U156)</x:f>
      </x:c>
      <x:c r="Z156" s="36"/>
      <x:c r="AA156" s="36"/>
    </x:row>
    <x:row r="157">
      <x:c r="A157" s="36"/>
      <x:c r="B157" s="36"/>
      <x:c r="C157" s="59"/>
      <x:c r="D157" s="36"/>
      <x:c r="E157" s="36"/>
      <x:c r="F157" s="36"/>
      <x:c r="G157" s="36"/>
      <x:c r="H157" s="36"/>
      <x:c r="I157" s="36"/>
      <x:c r="J157" s="37"/>
      <x:c r="K157" s="36"/>
      <x:c r="L157" s="36"/>
      <x:c r="M157" s="36"/>
      <x:c r="N157" s="36"/>
      <x:c r="O157" s="36"/>
      <x:c r="P157" s="63" t="str">
        <x:f>IF($A157="","",IF($M157="Sim",IFERROR($J157/MAX($N157,1),$J157),$J157))</x:f>
      </x:c>
      <x:c r="Q157" s="36"/>
      <x:c r="R157" s="36"/>
      <x:c r="S157" s="38"/>
      <x:c r="T157" s="38"/>
      <x:c r="U157" s="63" t="str">
        <x:f>IF($A157="","",$J157*$S157)</x:f>
      </x:c>
      <x:c r="V157" s="63" t="str">
        <x:f>IF($A157="","",$J157*$T157)</x:f>
      </x:c>
      <x:c r="W157" s="63" t="str">
        <x:f>IF($A157="","",IF($D157="Pedro Américo Paletot",$J157,0))</x:f>
      </x:c>
      <x:c r="X157" s="63" t="str">
        <x:f>IF($A157="","",IF($D157="Camilly Queiroz",$J157,0))</x:f>
      </x:c>
      <x:c r="Y157" s="63" t="str">
        <x:f>IF($A157="","",$W157-$U157)</x:f>
      </x:c>
      <x:c r="Z157" s="36"/>
      <x:c r="AA157" s="36"/>
    </x:row>
    <x:row r="158">
      <x:c r="A158" s="36"/>
      <x:c r="B158" s="36"/>
      <x:c r="C158" s="59"/>
      <x:c r="D158" s="36"/>
      <x:c r="E158" s="36"/>
      <x:c r="F158" s="36"/>
      <x:c r="G158" s="36"/>
      <x:c r="H158" s="36"/>
      <x:c r="I158" s="36"/>
      <x:c r="J158" s="37"/>
      <x:c r="K158" s="36"/>
      <x:c r="L158" s="36"/>
      <x:c r="M158" s="36"/>
      <x:c r="N158" s="36"/>
      <x:c r="O158" s="36"/>
      <x:c r="P158" s="63" t="str">
        <x:f>IF($A158="","",IF($M158="Sim",IFERROR($J158/MAX($N158,1),$J158),$J158))</x:f>
      </x:c>
      <x:c r="Q158" s="36"/>
      <x:c r="R158" s="36"/>
      <x:c r="S158" s="38"/>
      <x:c r="T158" s="38"/>
      <x:c r="U158" s="63" t="str">
        <x:f>IF($A158="","",$J158*$S158)</x:f>
      </x:c>
      <x:c r="V158" s="63" t="str">
        <x:f>IF($A158="","",$J158*$T158)</x:f>
      </x:c>
      <x:c r="W158" s="63" t="str">
        <x:f>IF($A158="","",IF($D158="Pedro Américo Paletot",$J158,0))</x:f>
      </x:c>
      <x:c r="X158" s="63" t="str">
        <x:f>IF($A158="","",IF($D158="Camilly Queiroz",$J158,0))</x:f>
      </x:c>
      <x:c r="Y158" s="63" t="str">
        <x:f>IF($A158="","",$W158-$U158)</x:f>
      </x:c>
      <x:c r="Z158" s="36"/>
      <x:c r="AA158" s="36"/>
    </x:row>
    <x:row r="159">
      <x:c r="A159" s="36"/>
      <x:c r="B159" s="36"/>
      <x:c r="C159" s="59"/>
      <x:c r="D159" s="36"/>
      <x:c r="E159" s="36"/>
      <x:c r="F159" s="36"/>
      <x:c r="G159" s="36"/>
      <x:c r="H159" s="36"/>
      <x:c r="I159" s="36"/>
      <x:c r="J159" s="37"/>
      <x:c r="K159" s="36"/>
      <x:c r="L159" s="36"/>
      <x:c r="M159" s="36"/>
      <x:c r="N159" s="36"/>
      <x:c r="O159" s="36"/>
      <x:c r="P159" s="63" t="str">
        <x:f>IF($A159="","",IF($M159="Sim",IFERROR($J159/MAX($N159,1),$J159),$J159))</x:f>
      </x:c>
      <x:c r="Q159" s="36"/>
      <x:c r="R159" s="36"/>
      <x:c r="S159" s="38"/>
      <x:c r="T159" s="38"/>
      <x:c r="U159" s="63" t="str">
        <x:f>IF($A159="","",$J159*$S159)</x:f>
      </x:c>
      <x:c r="V159" s="63" t="str">
        <x:f>IF($A159="","",$J159*$T159)</x:f>
      </x:c>
      <x:c r="W159" s="63" t="str">
        <x:f>IF($A159="","",IF($D159="Pedro Américo Paletot",$J159,0))</x:f>
      </x:c>
      <x:c r="X159" s="63" t="str">
        <x:f>IF($A159="","",IF($D159="Camilly Queiroz",$J159,0))</x:f>
      </x:c>
      <x:c r="Y159" s="63" t="str">
        <x:f>IF($A159="","",$W159-$U159)</x:f>
      </x:c>
      <x:c r="Z159" s="36"/>
      <x:c r="AA159" s="36"/>
    </x:row>
    <x:row r="160">
      <x:c r="A160" s="36"/>
      <x:c r="B160" s="36"/>
      <x:c r="C160" s="59"/>
      <x:c r="D160" s="36"/>
      <x:c r="E160" s="36"/>
      <x:c r="F160" s="36"/>
      <x:c r="G160" s="36"/>
      <x:c r="H160" s="36"/>
      <x:c r="I160" s="36"/>
      <x:c r="J160" s="37"/>
      <x:c r="K160" s="36"/>
      <x:c r="L160" s="36"/>
      <x:c r="M160" s="36"/>
      <x:c r="N160" s="36"/>
      <x:c r="O160" s="36"/>
      <x:c r="P160" s="63" t="str">
        <x:f>IF($A160="","",IF($M160="Sim",IFERROR($J160/MAX($N160,1),$J160),$J160))</x:f>
      </x:c>
      <x:c r="Q160" s="36"/>
      <x:c r="R160" s="36"/>
      <x:c r="S160" s="38"/>
      <x:c r="T160" s="38"/>
      <x:c r="U160" s="63" t="str">
        <x:f>IF($A160="","",$J160*$S160)</x:f>
      </x:c>
      <x:c r="V160" s="63" t="str">
        <x:f>IF($A160="","",$J160*$T160)</x:f>
      </x:c>
      <x:c r="W160" s="63" t="str">
        <x:f>IF($A160="","",IF($D160="Pedro Américo Paletot",$J160,0))</x:f>
      </x:c>
      <x:c r="X160" s="63" t="str">
        <x:f>IF($A160="","",IF($D160="Camilly Queiroz",$J160,0))</x:f>
      </x:c>
      <x:c r="Y160" s="63" t="str">
        <x:f>IF($A160="","",$W160-$U160)</x:f>
      </x:c>
      <x:c r="Z160" s="36"/>
      <x:c r="AA160" s="36"/>
    </x:row>
    <x:row r="161">
      <x:c r="A161" s="36"/>
      <x:c r="B161" s="36"/>
      <x:c r="C161" s="59"/>
      <x:c r="D161" s="36"/>
      <x:c r="E161" s="36"/>
      <x:c r="F161" s="36"/>
      <x:c r="G161" s="36"/>
      <x:c r="H161" s="36"/>
      <x:c r="I161" s="36"/>
      <x:c r="J161" s="37"/>
      <x:c r="K161" s="36"/>
      <x:c r="L161" s="36"/>
      <x:c r="M161" s="36"/>
      <x:c r="N161" s="36"/>
      <x:c r="O161" s="36"/>
      <x:c r="P161" s="63" t="str">
        <x:f>IF($A161="","",IF($M161="Sim",IFERROR($J161/MAX($N161,1),$J161),$J161))</x:f>
      </x:c>
      <x:c r="Q161" s="36"/>
      <x:c r="R161" s="36"/>
      <x:c r="S161" s="38"/>
      <x:c r="T161" s="38"/>
      <x:c r="U161" s="63" t="str">
        <x:f>IF($A161="","",$J161*$S161)</x:f>
      </x:c>
      <x:c r="V161" s="63" t="str">
        <x:f>IF($A161="","",$J161*$T161)</x:f>
      </x:c>
      <x:c r="W161" s="63" t="str">
        <x:f>IF($A161="","",IF($D161="Pedro Américo Paletot",$J161,0))</x:f>
      </x:c>
      <x:c r="X161" s="63" t="str">
        <x:f>IF($A161="","",IF($D161="Camilly Queiroz",$J161,0))</x:f>
      </x:c>
      <x:c r="Y161" s="63" t="str">
        <x:f>IF($A161="","",$W161-$U161)</x:f>
      </x:c>
      <x:c r="Z161" s="36"/>
      <x:c r="AA161" s="36"/>
    </x:row>
    <x:row r="162">
      <x:c r="A162" s="36"/>
      <x:c r="B162" s="36"/>
      <x:c r="C162" s="59"/>
      <x:c r="D162" s="36"/>
      <x:c r="E162" s="36"/>
      <x:c r="F162" s="36"/>
      <x:c r="G162" s="36"/>
      <x:c r="H162" s="36"/>
      <x:c r="I162" s="36"/>
      <x:c r="J162" s="37"/>
      <x:c r="K162" s="36"/>
      <x:c r="L162" s="36"/>
      <x:c r="M162" s="36"/>
      <x:c r="N162" s="36"/>
      <x:c r="O162" s="36"/>
      <x:c r="P162" s="63" t="str">
        <x:f>IF($A162="","",IF($M162="Sim",IFERROR($J162/MAX($N162,1),$J162),$J162))</x:f>
      </x:c>
      <x:c r="Q162" s="36"/>
      <x:c r="R162" s="36"/>
      <x:c r="S162" s="38"/>
      <x:c r="T162" s="38"/>
      <x:c r="U162" s="63" t="str">
        <x:f>IF($A162="","",$J162*$S162)</x:f>
      </x:c>
      <x:c r="V162" s="63" t="str">
        <x:f>IF($A162="","",$J162*$T162)</x:f>
      </x:c>
      <x:c r="W162" s="63" t="str">
        <x:f>IF($A162="","",IF($D162="Pedro Américo Paletot",$J162,0))</x:f>
      </x:c>
      <x:c r="X162" s="63" t="str">
        <x:f>IF($A162="","",IF($D162="Camilly Queiroz",$J162,0))</x:f>
      </x:c>
      <x:c r="Y162" s="63" t="str">
        <x:f>IF($A162="","",$W162-$U162)</x:f>
      </x:c>
      <x:c r="Z162" s="36"/>
      <x:c r="AA162" s="36"/>
    </x:row>
    <x:row r="163">
      <x:c r="A163" s="36"/>
      <x:c r="B163" s="36"/>
      <x:c r="C163" s="59"/>
      <x:c r="D163" s="36"/>
      <x:c r="E163" s="36"/>
      <x:c r="F163" s="36"/>
      <x:c r="G163" s="36"/>
      <x:c r="H163" s="36"/>
      <x:c r="I163" s="36"/>
      <x:c r="J163" s="37"/>
      <x:c r="K163" s="36"/>
      <x:c r="L163" s="36"/>
      <x:c r="M163" s="36"/>
      <x:c r="N163" s="36"/>
      <x:c r="O163" s="36"/>
      <x:c r="P163" s="63" t="str">
        <x:f>IF($A163="","",IF($M163="Sim",IFERROR($J163/MAX($N163,1),$J163),$J163))</x:f>
      </x:c>
      <x:c r="Q163" s="36"/>
      <x:c r="R163" s="36"/>
      <x:c r="S163" s="38"/>
      <x:c r="T163" s="38"/>
      <x:c r="U163" s="63" t="str">
        <x:f>IF($A163="","",$J163*$S163)</x:f>
      </x:c>
      <x:c r="V163" s="63" t="str">
        <x:f>IF($A163="","",$J163*$T163)</x:f>
      </x:c>
      <x:c r="W163" s="63" t="str">
        <x:f>IF($A163="","",IF($D163="Pedro Américo Paletot",$J163,0))</x:f>
      </x:c>
      <x:c r="X163" s="63" t="str">
        <x:f>IF($A163="","",IF($D163="Camilly Queiroz",$J163,0))</x:f>
      </x:c>
      <x:c r="Y163" s="63" t="str">
        <x:f>IF($A163="","",$W163-$U163)</x:f>
      </x:c>
      <x:c r="Z163" s="36"/>
      <x:c r="AA163" s="36"/>
    </x:row>
    <x:row r="164">
      <x:c r="A164" s="36"/>
      <x:c r="B164" s="36"/>
      <x:c r="C164" s="59"/>
      <x:c r="D164" s="36"/>
      <x:c r="E164" s="36"/>
      <x:c r="F164" s="36"/>
      <x:c r="G164" s="36"/>
      <x:c r="H164" s="36"/>
      <x:c r="I164" s="36"/>
      <x:c r="J164" s="37"/>
      <x:c r="K164" s="36"/>
      <x:c r="L164" s="36"/>
      <x:c r="M164" s="36"/>
      <x:c r="N164" s="36"/>
      <x:c r="O164" s="36"/>
      <x:c r="P164" s="63" t="str">
        <x:f>IF($A164="","",IF($M164="Sim",IFERROR($J164/MAX($N164,1),$J164),$J164))</x:f>
      </x:c>
      <x:c r="Q164" s="36"/>
      <x:c r="R164" s="36"/>
      <x:c r="S164" s="38"/>
      <x:c r="T164" s="38"/>
      <x:c r="U164" s="63" t="str">
        <x:f>IF($A164="","",$J164*$S164)</x:f>
      </x:c>
      <x:c r="V164" s="63" t="str">
        <x:f>IF($A164="","",$J164*$T164)</x:f>
      </x:c>
      <x:c r="W164" s="63" t="str">
        <x:f>IF($A164="","",IF($D164="Pedro Américo Paletot",$J164,0))</x:f>
      </x:c>
      <x:c r="X164" s="63" t="str">
        <x:f>IF($A164="","",IF($D164="Camilly Queiroz",$J164,0))</x:f>
      </x:c>
      <x:c r="Y164" s="63" t="str">
        <x:f>IF($A164="","",$W164-$U164)</x:f>
      </x:c>
      <x:c r="Z164" s="36"/>
      <x:c r="AA164" s="36"/>
    </x:row>
    <x:row r="165">
      <x:c r="A165" s="36"/>
      <x:c r="B165" s="36"/>
      <x:c r="C165" s="59"/>
      <x:c r="D165" s="36"/>
      <x:c r="E165" s="36"/>
      <x:c r="F165" s="36"/>
      <x:c r="G165" s="36"/>
      <x:c r="H165" s="36"/>
      <x:c r="I165" s="36"/>
      <x:c r="J165" s="37"/>
      <x:c r="K165" s="36"/>
      <x:c r="L165" s="36"/>
      <x:c r="M165" s="36"/>
      <x:c r="N165" s="36"/>
      <x:c r="O165" s="36"/>
      <x:c r="P165" s="63" t="str">
        <x:f>IF($A165="","",IF($M165="Sim",IFERROR($J165/MAX($N165,1),$J165),$J165))</x:f>
      </x:c>
      <x:c r="Q165" s="36"/>
      <x:c r="R165" s="36"/>
      <x:c r="S165" s="38"/>
      <x:c r="T165" s="38"/>
      <x:c r="U165" s="63" t="str">
        <x:f>IF($A165="","",$J165*$S165)</x:f>
      </x:c>
      <x:c r="V165" s="63" t="str">
        <x:f>IF($A165="","",$J165*$T165)</x:f>
      </x:c>
      <x:c r="W165" s="63" t="str">
        <x:f>IF($A165="","",IF($D165="Pedro Américo Paletot",$J165,0))</x:f>
      </x:c>
      <x:c r="X165" s="63" t="str">
        <x:f>IF($A165="","",IF($D165="Camilly Queiroz",$J165,0))</x:f>
      </x:c>
      <x:c r="Y165" s="63" t="str">
        <x:f>IF($A165="","",$W165-$U165)</x:f>
      </x:c>
      <x:c r="Z165" s="36"/>
      <x:c r="AA165" s="36"/>
    </x:row>
    <x:row r="166">
      <x:c r="A166" s="36"/>
      <x:c r="B166" s="36"/>
      <x:c r="C166" s="59"/>
      <x:c r="D166" s="36"/>
      <x:c r="E166" s="36"/>
      <x:c r="F166" s="36"/>
      <x:c r="G166" s="36"/>
      <x:c r="H166" s="36"/>
      <x:c r="I166" s="36"/>
      <x:c r="J166" s="37"/>
      <x:c r="K166" s="36"/>
      <x:c r="L166" s="36"/>
      <x:c r="M166" s="36"/>
      <x:c r="N166" s="36"/>
      <x:c r="O166" s="36"/>
      <x:c r="P166" s="63" t="str">
        <x:f>IF($A166="","",IF($M166="Sim",IFERROR($J166/MAX($N166,1),$J166),$J166))</x:f>
      </x:c>
      <x:c r="Q166" s="36"/>
      <x:c r="R166" s="36"/>
      <x:c r="S166" s="38"/>
      <x:c r="T166" s="38"/>
      <x:c r="U166" s="63" t="str">
        <x:f>IF($A166="","",$J166*$S166)</x:f>
      </x:c>
      <x:c r="V166" s="63" t="str">
        <x:f>IF($A166="","",$J166*$T166)</x:f>
      </x:c>
      <x:c r="W166" s="63" t="str">
        <x:f>IF($A166="","",IF($D166="Pedro Américo Paletot",$J166,0))</x:f>
      </x:c>
      <x:c r="X166" s="63" t="str">
        <x:f>IF($A166="","",IF($D166="Camilly Queiroz",$J166,0))</x:f>
      </x:c>
      <x:c r="Y166" s="63" t="str">
        <x:f>IF($A166="","",$W166-$U166)</x:f>
      </x:c>
      <x:c r="Z166" s="36"/>
      <x:c r="AA166" s="36"/>
    </x:row>
    <x:row r="167">
      <x:c r="A167" s="36"/>
      <x:c r="B167" s="36"/>
      <x:c r="C167" s="59"/>
      <x:c r="D167" s="36"/>
      <x:c r="E167" s="36"/>
      <x:c r="F167" s="36"/>
      <x:c r="G167" s="36"/>
      <x:c r="H167" s="36"/>
      <x:c r="I167" s="36"/>
      <x:c r="J167" s="37"/>
      <x:c r="K167" s="36"/>
      <x:c r="L167" s="36"/>
      <x:c r="M167" s="36"/>
      <x:c r="N167" s="36"/>
      <x:c r="O167" s="36"/>
      <x:c r="P167" s="63" t="str">
        <x:f>IF($A167="","",IF($M167="Sim",IFERROR($J167/MAX($N167,1),$J167),$J167))</x:f>
      </x:c>
      <x:c r="Q167" s="36"/>
      <x:c r="R167" s="36"/>
      <x:c r="S167" s="38"/>
      <x:c r="T167" s="38"/>
      <x:c r="U167" s="63" t="str">
        <x:f>IF($A167="","",$J167*$S167)</x:f>
      </x:c>
      <x:c r="V167" s="63" t="str">
        <x:f>IF($A167="","",$J167*$T167)</x:f>
      </x:c>
      <x:c r="W167" s="63" t="str">
        <x:f>IF($A167="","",IF($D167="Pedro Américo Paletot",$J167,0))</x:f>
      </x:c>
      <x:c r="X167" s="63" t="str">
        <x:f>IF($A167="","",IF($D167="Camilly Queiroz",$J167,0))</x:f>
      </x:c>
      <x:c r="Y167" s="63" t="str">
        <x:f>IF($A167="","",$W167-$U167)</x:f>
      </x:c>
      <x:c r="Z167" s="36"/>
      <x:c r="AA167" s="36"/>
    </x:row>
    <x:row r="168">
      <x:c r="A168" s="36"/>
      <x:c r="B168" s="36"/>
      <x:c r="C168" s="59"/>
      <x:c r="D168" s="36"/>
      <x:c r="E168" s="36"/>
      <x:c r="F168" s="36"/>
      <x:c r="G168" s="36"/>
      <x:c r="H168" s="36"/>
      <x:c r="I168" s="36"/>
      <x:c r="J168" s="37"/>
      <x:c r="K168" s="36"/>
      <x:c r="L168" s="36"/>
      <x:c r="M168" s="36"/>
      <x:c r="N168" s="36"/>
      <x:c r="O168" s="36"/>
      <x:c r="P168" s="63" t="str">
        <x:f>IF($A168="","",IF($M168="Sim",IFERROR($J168/MAX($N168,1),$J168),$J168))</x:f>
      </x:c>
      <x:c r="Q168" s="36"/>
      <x:c r="R168" s="36"/>
      <x:c r="S168" s="38"/>
      <x:c r="T168" s="38"/>
      <x:c r="U168" s="63" t="str">
        <x:f>IF($A168="","",$J168*$S168)</x:f>
      </x:c>
      <x:c r="V168" s="63" t="str">
        <x:f>IF($A168="","",$J168*$T168)</x:f>
      </x:c>
      <x:c r="W168" s="63" t="str">
        <x:f>IF($A168="","",IF($D168="Pedro Américo Paletot",$J168,0))</x:f>
      </x:c>
      <x:c r="X168" s="63" t="str">
        <x:f>IF($A168="","",IF($D168="Camilly Queiroz",$J168,0))</x:f>
      </x:c>
      <x:c r="Y168" s="63" t="str">
        <x:f>IF($A168="","",$W168-$U168)</x:f>
      </x:c>
      <x:c r="Z168" s="36"/>
      <x:c r="AA168" s="36"/>
    </x:row>
    <x:row r="169">
      <x:c r="A169" s="36"/>
      <x:c r="B169" s="36"/>
      <x:c r="C169" s="59"/>
      <x:c r="D169" s="36"/>
      <x:c r="E169" s="36"/>
      <x:c r="F169" s="36"/>
      <x:c r="G169" s="36"/>
      <x:c r="H169" s="36"/>
      <x:c r="I169" s="36"/>
      <x:c r="J169" s="37"/>
      <x:c r="K169" s="36"/>
      <x:c r="L169" s="36"/>
      <x:c r="M169" s="36"/>
      <x:c r="N169" s="36"/>
      <x:c r="O169" s="36"/>
      <x:c r="P169" s="63" t="str">
        <x:f>IF($A169="","",IF($M169="Sim",IFERROR($J169/MAX($N169,1),$J169),$J169))</x:f>
      </x:c>
      <x:c r="Q169" s="36"/>
      <x:c r="R169" s="36"/>
      <x:c r="S169" s="38"/>
      <x:c r="T169" s="38"/>
      <x:c r="U169" s="63" t="str">
        <x:f>IF($A169="","",$J169*$S169)</x:f>
      </x:c>
      <x:c r="V169" s="63" t="str">
        <x:f>IF($A169="","",$J169*$T169)</x:f>
      </x:c>
      <x:c r="W169" s="63" t="str">
        <x:f>IF($A169="","",IF($D169="Pedro Américo Paletot",$J169,0))</x:f>
      </x:c>
      <x:c r="X169" s="63" t="str">
        <x:f>IF($A169="","",IF($D169="Camilly Queiroz",$J169,0))</x:f>
      </x:c>
      <x:c r="Y169" s="63" t="str">
        <x:f>IF($A169="","",$W169-$U169)</x:f>
      </x:c>
      <x:c r="Z169" s="36"/>
      <x:c r="AA169" s="36"/>
    </x:row>
    <x:row r="170">
      <x:c r="A170" s="36"/>
      <x:c r="B170" s="36"/>
      <x:c r="C170" s="59"/>
      <x:c r="D170" s="36"/>
      <x:c r="E170" s="36"/>
      <x:c r="F170" s="36"/>
      <x:c r="G170" s="36"/>
      <x:c r="H170" s="36"/>
      <x:c r="I170" s="36"/>
      <x:c r="J170" s="37"/>
      <x:c r="K170" s="36"/>
      <x:c r="L170" s="36"/>
      <x:c r="M170" s="36"/>
      <x:c r="N170" s="36"/>
      <x:c r="O170" s="36"/>
      <x:c r="P170" s="63" t="str">
        <x:f>IF($A170="","",IF($M170="Sim",IFERROR($J170/MAX($N170,1),$J170),$J170))</x:f>
      </x:c>
      <x:c r="Q170" s="36"/>
      <x:c r="R170" s="36"/>
      <x:c r="S170" s="38"/>
      <x:c r="T170" s="38"/>
      <x:c r="U170" s="63" t="str">
        <x:f>IF($A170="","",$J170*$S170)</x:f>
      </x:c>
      <x:c r="V170" s="63" t="str">
        <x:f>IF($A170="","",$J170*$T170)</x:f>
      </x:c>
      <x:c r="W170" s="63" t="str">
        <x:f>IF($A170="","",IF($D170="Pedro Américo Paletot",$J170,0))</x:f>
      </x:c>
      <x:c r="X170" s="63" t="str">
        <x:f>IF($A170="","",IF($D170="Camilly Queiroz",$J170,0))</x:f>
      </x:c>
      <x:c r="Y170" s="63" t="str">
        <x:f>IF($A170="","",$W170-$U170)</x:f>
      </x:c>
      <x:c r="Z170" s="36"/>
      <x:c r="AA170" s="36"/>
    </x:row>
    <x:row r="171">
      <x:c r="A171" s="36"/>
      <x:c r="B171" s="36"/>
      <x:c r="C171" s="59"/>
      <x:c r="D171" s="36"/>
      <x:c r="E171" s="36"/>
      <x:c r="F171" s="36"/>
      <x:c r="G171" s="36"/>
      <x:c r="H171" s="36"/>
      <x:c r="I171" s="36"/>
      <x:c r="J171" s="37"/>
      <x:c r="K171" s="36"/>
      <x:c r="L171" s="36"/>
      <x:c r="M171" s="36"/>
      <x:c r="N171" s="36"/>
      <x:c r="O171" s="36"/>
      <x:c r="P171" s="63" t="str">
        <x:f>IF($A171="","",IF($M171="Sim",IFERROR($J171/MAX($N171,1),$J171),$J171))</x:f>
      </x:c>
      <x:c r="Q171" s="36"/>
      <x:c r="R171" s="36"/>
      <x:c r="S171" s="38"/>
      <x:c r="T171" s="38"/>
      <x:c r="U171" s="63" t="str">
        <x:f>IF($A171="","",$J171*$S171)</x:f>
      </x:c>
      <x:c r="V171" s="63" t="str">
        <x:f>IF($A171="","",$J171*$T171)</x:f>
      </x:c>
      <x:c r="W171" s="63" t="str">
        <x:f>IF($A171="","",IF($D171="Pedro Américo Paletot",$J171,0))</x:f>
      </x:c>
      <x:c r="X171" s="63" t="str">
        <x:f>IF($A171="","",IF($D171="Camilly Queiroz",$J171,0))</x:f>
      </x:c>
      <x:c r="Y171" s="63" t="str">
        <x:f>IF($A171="","",$W171-$U171)</x:f>
      </x:c>
      <x:c r="Z171" s="36"/>
      <x:c r="AA171" s="36"/>
    </x:row>
    <x:row r="172">
      <x:c r="A172" s="36"/>
      <x:c r="B172" s="36"/>
      <x:c r="C172" s="59"/>
      <x:c r="D172" s="36"/>
      <x:c r="E172" s="36"/>
      <x:c r="F172" s="36"/>
      <x:c r="G172" s="36"/>
      <x:c r="H172" s="36"/>
      <x:c r="I172" s="36"/>
      <x:c r="J172" s="37"/>
      <x:c r="K172" s="36"/>
      <x:c r="L172" s="36"/>
      <x:c r="M172" s="36"/>
      <x:c r="N172" s="36"/>
      <x:c r="O172" s="36"/>
      <x:c r="P172" s="63" t="str">
        <x:f>IF($A172="","",IF($M172="Sim",IFERROR($J172/MAX($N172,1),$J172),$J172))</x:f>
      </x:c>
      <x:c r="Q172" s="36"/>
      <x:c r="R172" s="36"/>
      <x:c r="S172" s="38"/>
      <x:c r="T172" s="38"/>
      <x:c r="U172" s="63" t="str">
        <x:f>IF($A172="","",$J172*$S172)</x:f>
      </x:c>
      <x:c r="V172" s="63" t="str">
        <x:f>IF($A172="","",$J172*$T172)</x:f>
      </x:c>
      <x:c r="W172" s="63" t="str">
        <x:f>IF($A172="","",IF($D172="Pedro Américo Paletot",$J172,0))</x:f>
      </x:c>
      <x:c r="X172" s="63" t="str">
        <x:f>IF($A172="","",IF($D172="Camilly Queiroz",$J172,0))</x:f>
      </x:c>
      <x:c r="Y172" s="63" t="str">
        <x:f>IF($A172="","",$W172-$U172)</x:f>
      </x:c>
      <x:c r="Z172" s="36"/>
      <x:c r="AA172" s="36"/>
    </x:row>
    <x:row r="173">
      <x:c r="A173" s="36"/>
      <x:c r="B173" s="36"/>
      <x:c r="C173" s="59"/>
      <x:c r="D173" s="36"/>
      <x:c r="E173" s="36"/>
      <x:c r="F173" s="36"/>
      <x:c r="G173" s="36"/>
      <x:c r="H173" s="36"/>
      <x:c r="I173" s="36"/>
      <x:c r="J173" s="37"/>
      <x:c r="K173" s="36"/>
      <x:c r="L173" s="36"/>
      <x:c r="M173" s="36"/>
      <x:c r="N173" s="36"/>
      <x:c r="O173" s="36"/>
      <x:c r="P173" s="63" t="str">
        <x:f>IF($A173="","",IF($M173="Sim",IFERROR($J173/MAX($N173,1),$J173),$J173))</x:f>
      </x:c>
      <x:c r="Q173" s="36"/>
      <x:c r="R173" s="36"/>
      <x:c r="S173" s="38"/>
      <x:c r="T173" s="38"/>
      <x:c r="U173" s="63" t="str">
        <x:f>IF($A173="","",$J173*$S173)</x:f>
      </x:c>
      <x:c r="V173" s="63" t="str">
        <x:f>IF($A173="","",$J173*$T173)</x:f>
      </x:c>
      <x:c r="W173" s="63" t="str">
        <x:f>IF($A173="","",IF($D173="Pedro Américo Paletot",$J173,0))</x:f>
      </x:c>
      <x:c r="X173" s="63" t="str">
        <x:f>IF($A173="","",IF($D173="Camilly Queiroz",$J173,0))</x:f>
      </x:c>
      <x:c r="Y173" s="63" t="str">
        <x:f>IF($A173="","",$W173-$U173)</x:f>
      </x:c>
      <x:c r="Z173" s="36"/>
      <x:c r="AA173" s="36"/>
    </x:row>
    <x:row r="174">
      <x:c r="A174" s="36"/>
      <x:c r="B174" s="36"/>
      <x:c r="C174" s="59"/>
      <x:c r="D174" s="36"/>
      <x:c r="E174" s="36"/>
      <x:c r="F174" s="36"/>
      <x:c r="G174" s="36"/>
      <x:c r="H174" s="36"/>
      <x:c r="I174" s="36"/>
      <x:c r="J174" s="37"/>
      <x:c r="K174" s="36"/>
      <x:c r="L174" s="36"/>
      <x:c r="M174" s="36"/>
      <x:c r="N174" s="36"/>
      <x:c r="O174" s="36"/>
      <x:c r="P174" s="63" t="str">
        <x:f>IF($A174="","",IF($M174="Sim",IFERROR($J174/MAX($N174,1),$J174),$J174))</x:f>
      </x:c>
      <x:c r="Q174" s="36"/>
      <x:c r="R174" s="36"/>
      <x:c r="S174" s="38"/>
      <x:c r="T174" s="38"/>
      <x:c r="U174" s="63" t="str">
        <x:f>IF($A174="","",$J174*$S174)</x:f>
      </x:c>
      <x:c r="V174" s="63" t="str">
        <x:f>IF($A174="","",$J174*$T174)</x:f>
      </x:c>
      <x:c r="W174" s="63" t="str">
        <x:f>IF($A174="","",IF($D174="Pedro Américo Paletot",$J174,0))</x:f>
      </x:c>
      <x:c r="X174" s="63" t="str">
        <x:f>IF($A174="","",IF($D174="Camilly Queiroz",$J174,0))</x:f>
      </x:c>
      <x:c r="Y174" s="63" t="str">
        <x:f>IF($A174="","",$W174-$U174)</x:f>
      </x:c>
      <x:c r="Z174" s="36"/>
      <x:c r="AA174" s="36"/>
    </x:row>
    <x:row r="175">
      <x:c r="A175" s="36"/>
      <x:c r="B175" s="36"/>
      <x:c r="C175" s="59"/>
      <x:c r="D175" s="36"/>
      <x:c r="E175" s="36"/>
      <x:c r="F175" s="36"/>
      <x:c r="G175" s="36"/>
      <x:c r="H175" s="36"/>
      <x:c r="I175" s="36"/>
      <x:c r="J175" s="37"/>
      <x:c r="K175" s="36"/>
      <x:c r="L175" s="36"/>
      <x:c r="M175" s="36"/>
      <x:c r="N175" s="36"/>
      <x:c r="O175" s="36"/>
      <x:c r="P175" s="63" t="str">
        <x:f>IF($A175="","",IF($M175="Sim",IFERROR($J175/MAX($N175,1),$J175),$J175))</x:f>
      </x:c>
      <x:c r="Q175" s="36"/>
      <x:c r="R175" s="36"/>
      <x:c r="S175" s="38"/>
      <x:c r="T175" s="38"/>
      <x:c r="U175" s="63" t="str">
        <x:f>IF($A175="","",$J175*$S175)</x:f>
      </x:c>
      <x:c r="V175" s="63" t="str">
        <x:f>IF($A175="","",$J175*$T175)</x:f>
      </x:c>
      <x:c r="W175" s="63" t="str">
        <x:f>IF($A175="","",IF($D175="Pedro Américo Paletot",$J175,0))</x:f>
      </x:c>
      <x:c r="X175" s="63" t="str">
        <x:f>IF($A175="","",IF($D175="Camilly Queiroz",$J175,0))</x:f>
      </x:c>
      <x:c r="Y175" s="63" t="str">
        <x:f>IF($A175="","",$W175-$U175)</x:f>
      </x:c>
      <x:c r="Z175" s="36"/>
      <x:c r="AA175" s="36"/>
    </x:row>
    <x:row r="176">
      <x:c r="A176" s="36"/>
      <x:c r="B176" s="36"/>
      <x:c r="C176" s="59"/>
      <x:c r="D176" s="36"/>
      <x:c r="E176" s="36"/>
      <x:c r="F176" s="36"/>
      <x:c r="G176" s="36"/>
      <x:c r="H176" s="36"/>
      <x:c r="I176" s="36"/>
      <x:c r="J176" s="37"/>
      <x:c r="K176" s="36"/>
      <x:c r="L176" s="36"/>
      <x:c r="M176" s="36"/>
      <x:c r="N176" s="36"/>
      <x:c r="O176" s="36"/>
      <x:c r="P176" s="63" t="str">
        <x:f>IF($A176="","",IF($M176="Sim",IFERROR($J176/MAX($N176,1),$J176),$J176))</x:f>
      </x:c>
      <x:c r="Q176" s="36"/>
      <x:c r="R176" s="36"/>
      <x:c r="S176" s="38"/>
      <x:c r="T176" s="38"/>
      <x:c r="U176" s="63" t="str">
        <x:f>IF($A176="","",$J176*$S176)</x:f>
      </x:c>
      <x:c r="V176" s="63" t="str">
        <x:f>IF($A176="","",$J176*$T176)</x:f>
      </x:c>
      <x:c r="W176" s="63" t="str">
        <x:f>IF($A176="","",IF($D176="Pedro Américo Paletot",$J176,0))</x:f>
      </x:c>
      <x:c r="X176" s="63" t="str">
        <x:f>IF($A176="","",IF($D176="Camilly Queiroz",$J176,0))</x:f>
      </x:c>
      <x:c r="Y176" s="63" t="str">
        <x:f>IF($A176="","",$W176-$U176)</x:f>
      </x:c>
      <x:c r="Z176" s="36"/>
      <x:c r="AA176" s="36"/>
    </x:row>
    <x:row r="177">
      <x:c r="A177" s="36"/>
      <x:c r="B177" s="36"/>
      <x:c r="C177" s="59"/>
      <x:c r="D177" s="36"/>
      <x:c r="E177" s="36"/>
      <x:c r="F177" s="36"/>
      <x:c r="G177" s="36"/>
      <x:c r="H177" s="36"/>
      <x:c r="I177" s="36"/>
      <x:c r="J177" s="37"/>
      <x:c r="K177" s="36"/>
      <x:c r="L177" s="36"/>
      <x:c r="M177" s="36"/>
      <x:c r="N177" s="36"/>
      <x:c r="O177" s="36"/>
      <x:c r="P177" s="63" t="str">
        <x:f>IF($A177="","",IF($M177="Sim",IFERROR($J177/MAX($N177,1),$J177),$J177))</x:f>
      </x:c>
      <x:c r="Q177" s="36"/>
      <x:c r="R177" s="36"/>
      <x:c r="S177" s="38"/>
      <x:c r="T177" s="38"/>
      <x:c r="U177" s="63" t="str">
        <x:f>IF($A177="","",$J177*$S177)</x:f>
      </x:c>
      <x:c r="V177" s="63" t="str">
        <x:f>IF($A177="","",$J177*$T177)</x:f>
      </x:c>
      <x:c r="W177" s="63" t="str">
        <x:f>IF($A177="","",IF($D177="Pedro Américo Paletot",$J177,0))</x:f>
      </x:c>
      <x:c r="X177" s="63" t="str">
        <x:f>IF($A177="","",IF($D177="Camilly Queiroz",$J177,0))</x:f>
      </x:c>
      <x:c r="Y177" s="63" t="str">
        <x:f>IF($A177="","",$W177-$U177)</x:f>
      </x:c>
      <x:c r="Z177" s="36"/>
      <x:c r="AA177" s="36"/>
    </x:row>
    <x:row r="178">
      <x:c r="A178" s="36"/>
      <x:c r="B178" s="36"/>
      <x:c r="C178" s="59"/>
      <x:c r="D178" s="36"/>
      <x:c r="E178" s="36"/>
      <x:c r="F178" s="36"/>
      <x:c r="G178" s="36"/>
      <x:c r="H178" s="36"/>
      <x:c r="I178" s="36"/>
      <x:c r="J178" s="37"/>
      <x:c r="K178" s="36"/>
      <x:c r="L178" s="36"/>
      <x:c r="M178" s="36"/>
      <x:c r="N178" s="36"/>
      <x:c r="O178" s="36"/>
      <x:c r="P178" s="63" t="str">
        <x:f>IF($A178="","",IF($M178="Sim",IFERROR($J178/MAX($N178,1),$J178),$J178))</x:f>
      </x:c>
      <x:c r="Q178" s="36"/>
      <x:c r="R178" s="36"/>
      <x:c r="S178" s="38"/>
      <x:c r="T178" s="38"/>
      <x:c r="U178" s="63" t="str">
        <x:f>IF($A178="","",$J178*$S178)</x:f>
      </x:c>
      <x:c r="V178" s="63" t="str">
        <x:f>IF($A178="","",$J178*$T178)</x:f>
      </x:c>
      <x:c r="W178" s="63" t="str">
        <x:f>IF($A178="","",IF($D178="Pedro Américo Paletot",$J178,0))</x:f>
      </x:c>
      <x:c r="X178" s="63" t="str">
        <x:f>IF($A178="","",IF($D178="Camilly Queiroz",$J178,0))</x:f>
      </x:c>
      <x:c r="Y178" s="63" t="str">
        <x:f>IF($A178="","",$W178-$U178)</x:f>
      </x:c>
      <x:c r="Z178" s="36"/>
      <x:c r="AA178" s="36"/>
    </x:row>
    <x:row r="179">
      <x:c r="A179" s="36"/>
      <x:c r="B179" s="36"/>
      <x:c r="C179" s="59"/>
      <x:c r="D179" s="36"/>
      <x:c r="E179" s="36"/>
      <x:c r="F179" s="36"/>
      <x:c r="G179" s="36"/>
      <x:c r="H179" s="36"/>
      <x:c r="I179" s="36"/>
      <x:c r="J179" s="37"/>
      <x:c r="K179" s="36"/>
      <x:c r="L179" s="36"/>
      <x:c r="M179" s="36"/>
      <x:c r="N179" s="36"/>
      <x:c r="O179" s="36"/>
      <x:c r="P179" s="63" t="str">
        <x:f>IF($A179="","",IF($M179="Sim",IFERROR($J179/MAX($N179,1),$J179),$J179))</x:f>
      </x:c>
      <x:c r="Q179" s="36"/>
      <x:c r="R179" s="36"/>
      <x:c r="S179" s="38"/>
      <x:c r="T179" s="38"/>
      <x:c r="U179" s="63" t="str">
        <x:f>IF($A179="","",$J179*$S179)</x:f>
      </x:c>
      <x:c r="V179" s="63" t="str">
        <x:f>IF($A179="","",$J179*$T179)</x:f>
      </x:c>
      <x:c r="W179" s="63" t="str">
        <x:f>IF($A179="","",IF($D179="Pedro Américo Paletot",$J179,0))</x:f>
      </x:c>
      <x:c r="X179" s="63" t="str">
        <x:f>IF($A179="","",IF($D179="Camilly Queiroz",$J179,0))</x:f>
      </x:c>
      <x:c r="Y179" s="63" t="str">
        <x:f>IF($A179="","",$W179-$U179)</x:f>
      </x:c>
      <x:c r="Z179" s="36"/>
      <x:c r="AA179" s="36"/>
    </x:row>
    <x:row r="180">
      <x:c r="A180" s="36"/>
      <x:c r="B180" s="36"/>
      <x:c r="C180" s="59"/>
      <x:c r="D180" s="36"/>
      <x:c r="E180" s="36"/>
      <x:c r="F180" s="36"/>
      <x:c r="G180" s="36"/>
      <x:c r="H180" s="36"/>
      <x:c r="I180" s="36"/>
      <x:c r="J180" s="37"/>
      <x:c r="K180" s="36"/>
      <x:c r="L180" s="36"/>
      <x:c r="M180" s="36"/>
      <x:c r="N180" s="36"/>
      <x:c r="O180" s="36"/>
      <x:c r="P180" s="63" t="str">
        <x:f>IF($A180="","",IF($M180="Sim",IFERROR($J180/MAX($N180,1),$J180),$J180))</x:f>
      </x:c>
      <x:c r="Q180" s="36"/>
      <x:c r="R180" s="36"/>
      <x:c r="S180" s="38"/>
      <x:c r="T180" s="38"/>
      <x:c r="U180" s="63" t="str">
        <x:f>IF($A180="","",$J180*$S180)</x:f>
      </x:c>
      <x:c r="V180" s="63" t="str">
        <x:f>IF($A180="","",$J180*$T180)</x:f>
      </x:c>
      <x:c r="W180" s="63" t="str">
        <x:f>IF($A180="","",IF($D180="Pedro Américo Paletot",$J180,0))</x:f>
      </x:c>
      <x:c r="X180" s="63" t="str">
        <x:f>IF($A180="","",IF($D180="Camilly Queiroz",$J180,0))</x:f>
      </x:c>
      <x:c r="Y180" s="63" t="str">
        <x:f>IF($A180="","",$W180-$U180)</x:f>
      </x:c>
      <x:c r="Z180" s="36"/>
      <x:c r="AA180" s="36"/>
    </x:row>
    <x:row r="181">
      <x:c r="A181" s="36"/>
      <x:c r="B181" s="36"/>
      <x:c r="C181" s="59"/>
      <x:c r="D181" s="36"/>
      <x:c r="E181" s="36"/>
      <x:c r="F181" s="36"/>
      <x:c r="G181" s="36"/>
      <x:c r="H181" s="36"/>
      <x:c r="I181" s="36"/>
      <x:c r="J181" s="37"/>
      <x:c r="K181" s="36"/>
      <x:c r="L181" s="36"/>
      <x:c r="M181" s="36"/>
      <x:c r="N181" s="36"/>
      <x:c r="O181" s="36"/>
      <x:c r="P181" s="63" t="str">
        <x:f>IF($A181="","",IF($M181="Sim",IFERROR($J181/MAX($N181,1),$J181),$J181))</x:f>
      </x:c>
      <x:c r="Q181" s="36"/>
      <x:c r="R181" s="36"/>
      <x:c r="S181" s="38"/>
      <x:c r="T181" s="38"/>
      <x:c r="U181" s="63" t="str">
        <x:f>IF($A181="","",$J181*$S181)</x:f>
      </x:c>
      <x:c r="V181" s="63" t="str">
        <x:f>IF($A181="","",$J181*$T181)</x:f>
      </x:c>
      <x:c r="W181" s="63" t="str">
        <x:f>IF($A181="","",IF($D181="Pedro Américo Paletot",$J181,0))</x:f>
      </x:c>
      <x:c r="X181" s="63" t="str">
        <x:f>IF($A181="","",IF($D181="Camilly Queiroz",$J181,0))</x:f>
      </x:c>
      <x:c r="Y181" s="63" t="str">
        <x:f>IF($A181="","",$W181-$U181)</x:f>
      </x:c>
      <x:c r="Z181" s="36"/>
      <x:c r="AA181" s="36"/>
    </x:row>
    <x:row r="182">
      <x:c r="A182" s="36"/>
      <x:c r="B182" s="36"/>
      <x:c r="C182" s="59"/>
      <x:c r="D182" s="36"/>
      <x:c r="E182" s="36"/>
      <x:c r="F182" s="36"/>
      <x:c r="G182" s="36"/>
      <x:c r="H182" s="36"/>
      <x:c r="I182" s="36"/>
      <x:c r="J182" s="37"/>
      <x:c r="K182" s="36"/>
      <x:c r="L182" s="36"/>
      <x:c r="M182" s="36"/>
      <x:c r="N182" s="36"/>
      <x:c r="O182" s="36"/>
      <x:c r="P182" s="63" t="str">
        <x:f>IF($A182="","",IF($M182="Sim",IFERROR($J182/MAX($N182,1),$J182),$J182))</x:f>
      </x:c>
      <x:c r="Q182" s="36"/>
      <x:c r="R182" s="36"/>
      <x:c r="S182" s="38"/>
      <x:c r="T182" s="38"/>
      <x:c r="U182" s="63" t="str">
        <x:f>IF($A182="","",$J182*$S182)</x:f>
      </x:c>
      <x:c r="V182" s="63" t="str">
        <x:f>IF($A182="","",$J182*$T182)</x:f>
      </x:c>
      <x:c r="W182" s="63" t="str">
        <x:f>IF($A182="","",IF($D182="Pedro Américo Paletot",$J182,0))</x:f>
      </x:c>
      <x:c r="X182" s="63" t="str">
        <x:f>IF($A182="","",IF($D182="Camilly Queiroz",$J182,0))</x:f>
      </x:c>
      <x:c r="Y182" s="63" t="str">
        <x:f>IF($A182="","",$W182-$U182)</x:f>
      </x:c>
      <x:c r="Z182" s="36"/>
      <x:c r="AA182" s="36"/>
    </x:row>
    <x:row r="183">
      <x:c r="A183" s="36"/>
      <x:c r="B183" s="36"/>
      <x:c r="C183" s="59"/>
      <x:c r="D183" s="36"/>
      <x:c r="E183" s="36"/>
      <x:c r="F183" s="36"/>
      <x:c r="G183" s="36"/>
      <x:c r="H183" s="36"/>
      <x:c r="I183" s="36"/>
      <x:c r="J183" s="37"/>
      <x:c r="K183" s="36"/>
      <x:c r="L183" s="36"/>
      <x:c r="M183" s="36"/>
      <x:c r="N183" s="36"/>
      <x:c r="O183" s="36"/>
      <x:c r="P183" s="63" t="str">
        <x:f>IF($A183="","",IF($M183="Sim",IFERROR($J183/MAX($N183,1),$J183),$J183))</x:f>
      </x:c>
      <x:c r="Q183" s="36"/>
      <x:c r="R183" s="36"/>
      <x:c r="S183" s="38"/>
      <x:c r="T183" s="38"/>
      <x:c r="U183" s="63" t="str">
        <x:f>IF($A183="","",$J183*$S183)</x:f>
      </x:c>
      <x:c r="V183" s="63" t="str">
        <x:f>IF($A183="","",$J183*$T183)</x:f>
      </x:c>
      <x:c r="W183" s="63" t="str">
        <x:f>IF($A183="","",IF($D183="Pedro Américo Paletot",$J183,0))</x:f>
      </x:c>
      <x:c r="X183" s="63" t="str">
        <x:f>IF($A183="","",IF($D183="Camilly Queiroz",$J183,0))</x:f>
      </x:c>
      <x:c r="Y183" s="63" t="str">
        <x:f>IF($A183="","",$W183-$U183)</x:f>
      </x:c>
      <x:c r="Z183" s="36"/>
      <x:c r="AA183" s="36"/>
    </x:row>
    <x:row r="184">
      <x:c r="A184" s="36"/>
      <x:c r="B184" s="36"/>
      <x:c r="C184" s="59"/>
      <x:c r="D184" s="36"/>
      <x:c r="E184" s="36"/>
      <x:c r="F184" s="36"/>
      <x:c r="G184" s="36"/>
      <x:c r="H184" s="36"/>
      <x:c r="I184" s="36"/>
      <x:c r="J184" s="37"/>
      <x:c r="K184" s="36"/>
      <x:c r="L184" s="36"/>
      <x:c r="M184" s="36"/>
      <x:c r="N184" s="36"/>
      <x:c r="O184" s="36"/>
      <x:c r="P184" s="63" t="str">
        <x:f>IF($A184="","",IF($M184="Sim",IFERROR($J184/MAX($N184,1),$J184),$J184))</x:f>
      </x:c>
      <x:c r="Q184" s="36"/>
      <x:c r="R184" s="36"/>
      <x:c r="S184" s="38"/>
      <x:c r="T184" s="38"/>
      <x:c r="U184" s="63" t="str">
        <x:f>IF($A184="","",$J184*$S184)</x:f>
      </x:c>
      <x:c r="V184" s="63" t="str">
        <x:f>IF($A184="","",$J184*$T184)</x:f>
      </x:c>
      <x:c r="W184" s="63" t="str">
        <x:f>IF($A184="","",IF($D184="Pedro Américo Paletot",$J184,0))</x:f>
      </x:c>
      <x:c r="X184" s="63" t="str">
        <x:f>IF($A184="","",IF($D184="Camilly Queiroz",$J184,0))</x:f>
      </x:c>
      <x:c r="Y184" s="63" t="str">
        <x:f>IF($A184="","",$W184-$U184)</x:f>
      </x:c>
      <x:c r="Z184" s="36"/>
      <x:c r="AA184" s="36"/>
    </x:row>
    <x:row r="185">
      <x:c r="A185" s="36"/>
      <x:c r="B185" s="36"/>
      <x:c r="C185" s="59"/>
      <x:c r="D185" s="36"/>
      <x:c r="E185" s="36"/>
      <x:c r="F185" s="36"/>
      <x:c r="G185" s="36"/>
      <x:c r="H185" s="36"/>
      <x:c r="I185" s="36"/>
      <x:c r="J185" s="37"/>
      <x:c r="K185" s="36"/>
      <x:c r="L185" s="36"/>
      <x:c r="M185" s="36"/>
      <x:c r="N185" s="36"/>
      <x:c r="O185" s="36"/>
      <x:c r="P185" s="63" t="str">
        <x:f>IF($A185="","",IF($M185="Sim",IFERROR($J185/MAX($N185,1),$J185),$J185))</x:f>
      </x:c>
      <x:c r="Q185" s="36"/>
      <x:c r="R185" s="36"/>
      <x:c r="S185" s="38"/>
      <x:c r="T185" s="38"/>
      <x:c r="U185" s="63" t="str">
        <x:f>IF($A185="","",$J185*$S185)</x:f>
      </x:c>
      <x:c r="V185" s="63" t="str">
        <x:f>IF($A185="","",$J185*$T185)</x:f>
      </x:c>
      <x:c r="W185" s="63" t="str">
        <x:f>IF($A185="","",IF($D185="Pedro Américo Paletot",$J185,0))</x:f>
      </x:c>
      <x:c r="X185" s="63" t="str">
        <x:f>IF($A185="","",IF($D185="Camilly Queiroz",$J185,0))</x:f>
      </x:c>
      <x:c r="Y185" s="63" t="str">
        <x:f>IF($A185="","",$W185-$U185)</x:f>
      </x:c>
      <x:c r="Z185" s="36"/>
      <x:c r="AA185" s="36"/>
    </x:row>
    <x:row r="186">
      <x:c r="A186" s="36"/>
      <x:c r="B186" s="36"/>
      <x:c r="C186" s="59"/>
      <x:c r="D186" s="36"/>
      <x:c r="E186" s="36"/>
      <x:c r="F186" s="36"/>
      <x:c r="G186" s="36"/>
      <x:c r="H186" s="36"/>
      <x:c r="I186" s="36"/>
      <x:c r="J186" s="37"/>
      <x:c r="K186" s="36"/>
      <x:c r="L186" s="36"/>
      <x:c r="M186" s="36"/>
      <x:c r="N186" s="36"/>
      <x:c r="O186" s="36"/>
      <x:c r="P186" s="63" t="str">
        <x:f>IF($A186="","",IF($M186="Sim",IFERROR($J186/MAX($N186,1),$J186),$J186))</x:f>
      </x:c>
      <x:c r="Q186" s="36"/>
      <x:c r="R186" s="36"/>
      <x:c r="S186" s="38"/>
      <x:c r="T186" s="38"/>
      <x:c r="U186" s="63" t="str">
        <x:f>IF($A186="","",$J186*$S186)</x:f>
      </x:c>
      <x:c r="V186" s="63" t="str">
        <x:f>IF($A186="","",$J186*$T186)</x:f>
      </x:c>
      <x:c r="W186" s="63" t="str">
        <x:f>IF($A186="","",IF($D186="Pedro Américo Paletot",$J186,0))</x:f>
      </x:c>
      <x:c r="X186" s="63" t="str">
        <x:f>IF($A186="","",IF($D186="Camilly Queiroz",$J186,0))</x:f>
      </x:c>
      <x:c r="Y186" s="63" t="str">
        <x:f>IF($A186="","",$W186-$U186)</x:f>
      </x:c>
      <x:c r="Z186" s="36"/>
      <x:c r="AA186" s="36"/>
    </x:row>
    <x:row r="187">
      <x:c r="A187" s="36"/>
      <x:c r="B187" s="36"/>
      <x:c r="C187" s="59"/>
      <x:c r="D187" s="36"/>
      <x:c r="E187" s="36"/>
      <x:c r="F187" s="36"/>
      <x:c r="G187" s="36"/>
      <x:c r="H187" s="36"/>
      <x:c r="I187" s="36"/>
      <x:c r="J187" s="37"/>
      <x:c r="K187" s="36"/>
      <x:c r="L187" s="36"/>
      <x:c r="M187" s="36"/>
      <x:c r="N187" s="36"/>
      <x:c r="O187" s="36"/>
      <x:c r="P187" s="63" t="str">
        <x:f>IF($A187="","",IF($M187="Sim",IFERROR($J187/MAX($N187,1),$J187),$J187))</x:f>
      </x:c>
      <x:c r="Q187" s="36"/>
      <x:c r="R187" s="36"/>
      <x:c r="S187" s="38"/>
      <x:c r="T187" s="38"/>
      <x:c r="U187" s="63" t="str">
        <x:f>IF($A187="","",$J187*$S187)</x:f>
      </x:c>
      <x:c r="V187" s="63" t="str">
        <x:f>IF($A187="","",$J187*$T187)</x:f>
      </x:c>
      <x:c r="W187" s="63" t="str">
        <x:f>IF($A187="","",IF($D187="Pedro Américo Paletot",$J187,0))</x:f>
      </x:c>
      <x:c r="X187" s="63" t="str">
        <x:f>IF($A187="","",IF($D187="Camilly Queiroz",$J187,0))</x:f>
      </x:c>
      <x:c r="Y187" s="63" t="str">
        <x:f>IF($A187="","",$W187-$U187)</x:f>
      </x:c>
      <x:c r="Z187" s="36"/>
      <x:c r="AA187" s="36"/>
    </x:row>
    <x:row r="188">
      <x:c r="A188" s="36"/>
      <x:c r="B188" s="36"/>
      <x:c r="C188" s="59"/>
      <x:c r="D188" s="36"/>
      <x:c r="E188" s="36"/>
      <x:c r="F188" s="36"/>
      <x:c r="G188" s="36"/>
      <x:c r="H188" s="36"/>
      <x:c r="I188" s="36"/>
      <x:c r="J188" s="37"/>
      <x:c r="K188" s="36"/>
      <x:c r="L188" s="36"/>
      <x:c r="M188" s="36"/>
      <x:c r="N188" s="36"/>
      <x:c r="O188" s="36"/>
      <x:c r="P188" s="63" t="str">
        <x:f>IF($A188="","",IF($M188="Sim",IFERROR($J188/MAX($N188,1),$J188),$J188))</x:f>
      </x:c>
      <x:c r="Q188" s="36"/>
      <x:c r="R188" s="36"/>
      <x:c r="S188" s="38"/>
      <x:c r="T188" s="38"/>
      <x:c r="U188" s="63" t="str">
        <x:f>IF($A188="","",$J188*$S188)</x:f>
      </x:c>
      <x:c r="V188" s="63" t="str">
        <x:f>IF($A188="","",$J188*$T188)</x:f>
      </x:c>
      <x:c r="W188" s="63" t="str">
        <x:f>IF($A188="","",IF($D188="Pedro Américo Paletot",$J188,0))</x:f>
      </x:c>
      <x:c r="X188" s="63" t="str">
        <x:f>IF($A188="","",IF($D188="Camilly Queiroz",$J188,0))</x:f>
      </x:c>
      <x:c r="Y188" s="63" t="str">
        <x:f>IF($A188="","",$W188-$U188)</x:f>
      </x:c>
      <x:c r="Z188" s="36"/>
      <x:c r="AA188" s="36"/>
    </x:row>
    <x:row r="189">
      <x:c r="A189" s="36"/>
      <x:c r="B189" s="36"/>
      <x:c r="C189" s="59"/>
      <x:c r="D189" s="36"/>
      <x:c r="E189" s="36"/>
      <x:c r="F189" s="36"/>
      <x:c r="G189" s="36"/>
      <x:c r="H189" s="36"/>
      <x:c r="I189" s="36"/>
      <x:c r="J189" s="37"/>
      <x:c r="K189" s="36"/>
      <x:c r="L189" s="36"/>
      <x:c r="M189" s="36"/>
      <x:c r="N189" s="36"/>
      <x:c r="O189" s="36"/>
      <x:c r="P189" s="63" t="str">
        <x:f>IF($A189="","",IF($M189="Sim",IFERROR($J189/MAX($N189,1),$J189),$J189))</x:f>
      </x:c>
      <x:c r="Q189" s="36"/>
      <x:c r="R189" s="36"/>
      <x:c r="S189" s="38"/>
      <x:c r="T189" s="38"/>
      <x:c r="U189" s="63" t="str">
        <x:f>IF($A189="","",$J189*$S189)</x:f>
      </x:c>
      <x:c r="V189" s="63" t="str">
        <x:f>IF($A189="","",$J189*$T189)</x:f>
      </x:c>
      <x:c r="W189" s="63" t="str">
        <x:f>IF($A189="","",IF($D189="Pedro Américo Paletot",$J189,0))</x:f>
      </x:c>
      <x:c r="X189" s="63" t="str">
        <x:f>IF($A189="","",IF($D189="Camilly Queiroz",$J189,0))</x:f>
      </x:c>
      <x:c r="Y189" s="63" t="str">
        <x:f>IF($A189="","",$W189-$U189)</x:f>
      </x:c>
      <x:c r="Z189" s="36"/>
      <x:c r="AA189" s="36"/>
    </x:row>
    <x:row r="190">
      <x:c r="A190" s="36"/>
      <x:c r="B190" s="36"/>
      <x:c r="C190" s="59"/>
      <x:c r="D190" s="36"/>
      <x:c r="E190" s="36"/>
      <x:c r="F190" s="36"/>
      <x:c r="G190" s="36"/>
      <x:c r="H190" s="36"/>
      <x:c r="I190" s="36"/>
      <x:c r="J190" s="37"/>
      <x:c r="K190" s="36"/>
      <x:c r="L190" s="36"/>
      <x:c r="M190" s="36"/>
      <x:c r="N190" s="36"/>
      <x:c r="O190" s="36"/>
      <x:c r="P190" s="63" t="str">
        <x:f>IF($A190="","",IF($M190="Sim",IFERROR($J190/MAX($N190,1),$J190),$J190))</x:f>
      </x:c>
      <x:c r="Q190" s="36"/>
      <x:c r="R190" s="36"/>
      <x:c r="S190" s="38"/>
      <x:c r="T190" s="38"/>
      <x:c r="U190" s="63" t="str">
        <x:f>IF($A190="","",$J190*$S190)</x:f>
      </x:c>
      <x:c r="V190" s="63" t="str">
        <x:f>IF($A190="","",$J190*$T190)</x:f>
      </x:c>
      <x:c r="W190" s="63" t="str">
        <x:f>IF($A190="","",IF($D190="Pedro Américo Paletot",$J190,0))</x:f>
      </x:c>
      <x:c r="X190" s="63" t="str">
        <x:f>IF($A190="","",IF($D190="Camilly Queiroz",$J190,0))</x:f>
      </x:c>
      <x:c r="Y190" s="63" t="str">
        <x:f>IF($A190="","",$W190-$U190)</x:f>
      </x:c>
      <x:c r="Z190" s="36"/>
      <x:c r="AA190" s="36"/>
    </x:row>
    <x:row r="191">
      <x:c r="A191" s="36"/>
      <x:c r="B191" s="36"/>
      <x:c r="C191" s="59"/>
      <x:c r="D191" s="36"/>
      <x:c r="E191" s="36"/>
      <x:c r="F191" s="36"/>
      <x:c r="G191" s="36"/>
      <x:c r="H191" s="36"/>
      <x:c r="I191" s="36"/>
      <x:c r="J191" s="37"/>
      <x:c r="K191" s="36"/>
      <x:c r="L191" s="36"/>
      <x:c r="M191" s="36"/>
      <x:c r="N191" s="36"/>
      <x:c r="O191" s="36"/>
      <x:c r="P191" s="63" t="str">
        <x:f>IF($A191="","",IF($M191="Sim",IFERROR($J191/MAX($N191,1),$J191),$J191))</x:f>
      </x:c>
      <x:c r="Q191" s="36"/>
      <x:c r="R191" s="36"/>
      <x:c r="S191" s="38"/>
      <x:c r="T191" s="38"/>
      <x:c r="U191" s="63" t="str">
        <x:f>IF($A191="","",$J191*$S191)</x:f>
      </x:c>
      <x:c r="V191" s="63" t="str">
        <x:f>IF($A191="","",$J191*$T191)</x:f>
      </x:c>
      <x:c r="W191" s="63" t="str">
        <x:f>IF($A191="","",IF($D191="Pedro Américo Paletot",$J191,0))</x:f>
      </x:c>
      <x:c r="X191" s="63" t="str">
        <x:f>IF($A191="","",IF($D191="Camilly Queiroz",$J191,0))</x:f>
      </x:c>
      <x:c r="Y191" s="63" t="str">
        <x:f>IF($A191="","",$W191-$U191)</x:f>
      </x:c>
      <x:c r="Z191" s="36"/>
      <x:c r="AA191" s="36"/>
    </x:row>
    <x:row r="192">
      <x:c r="A192" s="36"/>
      <x:c r="B192" s="36"/>
      <x:c r="C192" s="59"/>
      <x:c r="D192" s="36"/>
      <x:c r="E192" s="36"/>
      <x:c r="F192" s="36"/>
      <x:c r="G192" s="36"/>
      <x:c r="H192" s="36"/>
      <x:c r="I192" s="36"/>
      <x:c r="J192" s="37"/>
      <x:c r="K192" s="36"/>
      <x:c r="L192" s="36"/>
      <x:c r="M192" s="36"/>
      <x:c r="N192" s="36"/>
      <x:c r="O192" s="36"/>
      <x:c r="P192" s="63" t="str">
        <x:f>IF($A192="","",IF($M192="Sim",IFERROR($J192/MAX($N192,1),$J192),$J192))</x:f>
      </x:c>
      <x:c r="Q192" s="36"/>
      <x:c r="R192" s="36"/>
      <x:c r="S192" s="38"/>
      <x:c r="T192" s="38"/>
      <x:c r="U192" s="63" t="str">
        <x:f>IF($A192="","",$J192*$S192)</x:f>
      </x:c>
      <x:c r="V192" s="63" t="str">
        <x:f>IF($A192="","",$J192*$T192)</x:f>
      </x:c>
      <x:c r="W192" s="63" t="str">
        <x:f>IF($A192="","",IF($D192="Pedro Américo Paletot",$J192,0))</x:f>
      </x:c>
      <x:c r="X192" s="63" t="str">
        <x:f>IF($A192="","",IF($D192="Camilly Queiroz",$J192,0))</x:f>
      </x:c>
      <x:c r="Y192" s="63" t="str">
        <x:f>IF($A192="","",$W192-$U192)</x:f>
      </x:c>
      <x:c r="Z192" s="36"/>
      <x:c r="AA192" s="36"/>
    </x:row>
    <x:row r="193">
      <x:c r="A193" s="36"/>
      <x:c r="B193" s="36"/>
      <x:c r="C193" s="59"/>
      <x:c r="D193" s="36"/>
      <x:c r="E193" s="36"/>
      <x:c r="F193" s="36"/>
      <x:c r="G193" s="36"/>
      <x:c r="H193" s="36"/>
      <x:c r="I193" s="36"/>
      <x:c r="J193" s="37"/>
      <x:c r="K193" s="36"/>
      <x:c r="L193" s="36"/>
      <x:c r="M193" s="36"/>
      <x:c r="N193" s="36"/>
      <x:c r="O193" s="36"/>
      <x:c r="P193" s="63" t="str">
        <x:f>IF($A193="","",IF($M193="Sim",IFERROR($J193/MAX($N193,1),$J193),$J193))</x:f>
      </x:c>
      <x:c r="Q193" s="36"/>
      <x:c r="R193" s="36"/>
      <x:c r="S193" s="38"/>
      <x:c r="T193" s="38"/>
      <x:c r="U193" s="63" t="str">
        <x:f>IF($A193="","",$J193*$S193)</x:f>
      </x:c>
      <x:c r="V193" s="63" t="str">
        <x:f>IF($A193="","",$J193*$T193)</x:f>
      </x:c>
      <x:c r="W193" s="63" t="str">
        <x:f>IF($A193="","",IF($D193="Pedro Américo Paletot",$J193,0))</x:f>
      </x:c>
      <x:c r="X193" s="63" t="str">
        <x:f>IF($A193="","",IF($D193="Camilly Queiroz",$J193,0))</x:f>
      </x:c>
      <x:c r="Y193" s="63" t="str">
        <x:f>IF($A193="","",$W193-$U193)</x:f>
      </x:c>
      <x:c r="Z193" s="36"/>
      <x:c r="AA193" s="36"/>
    </x:row>
    <x:row r="194">
      <x:c r="A194" s="36"/>
      <x:c r="B194" s="36"/>
      <x:c r="C194" s="59"/>
      <x:c r="D194" s="36"/>
      <x:c r="E194" s="36"/>
      <x:c r="F194" s="36"/>
      <x:c r="G194" s="36"/>
      <x:c r="H194" s="36"/>
      <x:c r="I194" s="36"/>
      <x:c r="J194" s="37"/>
      <x:c r="K194" s="36"/>
      <x:c r="L194" s="36"/>
      <x:c r="M194" s="36"/>
      <x:c r="N194" s="36"/>
      <x:c r="O194" s="36"/>
      <x:c r="P194" s="63" t="str">
        <x:f>IF($A194="","",IF($M194="Sim",IFERROR($J194/MAX($N194,1),$J194),$J194))</x:f>
      </x:c>
      <x:c r="Q194" s="36"/>
      <x:c r="R194" s="36"/>
      <x:c r="S194" s="38"/>
      <x:c r="T194" s="38"/>
      <x:c r="U194" s="63" t="str">
        <x:f>IF($A194="","",$J194*$S194)</x:f>
      </x:c>
      <x:c r="V194" s="63" t="str">
        <x:f>IF($A194="","",$J194*$T194)</x:f>
      </x:c>
      <x:c r="W194" s="63" t="str">
        <x:f>IF($A194="","",IF($D194="Pedro Américo Paletot",$J194,0))</x:f>
      </x:c>
      <x:c r="X194" s="63" t="str">
        <x:f>IF($A194="","",IF($D194="Camilly Queiroz",$J194,0))</x:f>
      </x:c>
      <x:c r="Y194" s="63" t="str">
        <x:f>IF($A194="","",$W194-$U194)</x:f>
      </x:c>
      <x:c r="Z194" s="36"/>
      <x:c r="AA194" s="36"/>
    </x:row>
    <x:row r="195">
      <x:c r="A195" s="36"/>
      <x:c r="B195" s="36"/>
      <x:c r="C195" s="59"/>
      <x:c r="D195" s="36"/>
      <x:c r="E195" s="36"/>
      <x:c r="F195" s="36"/>
      <x:c r="G195" s="36"/>
      <x:c r="H195" s="36"/>
      <x:c r="I195" s="36"/>
      <x:c r="J195" s="37"/>
      <x:c r="K195" s="36"/>
      <x:c r="L195" s="36"/>
      <x:c r="M195" s="36"/>
      <x:c r="N195" s="36"/>
      <x:c r="O195" s="36"/>
      <x:c r="P195" s="63" t="str">
        <x:f>IF($A195="","",IF($M195="Sim",IFERROR($J195/MAX($N195,1),$J195),$J195))</x:f>
      </x:c>
      <x:c r="Q195" s="36"/>
      <x:c r="R195" s="36"/>
      <x:c r="S195" s="38"/>
      <x:c r="T195" s="38"/>
      <x:c r="U195" s="63" t="str">
        <x:f>IF($A195="","",$J195*$S195)</x:f>
      </x:c>
      <x:c r="V195" s="63" t="str">
        <x:f>IF($A195="","",$J195*$T195)</x:f>
      </x:c>
      <x:c r="W195" s="63" t="str">
        <x:f>IF($A195="","",IF($D195="Pedro Américo Paletot",$J195,0))</x:f>
      </x:c>
      <x:c r="X195" s="63" t="str">
        <x:f>IF($A195="","",IF($D195="Camilly Queiroz",$J195,0))</x:f>
      </x:c>
      <x:c r="Y195" s="63" t="str">
        <x:f>IF($A195="","",$W195-$U195)</x:f>
      </x:c>
      <x:c r="Z195" s="36"/>
      <x:c r="AA195" s="36"/>
    </x:row>
    <x:row r="196">
      <x:c r="A196" s="36"/>
      <x:c r="B196" s="36"/>
      <x:c r="C196" s="59"/>
      <x:c r="D196" s="36"/>
      <x:c r="E196" s="36"/>
      <x:c r="F196" s="36"/>
      <x:c r="G196" s="36"/>
      <x:c r="H196" s="36"/>
      <x:c r="I196" s="36"/>
      <x:c r="J196" s="37"/>
      <x:c r="K196" s="36"/>
      <x:c r="L196" s="36"/>
      <x:c r="M196" s="36"/>
      <x:c r="N196" s="36"/>
      <x:c r="O196" s="36"/>
      <x:c r="P196" s="63" t="str">
        <x:f>IF($A196="","",IF($M196="Sim",IFERROR($J196/MAX($N196,1),$J196),$J196))</x:f>
      </x:c>
      <x:c r="Q196" s="36"/>
      <x:c r="R196" s="36"/>
      <x:c r="S196" s="38"/>
      <x:c r="T196" s="38"/>
      <x:c r="U196" s="63" t="str">
        <x:f>IF($A196="","",$J196*$S196)</x:f>
      </x:c>
      <x:c r="V196" s="63" t="str">
        <x:f>IF($A196="","",$J196*$T196)</x:f>
      </x:c>
      <x:c r="W196" s="63" t="str">
        <x:f>IF($A196="","",IF($D196="Pedro Américo Paletot",$J196,0))</x:f>
      </x:c>
      <x:c r="X196" s="63" t="str">
        <x:f>IF($A196="","",IF($D196="Camilly Queiroz",$J196,0))</x:f>
      </x:c>
      <x:c r="Y196" s="63" t="str">
        <x:f>IF($A196="","",$W196-$U196)</x:f>
      </x:c>
      <x:c r="Z196" s="36"/>
      <x:c r="AA196" s="36"/>
    </x:row>
    <x:row r="197">
      <x:c r="A197" s="36"/>
      <x:c r="B197" s="36"/>
      <x:c r="C197" s="59"/>
      <x:c r="D197" s="36"/>
      <x:c r="E197" s="36"/>
      <x:c r="F197" s="36"/>
      <x:c r="G197" s="36"/>
      <x:c r="H197" s="36"/>
      <x:c r="I197" s="36"/>
      <x:c r="J197" s="37"/>
      <x:c r="K197" s="36"/>
      <x:c r="L197" s="36"/>
      <x:c r="M197" s="36"/>
      <x:c r="N197" s="36"/>
      <x:c r="O197" s="36"/>
      <x:c r="P197" s="63" t="str">
        <x:f>IF($A197="","",IF($M197="Sim",IFERROR($J197/MAX($N197,1),$J197),$J197))</x:f>
      </x:c>
      <x:c r="Q197" s="36"/>
      <x:c r="R197" s="36"/>
      <x:c r="S197" s="38"/>
      <x:c r="T197" s="38"/>
      <x:c r="U197" s="63" t="str">
        <x:f>IF($A197="","",$J197*$S197)</x:f>
      </x:c>
      <x:c r="V197" s="63" t="str">
        <x:f>IF($A197="","",$J197*$T197)</x:f>
      </x:c>
      <x:c r="W197" s="63" t="str">
        <x:f>IF($A197="","",IF($D197="Pedro Américo Paletot",$J197,0))</x:f>
      </x:c>
      <x:c r="X197" s="63" t="str">
        <x:f>IF($A197="","",IF($D197="Camilly Queiroz",$J197,0))</x:f>
      </x:c>
      <x:c r="Y197" s="63" t="str">
        <x:f>IF($A197="","",$W197-$U197)</x:f>
      </x:c>
      <x:c r="Z197" s="36"/>
      <x:c r="AA197" s="36"/>
    </x:row>
    <x:row r="198">
      <x:c r="A198" s="36"/>
      <x:c r="B198" s="36"/>
      <x:c r="C198" s="59"/>
      <x:c r="D198" s="36"/>
      <x:c r="E198" s="36"/>
      <x:c r="F198" s="36"/>
      <x:c r="G198" s="36"/>
      <x:c r="H198" s="36"/>
      <x:c r="I198" s="36"/>
      <x:c r="J198" s="37"/>
      <x:c r="K198" s="36"/>
      <x:c r="L198" s="36"/>
      <x:c r="M198" s="36"/>
      <x:c r="N198" s="36"/>
      <x:c r="O198" s="36"/>
      <x:c r="P198" s="63" t="str">
        <x:f>IF($A198="","",IF($M198="Sim",IFERROR($J198/MAX($N198,1),$J198),$J198))</x:f>
      </x:c>
      <x:c r="Q198" s="36"/>
      <x:c r="R198" s="36"/>
      <x:c r="S198" s="38"/>
      <x:c r="T198" s="38"/>
      <x:c r="U198" s="63" t="str">
        <x:f>IF($A198="","",$J198*$S198)</x:f>
      </x:c>
      <x:c r="V198" s="63" t="str">
        <x:f>IF($A198="","",$J198*$T198)</x:f>
      </x:c>
      <x:c r="W198" s="63" t="str">
        <x:f>IF($A198="","",IF($D198="Pedro Américo Paletot",$J198,0))</x:f>
      </x:c>
      <x:c r="X198" s="63" t="str">
        <x:f>IF($A198="","",IF($D198="Camilly Queiroz",$J198,0))</x:f>
      </x:c>
      <x:c r="Y198" s="63" t="str">
        <x:f>IF($A198="","",$W198-$U198)</x:f>
      </x:c>
      <x:c r="Z198" s="36"/>
      <x:c r="AA198" s="36"/>
    </x:row>
    <x:row r="199">
      <x:c r="A199" s="36"/>
      <x:c r="B199" s="36"/>
      <x:c r="C199" s="59"/>
      <x:c r="D199" s="36"/>
      <x:c r="E199" s="36"/>
      <x:c r="F199" s="36"/>
      <x:c r="G199" s="36"/>
      <x:c r="H199" s="36"/>
      <x:c r="I199" s="36"/>
      <x:c r="J199" s="37"/>
      <x:c r="K199" s="36"/>
      <x:c r="L199" s="36"/>
      <x:c r="M199" s="36"/>
      <x:c r="N199" s="36"/>
      <x:c r="O199" s="36"/>
      <x:c r="P199" s="63" t="str">
        <x:f>IF($A199="","",IF($M199="Sim",IFERROR($J199/MAX($N199,1),$J199),$J199))</x:f>
      </x:c>
      <x:c r="Q199" s="36"/>
      <x:c r="R199" s="36"/>
      <x:c r="S199" s="38"/>
      <x:c r="T199" s="38"/>
      <x:c r="U199" s="63" t="str">
        <x:f>IF($A199="","",$J199*$S199)</x:f>
      </x:c>
      <x:c r="V199" s="63" t="str">
        <x:f>IF($A199="","",$J199*$T199)</x:f>
      </x:c>
      <x:c r="W199" s="63" t="str">
        <x:f>IF($A199="","",IF($D199="Pedro Américo Paletot",$J199,0))</x:f>
      </x:c>
      <x:c r="X199" s="63" t="str">
        <x:f>IF($A199="","",IF($D199="Camilly Queiroz",$J199,0))</x:f>
      </x:c>
      <x:c r="Y199" s="63" t="str">
        <x:f>IF($A199="","",$W199-$U199)</x:f>
      </x:c>
      <x:c r="Z199" s="36"/>
      <x:c r="AA199" s="36"/>
    </x:row>
    <x:row r="200">
      <x:c r="A200" s="36"/>
      <x:c r="B200" s="36"/>
      <x:c r="C200" s="59"/>
      <x:c r="D200" s="36"/>
      <x:c r="E200" s="36"/>
      <x:c r="F200" s="36"/>
      <x:c r="G200" s="36"/>
      <x:c r="H200" s="36"/>
      <x:c r="I200" s="36"/>
      <x:c r="J200" s="37"/>
      <x:c r="K200" s="36"/>
      <x:c r="L200" s="36"/>
      <x:c r="M200" s="36"/>
      <x:c r="N200" s="36"/>
      <x:c r="O200" s="36"/>
      <x:c r="P200" s="63" t="str">
        <x:f>IF($A200="","",IF($M200="Sim",IFERROR($J200/MAX($N200,1),$J200),$J200))</x:f>
      </x:c>
      <x:c r="Q200" s="36"/>
      <x:c r="R200" s="36"/>
      <x:c r="S200" s="38"/>
      <x:c r="T200" s="38"/>
      <x:c r="U200" s="63" t="str">
        <x:f>IF($A200="","",$J200*$S200)</x:f>
      </x:c>
      <x:c r="V200" s="63" t="str">
        <x:f>IF($A200="","",$J200*$T200)</x:f>
      </x:c>
      <x:c r="W200" s="63" t="str">
        <x:f>IF($A200="","",IF($D200="Pedro Américo Paletot",$J200,0))</x:f>
      </x:c>
      <x:c r="X200" s="63" t="str">
        <x:f>IF($A200="","",IF($D200="Camilly Queiroz",$J200,0))</x:f>
      </x:c>
      <x:c r="Y200" s="63" t="str">
        <x:f>IF($A200="","",$W200-$U200)</x:f>
      </x:c>
      <x:c r="Z200" s="36"/>
      <x:c r="AA200" s="36"/>
    </x:row>
    <x:row r="201">
      <x:c r="A201" s="36"/>
      <x:c r="B201" s="36"/>
      <x:c r="C201" s="59"/>
      <x:c r="D201" s="36"/>
      <x:c r="E201" s="36"/>
      <x:c r="F201" s="36"/>
      <x:c r="G201" s="36"/>
      <x:c r="H201" s="36"/>
      <x:c r="I201" s="36"/>
      <x:c r="J201" s="37"/>
      <x:c r="K201" s="36"/>
      <x:c r="L201" s="36"/>
      <x:c r="M201" s="36"/>
      <x:c r="N201" s="36"/>
      <x:c r="O201" s="36"/>
      <x:c r="P201" s="63" t="str">
        <x:f>IF($A201="","",IF($M201="Sim",IFERROR($J201/MAX($N201,1),$J201),$J201))</x:f>
      </x:c>
      <x:c r="Q201" s="36"/>
      <x:c r="R201" s="36"/>
      <x:c r="S201" s="38"/>
      <x:c r="T201" s="38"/>
      <x:c r="U201" s="63" t="str">
        <x:f>IF($A201="","",$J201*$S201)</x:f>
      </x:c>
      <x:c r="V201" s="63" t="str">
        <x:f>IF($A201="","",$J201*$T201)</x:f>
      </x:c>
      <x:c r="W201" s="63" t="str">
        <x:f>IF($A201="","",IF($D201="Pedro Américo Paletot",$J201,0))</x:f>
      </x:c>
      <x:c r="X201" s="63" t="str">
        <x:f>IF($A201="","",IF($D201="Camilly Queiroz",$J201,0))</x:f>
      </x:c>
      <x:c r="Y201" s="63" t="str">
        <x:f>IF($A201="","",$W201-$U201)</x:f>
      </x:c>
      <x:c r="Z201" s="36"/>
      <x:c r="AA201" s="36"/>
    </x:row>
    <x:row r="202">
      <x:c r="A202" s="36"/>
      <x:c r="B202" s="36"/>
      <x:c r="C202" s="59"/>
      <x:c r="D202" s="36"/>
      <x:c r="E202" s="36"/>
      <x:c r="F202" s="36"/>
      <x:c r="G202" s="36"/>
      <x:c r="H202" s="36"/>
      <x:c r="I202" s="36"/>
      <x:c r="J202" s="37"/>
      <x:c r="K202" s="36"/>
      <x:c r="L202" s="36"/>
      <x:c r="M202" s="36"/>
      <x:c r="N202" s="36"/>
      <x:c r="O202" s="36"/>
      <x:c r="P202" s="63" t="str">
        <x:f>IF($A202="","",IF($M202="Sim",IFERROR($J202/MAX($N202,1),$J202),$J202))</x:f>
      </x:c>
      <x:c r="Q202" s="36"/>
      <x:c r="R202" s="36"/>
      <x:c r="S202" s="38"/>
      <x:c r="T202" s="38"/>
      <x:c r="U202" s="63" t="str">
        <x:f>IF($A202="","",$J202*$S202)</x:f>
      </x:c>
      <x:c r="V202" s="63" t="str">
        <x:f>IF($A202="","",$J202*$T202)</x:f>
      </x:c>
      <x:c r="W202" s="63" t="str">
        <x:f>IF($A202="","",IF($D202="Pedro Américo Paletot",$J202,0))</x:f>
      </x:c>
      <x:c r="X202" s="63" t="str">
        <x:f>IF($A202="","",IF($D202="Camilly Queiroz",$J202,0))</x:f>
      </x:c>
      <x:c r="Y202" s="63" t="str">
        <x:f>IF($A202="","",$W202-$U202)</x:f>
      </x:c>
      <x:c r="Z202" s="36"/>
      <x:c r="AA202" s="36"/>
    </x:row>
    <x:row r="203">
      <x:c r="A203" s="36"/>
      <x:c r="B203" s="36"/>
      <x:c r="C203" s="59"/>
      <x:c r="D203" s="36"/>
      <x:c r="E203" s="36"/>
      <x:c r="F203" s="36"/>
      <x:c r="G203" s="36"/>
      <x:c r="H203" s="36"/>
      <x:c r="I203" s="36"/>
      <x:c r="J203" s="37"/>
      <x:c r="K203" s="36"/>
      <x:c r="L203" s="36"/>
      <x:c r="M203" s="36"/>
      <x:c r="N203" s="36"/>
      <x:c r="O203" s="36"/>
      <x:c r="P203" s="63" t="str">
        <x:f>IF($A203="","",IF($M203="Sim",IFERROR($J203/MAX($N203,1),$J203),$J203))</x:f>
      </x:c>
      <x:c r="Q203" s="36"/>
      <x:c r="R203" s="36"/>
      <x:c r="S203" s="38"/>
      <x:c r="T203" s="38"/>
      <x:c r="U203" s="63" t="str">
        <x:f>IF($A203="","",$J203*$S203)</x:f>
      </x:c>
      <x:c r="V203" s="63" t="str">
        <x:f>IF($A203="","",$J203*$T203)</x:f>
      </x:c>
      <x:c r="W203" s="63" t="str">
        <x:f>IF($A203="","",IF($D203="Pedro Américo Paletot",$J203,0))</x:f>
      </x:c>
      <x:c r="X203" s="63" t="str">
        <x:f>IF($A203="","",IF($D203="Camilly Queiroz",$J203,0))</x:f>
      </x:c>
      <x:c r="Y203" s="63" t="str">
        <x:f>IF($A203="","",$W203-$U203)</x:f>
      </x:c>
      <x:c r="Z203" s="36"/>
      <x:c r="AA203" s="36"/>
    </x:row>
    <x:row r="204">
      <x:c r="A204" s="36"/>
      <x:c r="B204" s="36"/>
      <x:c r="C204" s="59"/>
      <x:c r="D204" s="36"/>
      <x:c r="E204" s="36"/>
      <x:c r="F204" s="36"/>
      <x:c r="G204" s="36"/>
      <x:c r="H204" s="36"/>
      <x:c r="I204" s="36"/>
      <x:c r="J204" s="37"/>
      <x:c r="K204" s="36"/>
      <x:c r="L204" s="36"/>
      <x:c r="M204" s="36"/>
      <x:c r="N204" s="36"/>
      <x:c r="O204" s="36"/>
      <x:c r="P204" s="63" t="str">
        <x:f>IF($A204="","",IF($M204="Sim",IFERROR($J204/MAX($N204,1),$J204),$J204))</x:f>
      </x:c>
      <x:c r="Q204" s="36"/>
      <x:c r="R204" s="36"/>
      <x:c r="S204" s="38"/>
      <x:c r="T204" s="38"/>
      <x:c r="U204" s="63" t="str">
        <x:f>IF($A204="","",$J204*$S204)</x:f>
      </x:c>
      <x:c r="V204" s="63" t="str">
        <x:f>IF($A204="","",$J204*$T204)</x:f>
      </x:c>
      <x:c r="W204" s="63" t="str">
        <x:f>IF($A204="","",IF($D204="Pedro Américo Paletot",$J204,0))</x:f>
      </x:c>
      <x:c r="X204" s="63" t="str">
        <x:f>IF($A204="","",IF($D204="Camilly Queiroz",$J204,0))</x:f>
      </x:c>
      <x:c r="Y204" s="63" t="str">
        <x:f>IF($A204="","",$W204-$U204)</x:f>
      </x:c>
      <x:c r="Z204" s="36"/>
      <x:c r="AA204" s="36"/>
    </x:row>
    <x:row r="205">
      <x:c r="A205" s="36"/>
      <x:c r="B205" s="36"/>
      <x:c r="C205" s="59"/>
      <x:c r="D205" s="36"/>
      <x:c r="E205" s="36"/>
      <x:c r="F205" s="36"/>
      <x:c r="G205" s="36"/>
      <x:c r="H205" s="36"/>
      <x:c r="I205" s="36"/>
      <x:c r="J205" s="37"/>
      <x:c r="K205" s="36"/>
      <x:c r="L205" s="36"/>
      <x:c r="M205" s="36"/>
      <x:c r="N205" s="36"/>
      <x:c r="O205" s="36"/>
      <x:c r="P205" s="63" t="str">
        <x:f>IF($A205="","",IF($M205="Sim",IFERROR($J205/MAX($N205,1),$J205),$J205))</x:f>
      </x:c>
      <x:c r="Q205" s="36"/>
      <x:c r="R205" s="36"/>
      <x:c r="S205" s="38"/>
      <x:c r="T205" s="38"/>
      <x:c r="U205" s="63" t="str">
        <x:f>IF($A205="","",$J205*$S205)</x:f>
      </x:c>
      <x:c r="V205" s="63" t="str">
        <x:f>IF($A205="","",$J205*$T205)</x:f>
      </x:c>
      <x:c r="W205" s="63" t="str">
        <x:f>IF($A205="","",IF($D205="Pedro Américo Paletot",$J205,0))</x:f>
      </x:c>
      <x:c r="X205" s="63" t="str">
        <x:f>IF($A205="","",IF($D205="Camilly Queiroz",$J205,0))</x:f>
      </x:c>
      <x:c r="Y205" s="63" t="str">
        <x:f>IF($A205="","",$W205-$U205)</x:f>
      </x:c>
      <x:c r="Z205" s="36"/>
      <x:c r="AA205" s="36"/>
    </x:row>
  </x:sheetData>
  <x:mergeCells>
    <x:mergeCell ref="A1:AA1"/>
    <x:mergeCell ref="A2:AA2"/>
    <x:mergeCell ref="A3:AA3"/>
  </x:mergeCells>
  <x:conditionalFormatting sqref="Y6:Y205">
    <x:cfRule type="cellIs" dxfId="7" priority="1" operator="greaterThan">
      <x:formula>0</x:formula>
    </x:cfRule>
    <x:cfRule type="cellIs" dxfId="8" priority="2" operator="lessThan">
      <x:formula>0</x:formula>
    </x:cfRule>
  </x:conditionalFormatting>
  <x:dataValidations count="8">
    <x:dataValidation type="list" sqref="B6:B205">
      <x:formula1>'Planejamento de Viagens'!$A$6:$A$205</x:formula1>
    </x:dataValidation>
    <x:dataValidation type="list" sqref="D6:E205">
      <x:formula1>'Base de Categorias'!$A$2:$A$4</x:formula1>
    </x:dataValidation>
    <x:dataValidation type="list" sqref="F6:F205">
      <x:formula1>'Base de Categorias'!$B$2:$B$15</x:formula1>
    </x:dataValidation>
    <x:dataValidation type="list" sqref="G6:G205">
      <x:formula1>'Base de Categorias'!$C$2:$C$160</x:formula1>
    </x:dataValidation>
    <x:dataValidation type="list" sqref="H6:H205">
      <x:formula1>'Base de Categorias'!$I$2:$I$8</x:formula1>
    </x:dataValidation>
    <x:dataValidation type="list" sqref="K6:K205">
      <x:formula1>'Base de Categorias'!$D$2:$D$20</x:formula1>
    </x:dataValidation>
    <x:dataValidation type="list" sqref="M6:M205">
      <x:formula1>'Base de Categorias'!$M$2:$M$3</x:formula1>
    </x:dataValidation>
    <x:dataValidation type="list" sqref="Q6:R205">
      <x:formula1>'Base de Categorias'!$M$2:$M$3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5b9c5de93443a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6.25" hidden="0" customWidth="1"/>
    <x:col min="3" max="3" width="17.5" hidden="0" customWidth="1"/>
    <x:col min="4" max="4" width="17.5" hidden="0" customWidth="1"/>
    <x:col min="5" max="5" width="18.75" hidden="0" customWidth="1"/>
    <x:col min="6" max="6" width="18.75" hidden="0" customWidth="1"/>
    <x:col min="7" max="7" width="15.630000114440918" hidden="0" customWidth="1"/>
    <x:col min="8" max="8" width="15.630000114440918" hidden="0" customWidth="1"/>
    <x:col min="9" max="9" width="35" hidden="0" customWidth="1"/>
    <x:col min="10" max="10" width="18.1299991607666" hidden="0" customWidth="1"/>
    <x:col min="11" max="11" width="22.5" hidden="0" customWidth="1"/>
    <x:col min="12" max="12" width="22.5" hidden="0" customWidth="1"/>
    <x:col min="13" max="13" width="16.25" hidden="0" customWidth="1"/>
    <x:col min="14" max="14" width="13.75" hidden="0" customWidth="1"/>
    <x:col min="15" max="15" width="18.75" hidden="0" customWidth="1"/>
    <x:col min="16" max="16" width="30" hidden="0" customWidth="1"/>
  </x:cols>
  <x:sheetData>
    <x:row r="1" ht="25.5" customHeight="1">
      <x:c r="A1" s="4" t="str">
        <x:v>Divisão e Acertos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1" customHeight="1">
      <x:c r="A2" s="9" t="str">
        <x:v>Mostra automaticamente quem deve transferir para quem em cada viagem.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</x:row>
    <x:row r="3" ht="22.5" customHeight="1">
      <x:c r="A3" s="47" t="str">
        <x:v>Células em azul são preenchidas manualmente. Células em cinza são calculadas automaticamente.</x:v>
      </x:c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9"/>
    </x:row>
    <x:row r="5">
      <x:c r="A5" s="14" t="str">
        <x:v>ID da viagem</x:v>
      </x:c>
      <x:c r="B5" s="14" t="str">
        <x:v>Nome da viagem</x:v>
      </x:c>
      <x:c r="C5" s="14" t="str">
        <x:v>Total pago por Pedro</x:v>
      </x:c>
      <x:c r="D5" s="14" t="str">
        <x:v>Total pago por Camilly</x:v>
      </x:c>
      <x:c r="E5" s="14" t="str">
        <x:v>Responsabilidade Pedro</x:v>
      </x:c>
      <x:c r="F5" s="14" t="str">
        <x:v>Responsabilidade Camilly</x:v>
      </x:c>
      <x:c r="G5" s="14" t="str">
        <x:v>Diferença Pedro</x:v>
      </x:c>
      <x:c r="H5" s="14" t="str">
        <x:v>Diferença Camilly</x:v>
      </x:c>
      <x:c r="I5" s="14" t="str">
        <x:v>Resultado automático</x:v>
      </x:c>
      <x:c r="J5" s="14" t="str">
        <x:v>Valor sugerido de acerto</x:v>
      </x:c>
      <x:c r="K5" s="14" t="str">
        <x:v>Pessoa que deve pagar</x:v>
      </x:c>
      <x:c r="L5" s="14" t="str">
        <x:v>Pessoa que deve receber</x:v>
      </x:c>
      <x:c r="M5" s="14" t="str">
        <x:v>Status do acerto</x:v>
      </x:c>
      <x:c r="N5" s="14" t="str">
        <x:v>Data do acerto</x:v>
      </x:c>
      <x:c r="O5" s="14" t="str">
        <x:v>Forma do acerto</x:v>
      </x:c>
      <x:c r="P5" s="14" t="str">
        <x:v>Observações</x:v>
      </x:c>
    </x:row>
    <x:row r="6">
      <x:c r="A6" s="36" t="str">
        <x:v>V001</x:v>
      </x:c>
      <x:c r="B6" s="67" t="str">
        <x:f>IF($A6="","",IFERROR(INDEX('Planejamento de Viagens'!$B$6:$B$205,MATCH($A6,'Planejamento de Viagens'!$A$6:$A$205,0)),""))</x:f>
        <x:v>Camilly em João Pessoa</x:v>
      </x:c>
      <x:c r="C6" s="63" t="n">
        <x:f>IF($A6="","",SUMIFS('Histórico de Gastos'!$W$6:$W$205,'Histórico de Gastos'!$B$6:$B$205,$A6))</x:f>
        <x:v>88</x:v>
      </x:c>
      <x:c r="D6" s="63" t="n">
        <x:f>IF($A6="","",SUMIFS('Histórico de Gastos'!$X$6:$X$205,'Histórico de Gastos'!$B$6:$B$205,$A6))</x:f>
        <x:v>440</x:v>
      </x:c>
      <x:c r="E6" s="63" t="n">
        <x:f>IF($A6="","",SUMIFS('Histórico de Gastos'!$U$6:$U$205,'Histórico de Gastos'!$B$6:$B$205,$A6))</x:f>
        <x:v>88</x:v>
      </x:c>
      <x:c r="F6" s="63" t="n">
        <x:f>IF($A6="","",SUMIFS('Histórico de Gastos'!$V$6:$V$205,'Histórico de Gastos'!$B$6:$B$205,$A6))</x:f>
        <x:v>440</x:v>
      </x:c>
      <x:c r="G6" s="63" t="n">
        <x:f>IF($A6="","",$C6-$E6)</x:f>
        <x:v>0</x:v>
      </x:c>
      <x:c r="H6" s="63" t="n">
        <x:f>IF($A6="","",$D6-$F6)</x:f>
        <x:v>0</x:v>
      </x:c>
      <x:c r="I6" s="67" t="str">
        <x:f>IF($A6="","",IF(ABS($G6)&lt;0.01,"Tudo certo, ninguém deve nada",IF($G6&gt;0,"Camilly deve pagar para Pedro","Pedro deve pagar para Camilly")))</x:f>
        <x:v>Tudo certo, ninguém deve nada</x:v>
      </x:c>
      <x:c r="J6" s="63" t="n">
        <x:f>IF($A6="","",ABS($G6))</x:f>
        <x:v>0</x:v>
      </x:c>
      <x:c r="K6" s="67" t="str">
        <x:f>IF($A6="","",IF(ABS($G6)&lt;0.01,"-",IF($G6&gt;0,"Camilly Queiroz","Pedro Américo Paletot")))</x:f>
        <x:v>-</x:v>
      </x:c>
      <x:c r="L6" s="67" t="str">
        <x:f>IF($A6="","",IF(ABS($G6)&lt;0.01,"-",IF($G6&gt;0,"Pedro Américo Paletot","Camilly Queiroz")))</x:f>
        <x:v>-</x:v>
      </x:c>
      <x:c r="M6" s="36"/>
      <x:c r="N6" s="59"/>
      <x:c r="O6" s="36"/>
      <x:c r="P6" s="36"/>
    </x:row>
    <x:row r="7">
      <x:c r="A7" s="36" t="str">
        <x:v>V002</x:v>
      </x:c>
      <x:c r="B7" s="67" t="str">
        <x:f>IF($A7="","",IFERROR(INDEX('Planejamento de Viagens'!$B$6:$B$205,MATCH($A7,'Planejamento de Viagens'!$A$6:$A$205,0)),""))</x:f>
        <x:v>Pedro visitando Camilly</x:v>
      </x:c>
      <x:c r="C7" s="63" t="n">
        <x:f>IF($A7="","",SUMIFS('Histórico de Gastos'!$W$6:$W$205,'Histórico de Gastos'!$B$6:$B$205,$A7))</x:f>
        <x:v>393.33</x:v>
      </x:c>
      <x:c r="D7" s="63" t="n">
        <x:f>IF($A7="","",SUMIFS('Histórico de Gastos'!$X$6:$X$205,'Histórico de Gastos'!$B$6:$B$205,$A7))</x:f>
        <x:v>430</x:v>
      </x:c>
      <x:c r="E7" s="63" t="n">
        <x:f>IF($A7="","",SUMIFS('Histórico de Gastos'!$U$6:$U$205,'Histórico de Gastos'!$B$6:$B$205,$A7))</x:f>
        <x:v>608.3299999999999</x:v>
      </x:c>
      <x:c r="F7" s="63" t="n">
        <x:f>IF($A7="","",SUMIFS('Histórico de Gastos'!$V$6:$V$205,'Histórico de Gastos'!$B$6:$B$205,$A7))</x:f>
        <x:v>215</x:v>
      </x:c>
      <x:c r="G7" s="63" t="n">
        <x:f>IF($A7="","",$C7-$E7)</x:f>
        <x:v>-214.99999999999994</x:v>
      </x:c>
      <x:c r="H7" s="63" t="n">
        <x:f>IF($A7="","",$D7-$F7)</x:f>
        <x:v>215</x:v>
      </x:c>
      <x:c r="I7" s="67" t="str">
        <x:f>IF($A7="","",IF(ABS($G7)&lt;0.01,"Tudo certo, ninguém deve nada",IF($G7&gt;0,"Camilly deve pagar para Pedro","Pedro deve pagar para Camilly")))</x:f>
        <x:v>Pedro deve pagar para Camilly</x:v>
      </x:c>
      <x:c r="J7" s="63" t="n">
        <x:f>IF($A7="","",ABS($G7))</x:f>
        <x:v>214.99999999999994</x:v>
      </x:c>
      <x:c r="K7" s="67" t="str">
        <x:f>IF($A7="","",IF(ABS($G7)&lt;0.01,"-",IF($G7&gt;0,"Camilly Queiroz","Pedro Américo Paletot")))</x:f>
        <x:v>Pedro Américo Paletot</x:v>
      </x:c>
      <x:c r="L7" s="67" t="str">
        <x:f>IF($A7="","",IF(ABS($G7)&lt;0.01,"-",IF($G7&gt;0,"Pedro Américo Paletot","Camilly Queiroz")))</x:f>
        <x:v>Camilly Queiroz</x:v>
      </x:c>
      <x:c r="M7" s="36"/>
      <x:c r="N7" s="59"/>
      <x:c r="O7" s="36"/>
      <x:c r="P7" s="36"/>
    </x:row>
    <x:row r="8">
      <x:c r="A8" s="36" t="str">
        <x:v>V003</x:v>
      </x:c>
      <x:c r="B8" s="67" t="str">
        <x:f>IF($A8="","",IFERROR(INDEX('Planejamento de Viagens'!$B$6:$B$205,MATCH($A8,'Planejamento de Viagens'!$A$6:$A$205,0)),""))</x:f>
        <x:v>Fim de semana juntos</x:v>
      </x:c>
      <x:c r="C8" s="63" t="n">
        <x:f>IF($A8="","",SUMIFS('Histórico de Gastos'!$W$6:$W$205,'Histórico de Gastos'!$B$6:$B$205,$A8))</x:f>
        <x:v>467</x:v>
      </x:c>
      <x:c r="D8" s="63" t="n">
        <x:f>IF($A8="","",SUMIFS('Histórico de Gastos'!$X$6:$X$205,'Histórico de Gastos'!$B$6:$B$205,$A8))</x:f>
        <x:v>824</x:v>
      </x:c>
      <x:c r="E8" s="63" t="n">
        <x:f>IF($A8="","",SUMIFS('Histórico de Gastos'!$U$6:$U$205,'Histórico de Gastos'!$B$6:$B$205,$A8))</x:f>
        <x:v>762</x:v>
      </x:c>
      <x:c r="F8" s="63" t="n">
        <x:f>IF($A8="","",SUMIFS('Histórico de Gastos'!$V$6:$V$205,'Histórico de Gastos'!$B$6:$B$205,$A8))</x:f>
        <x:v>529</x:v>
      </x:c>
      <x:c r="G8" s="63" t="n">
        <x:f>IF($A8="","",$C8-$E8)</x:f>
        <x:v>-295</x:v>
      </x:c>
      <x:c r="H8" s="63" t="n">
        <x:f>IF($A8="","",$D8-$F8)</x:f>
        <x:v>295</x:v>
      </x:c>
      <x:c r="I8" s="67" t="str">
        <x:f>IF($A8="","",IF(ABS($G8)&lt;0.01,"Tudo certo, ninguém deve nada",IF($G8&gt;0,"Camilly deve pagar para Pedro","Pedro deve pagar para Camilly")))</x:f>
        <x:v>Pedro deve pagar para Camilly</x:v>
      </x:c>
      <x:c r="J8" s="63" t="n">
        <x:f>IF($A8="","",ABS($G8))</x:f>
        <x:v>295</x:v>
      </x:c>
      <x:c r="K8" s="67" t="str">
        <x:f>IF($A8="","",IF(ABS($G8)&lt;0.01,"-",IF($G8&gt;0,"Camilly Queiroz","Pedro Américo Paletot")))</x:f>
        <x:v>Pedro Américo Paletot</x:v>
      </x:c>
      <x:c r="L8" s="67" t="str">
        <x:f>IF($A8="","",IF(ABS($G8)&lt;0.01,"-",IF($G8&gt;0,"Pedro Américo Paletot","Camilly Queiroz")))</x:f>
        <x:v>Camilly Queiroz</x:v>
      </x:c>
      <x:c r="M8" s="36"/>
      <x:c r="N8" s="59"/>
      <x:c r="O8" s="36"/>
      <x:c r="P8" s="36"/>
    </x:row>
    <x:row r="9">
      <x:c r="A9" s="36"/>
      <x:c r="B9" s="67" t="str">
        <x:f>IF($A9="","",IFERROR(INDEX('Planejamento de Viagens'!$B$6:$B$205,MATCH($A9,'Planejamento de Viagens'!$A$6:$A$205,0)),""))</x:f>
      </x:c>
      <x:c r="C9" s="63" t="str">
        <x:f>IF($A9="","",SUMIFS('Histórico de Gastos'!$W$6:$W$205,'Histórico de Gastos'!$B$6:$B$205,$A9))</x:f>
      </x:c>
      <x:c r="D9" s="63" t="str">
        <x:f>IF($A9="","",SUMIFS('Histórico de Gastos'!$X$6:$X$205,'Histórico de Gastos'!$B$6:$B$205,$A9))</x:f>
      </x:c>
      <x:c r="E9" s="63" t="str">
        <x:f>IF($A9="","",SUMIFS('Histórico de Gastos'!$U$6:$U$205,'Histórico de Gastos'!$B$6:$B$205,$A9))</x:f>
      </x:c>
      <x:c r="F9" s="63" t="str">
        <x:f>IF($A9="","",SUMIFS('Histórico de Gastos'!$V$6:$V$205,'Histórico de Gastos'!$B$6:$B$205,$A9))</x:f>
      </x:c>
      <x:c r="G9" s="63" t="str">
        <x:f>IF($A9="","",$C9-$E9)</x:f>
      </x:c>
      <x:c r="H9" s="63" t="str">
        <x:f>IF($A9="","",$D9-$F9)</x:f>
      </x:c>
      <x:c r="I9" s="67" t="str">
        <x:f>IF($A9="","",IF(ABS($G9)&lt;0.01,"Tudo certo, ninguém deve nada",IF($G9&gt;0,"Camilly deve pagar para Pedro","Pedro deve pagar para Camilly")))</x:f>
      </x:c>
      <x:c r="J9" s="63" t="str">
        <x:f>IF($A9="","",ABS($G9))</x:f>
      </x:c>
      <x:c r="K9" s="67" t="str">
        <x:f>IF($A9="","",IF(ABS($G9)&lt;0.01,"-",IF($G9&gt;0,"Camilly Queiroz","Pedro Américo Paletot")))</x:f>
      </x:c>
      <x:c r="L9" s="67" t="str">
        <x:f>IF($A9="","",IF(ABS($G9)&lt;0.01,"-",IF($G9&gt;0,"Pedro Américo Paletot","Camilly Queiroz")))</x:f>
      </x:c>
      <x:c r="M9" s="36"/>
      <x:c r="N9" s="59"/>
      <x:c r="O9" s="36"/>
      <x:c r="P9" s="36"/>
    </x:row>
    <x:row r="10">
      <x:c r="A10" s="36"/>
      <x:c r="B10" s="67" t="str">
        <x:f>IF($A10="","",IFERROR(INDEX('Planejamento de Viagens'!$B$6:$B$205,MATCH($A10,'Planejamento de Viagens'!$A$6:$A$205,0)),""))</x:f>
      </x:c>
      <x:c r="C10" s="63" t="str">
        <x:f>IF($A10="","",SUMIFS('Histórico de Gastos'!$W$6:$W$205,'Histórico de Gastos'!$B$6:$B$205,$A10))</x:f>
      </x:c>
      <x:c r="D10" s="63" t="str">
        <x:f>IF($A10="","",SUMIFS('Histórico de Gastos'!$X$6:$X$205,'Histórico de Gastos'!$B$6:$B$205,$A10))</x:f>
      </x:c>
      <x:c r="E10" s="63" t="str">
        <x:f>IF($A10="","",SUMIFS('Histórico de Gastos'!$U$6:$U$205,'Histórico de Gastos'!$B$6:$B$205,$A10))</x:f>
      </x:c>
      <x:c r="F10" s="63" t="str">
        <x:f>IF($A10="","",SUMIFS('Histórico de Gastos'!$V$6:$V$205,'Histórico de Gastos'!$B$6:$B$205,$A10))</x:f>
      </x:c>
      <x:c r="G10" s="63" t="str">
        <x:f>IF($A10="","",$C10-$E10)</x:f>
      </x:c>
      <x:c r="H10" s="63" t="str">
        <x:f>IF($A10="","",$D10-$F10)</x:f>
      </x:c>
      <x:c r="I10" s="67" t="str">
        <x:f>IF($A10="","",IF(ABS($G10)&lt;0.01,"Tudo certo, ninguém deve nada",IF($G10&gt;0,"Camilly deve pagar para Pedro","Pedro deve pagar para Camilly")))</x:f>
      </x:c>
      <x:c r="J10" s="63" t="str">
        <x:f>IF($A10="","",ABS($G10))</x:f>
      </x:c>
      <x:c r="K10" s="67" t="str">
        <x:f>IF($A10="","",IF(ABS($G10)&lt;0.01,"-",IF($G10&gt;0,"Camilly Queiroz","Pedro Américo Paletot")))</x:f>
      </x:c>
      <x:c r="L10" s="67" t="str">
        <x:f>IF($A10="","",IF(ABS($G10)&lt;0.01,"-",IF($G10&gt;0,"Pedro Américo Paletot","Camilly Queiroz")))</x:f>
      </x:c>
      <x:c r="M10" s="36"/>
      <x:c r="N10" s="59"/>
      <x:c r="O10" s="36"/>
      <x:c r="P10" s="36"/>
    </x:row>
    <x:row r="11">
      <x:c r="A11" s="36"/>
      <x:c r="B11" s="67" t="str">
        <x:f>IF($A11="","",IFERROR(INDEX('Planejamento de Viagens'!$B$6:$B$205,MATCH($A11,'Planejamento de Viagens'!$A$6:$A$205,0)),""))</x:f>
      </x:c>
      <x:c r="C11" s="63" t="str">
        <x:f>IF($A11="","",SUMIFS('Histórico de Gastos'!$W$6:$W$205,'Histórico de Gastos'!$B$6:$B$205,$A11))</x:f>
      </x:c>
      <x:c r="D11" s="63" t="str">
        <x:f>IF($A11="","",SUMIFS('Histórico de Gastos'!$X$6:$X$205,'Histórico de Gastos'!$B$6:$B$205,$A11))</x:f>
      </x:c>
      <x:c r="E11" s="63" t="str">
        <x:f>IF($A11="","",SUMIFS('Histórico de Gastos'!$U$6:$U$205,'Histórico de Gastos'!$B$6:$B$205,$A11))</x:f>
      </x:c>
      <x:c r="F11" s="63" t="str">
        <x:f>IF($A11="","",SUMIFS('Histórico de Gastos'!$V$6:$V$205,'Histórico de Gastos'!$B$6:$B$205,$A11))</x:f>
      </x:c>
      <x:c r="G11" s="63" t="str">
        <x:f>IF($A11="","",$C11-$E11)</x:f>
      </x:c>
      <x:c r="H11" s="63" t="str">
        <x:f>IF($A11="","",$D11-$F11)</x:f>
      </x:c>
      <x:c r="I11" s="67" t="str">
        <x:f>IF($A11="","",IF(ABS($G11)&lt;0.01,"Tudo certo, ninguém deve nada",IF($G11&gt;0,"Camilly deve pagar para Pedro","Pedro deve pagar para Camilly")))</x:f>
      </x:c>
      <x:c r="J11" s="63" t="str">
        <x:f>IF($A11="","",ABS($G11))</x:f>
      </x:c>
      <x:c r="K11" s="67" t="str">
        <x:f>IF($A11="","",IF(ABS($G11)&lt;0.01,"-",IF($G11&gt;0,"Camilly Queiroz","Pedro Américo Paletot")))</x:f>
      </x:c>
      <x:c r="L11" s="67" t="str">
        <x:f>IF($A11="","",IF(ABS($G11)&lt;0.01,"-",IF($G11&gt;0,"Pedro Américo Paletot","Camilly Queiroz")))</x:f>
      </x:c>
      <x:c r="M11" s="36"/>
      <x:c r="N11" s="59"/>
      <x:c r="O11" s="36"/>
      <x:c r="P11" s="36"/>
    </x:row>
    <x:row r="12">
      <x:c r="A12" s="36"/>
      <x:c r="B12" s="67" t="str">
        <x:f>IF($A12="","",IFERROR(INDEX('Planejamento de Viagens'!$B$6:$B$205,MATCH($A12,'Planejamento de Viagens'!$A$6:$A$205,0)),""))</x:f>
      </x:c>
      <x:c r="C12" s="63" t="str">
        <x:f>IF($A12="","",SUMIFS('Histórico de Gastos'!$W$6:$W$205,'Histórico de Gastos'!$B$6:$B$205,$A12))</x:f>
      </x:c>
      <x:c r="D12" s="63" t="str">
        <x:f>IF($A12="","",SUMIFS('Histórico de Gastos'!$X$6:$X$205,'Histórico de Gastos'!$B$6:$B$205,$A12))</x:f>
      </x:c>
      <x:c r="E12" s="63" t="str">
        <x:f>IF($A12="","",SUMIFS('Histórico de Gastos'!$U$6:$U$205,'Histórico de Gastos'!$B$6:$B$205,$A12))</x:f>
      </x:c>
      <x:c r="F12" s="63" t="str">
        <x:f>IF($A12="","",SUMIFS('Histórico de Gastos'!$V$6:$V$205,'Histórico de Gastos'!$B$6:$B$205,$A12))</x:f>
      </x:c>
      <x:c r="G12" s="63" t="str">
        <x:f>IF($A12="","",$C12-$E12)</x:f>
      </x:c>
      <x:c r="H12" s="63" t="str">
        <x:f>IF($A12="","",$D12-$F12)</x:f>
      </x:c>
      <x:c r="I12" s="67" t="str">
        <x:f>IF($A12="","",IF(ABS($G12)&lt;0.01,"Tudo certo, ninguém deve nada",IF($G12&gt;0,"Camilly deve pagar para Pedro","Pedro deve pagar para Camilly")))</x:f>
      </x:c>
      <x:c r="J12" s="63" t="str">
        <x:f>IF($A12="","",ABS($G12))</x:f>
      </x:c>
      <x:c r="K12" s="67" t="str">
        <x:f>IF($A12="","",IF(ABS($G12)&lt;0.01,"-",IF($G12&gt;0,"Camilly Queiroz","Pedro Américo Paletot")))</x:f>
      </x:c>
      <x:c r="L12" s="67" t="str">
        <x:f>IF($A12="","",IF(ABS($G12)&lt;0.01,"-",IF($G12&gt;0,"Pedro Américo Paletot","Camilly Queiroz")))</x:f>
      </x:c>
      <x:c r="M12" s="36"/>
      <x:c r="N12" s="59"/>
      <x:c r="O12" s="36"/>
      <x:c r="P12" s="36"/>
    </x:row>
    <x:row r="13">
      <x:c r="A13" s="36"/>
      <x:c r="B13" s="67" t="str">
        <x:f>IF($A13="","",IFERROR(INDEX('Planejamento de Viagens'!$B$6:$B$205,MATCH($A13,'Planejamento de Viagens'!$A$6:$A$205,0)),""))</x:f>
      </x:c>
      <x:c r="C13" s="63" t="str">
        <x:f>IF($A13="","",SUMIFS('Histórico de Gastos'!$W$6:$W$205,'Histórico de Gastos'!$B$6:$B$205,$A13))</x:f>
      </x:c>
      <x:c r="D13" s="63" t="str">
        <x:f>IF($A13="","",SUMIFS('Histórico de Gastos'!$X$6:$X$205,'Histórico de Gastos'!$B$6:$B$205,$A13))</x:f>
      </x:c>
      <x:c r="E13" s="63" t="str">
        <x:f>IF($A13="","",SUMIFS('Histórico de Gastos'!$U$6:$U$205,'Histórico de Gastos'!$B$6:$B$205,$A13))</x:f>
      </x:c>
      <x:c r="F13" s="63" t="str">
        <x:f>IF($A13="","",SUMIFS('Histórico de Gastos'!$V$6:$V$205,'Histórico de Gastos'!$B$6:$B$205,$A13))</x:f>
      </x:c>
      <x:c r="G13" s="63" t="str">
        <x:f>IF($A13="","",$C13-$E13)</x:f>
      </x:c>
      <x:c r="H13" s="63" t="str">
        <x:f>IF($A13="","",$D13-$F13)</x:f>
      </x:c>
      <x:c r="I13" s="67" t="str">
        <x:f>IF($A13="","",IF(ABS($G13)&lt;0.01,"Tudo certo, ninguém deve nada",IF($G13&gt;0,"Camilly deve pagar para Pedro","Pedro deve pagar para Camilly")))</x:f>
      </x:c>
      <x:c r="J13" s="63" t="str">
        <x:f>IF($A13="","",ABS($G13))</x:f>
      </x:c>
      <x:c r="K13" s="67" t="str">
        <x:f>IF($A13="","",IF(ABS($G13)&lt;0.01,"-",IF($G13&gt;0,"Camilly Queiroz","Pedro Américo Paletot")))</x:f>
      </x:c>
      <x:c r="L13" s="67" t="str">
        <x:f>IF($A13="","",IF(ABS($G13)&lt;0.01,"-",IF($G13&gt;0,"Pedro Américo Paletot","Camilly Queiroz")))</x:f>
      </x:c>
      <x:c r="M13" s="36"/>
      <x:c r="N13" s="59"/>
      <x:c r="O13" s="36"/>
      <x:c r="P13" s="36"/>
    </x:row>
    <x:row r="14">
      <x:c r="A14" s="36"/>
      <x:c r="B14" s="67" t="str">
        <x:f>IF($A14="","",IFERROR(INDEX('Planejamento de Viagens'!$B$6:$B$205,MATCH($A14,'Planejamento de Viagens'!$A$6:$A$205,0)),""))</x:f>
      </x:c>
      <x:c r="C14" s="63" t="str">
        <x:f>IF($A14="","",SUMIFS('Histórico de Gastos'!$W$6:$W$205,'Histórico de Gastos'!$B$6:$B$205,$A14))</x:f>
      </x:c>
      <x:c r="D14" s="63" t="str">
        <x:f>IF($A14="","",SUMIFS('Histórico de Gastos'!$X$6:$X$205,'Histórico de Gastos'!$B$6:$B$205,$A14))</x:f>
      </x:c>
      <x:c r="E14" s="63" t="str">
        <x:f>IF($A14="","",SUMIFS('Histórico de Gastos'!$U$6:$U$205,'Histórico de Gastos'!$B$6:$B$205,$A14))</x:f>
      </x:c>
      <x:c r="F14" s="63" t="str">
        <x:f>IF($A14="","",SUMIFS('Histórico de Gastos'!$V$6:$V$205,'Histórico de Gastos'!$B$6:$B$205,$A14))</x:f>
      </x:c>
      <x:c r="G14" s="63" t="str">
        <x:f>IF($A14="","",$C14-$E14)</x:f>
      </x:c>
      <x:c r="H14" s="63" t="str">
        <x:f>IF($A14="","",$D14-$F14)</x:f>
      </x:c>
      <x:c r="I14" s="67" t="str">
        <x:f>IF($A14="","",IF(ABS($G14)&lt;0.01,"Tudo certo, ninguém deve nada",IF($G14&gt;0,"Camilly deve pagar para Pedro","Pedro deve pagar para Camilly")))</x:f>
      </x:c>
      <x:c r="J14" s="63" t="str">
        <x:f>IF($A14="","",ABS($G14))</x:f>
      </x:c>
      <x:c r="K14" s="67" t="str">
        <x:f>IF($A14="","",IF(ABS($G14)&lt;0.01,"-",IF($G14&gt;0,"Camilly Queiroz","Pedro Américo Paletot")))</x:f>
      </x:c>
      <x:c r="L14" s="67" t="str">
        <x:f>IF($A14="","",IF(ABS($G14)&lt;0.01,"-",IF($G14&gt;0,"Pedro Américo Paletot","Camilly Queiroz")))</x:f>
      </x:c>
      <x:c r="M14" s="36"/>
      <x:c r="N14" s="59"/>
      <x:c r="O14" s="36"/>
      <x:c r="P14" s="36"/>
    </x:row>
    <x:row r="15">
      <x:c r="A15" s="36"/>
      <x:c r="B15" s="67" t="str">
        <x:f>IF($A15="","",IFERROR(INDEX('Planejamento de Viagens'!$B$6:$B$205,MATCH($A15,'Planejamento de Viagens'!$A$6:$A$205,0)),""))</x:f>
      </x:c>
      <x:c r="C15" s="63" t="str">
        <x:f>IF($A15="","",SUMIFS('Histórico de Gastos'!$W$6:$W$205,'Histórico de Gastos'!$B$6:$B$205,$A15))</x:f>
      </x:c>
      <x:c r="D15" s="63" t="str">
        <x:f>IF($A15="","",SUMIFS('Histórico de Gastos'!$X$6:$X$205,'Histórico de Gastos'!$B$6:$B$205,$A15))</x:f>
      </x:c>
      <x:c r="E15" s="63" t="str">
        <x:f>IF($A15="","",SUMIFS('Histórico de Gastos'!$U$6:$U$205,'Histórico de Gastos'!$B$6:$B$205,$A15))</x:f>
      </x:c>
      <x:c r="F15" s="63" t="str">
        <x:f>IF($A15="","",SUMIFS('Histórico de Gastos'!$V$6:$V$205,'Histórico de Gastos'!$B$6:$B$205,$A15))</x:f>
      </x:c>
      <x:c r="G15" s="63" t="str">
        <x:f>IF($A15="","",$C15-$E15)</x:f>
      </x:c>
      <x:c r="H15" s="63" t="str">
        <x:f>IF($A15="","",$D15-$F15)</x:f>
      </x:c>
      <x:c r="I15" s="67" t="str">
        <x:f>IF($A15="","",IF(ABS($G15)&lt;0.01,"Tudo certo, ninguém deve nada",IF($G15&gt;0,"Camilly deve pagar para Pedro","Pedro deve pagar para Camilly")))</x:f>
      </x:c>
      <x:c r="J15" s="63" t="str">
        <x:f>IF($A15="","",ABS($G15))</x:f>
      </x:c>
      <x:c r="K15" s="67" t="str">
        <x:f>IF($A15="","",IF(ABS($G15)&lt;0.01,"-",IF($G15&gt;0,"Camilly Queiroz","Pedro Américo Paletot")))</x:f>
      </x:c>
      <x:c r="L15" s="67" t="str">
        <x:f>IF($A15="","",IF(ABS($G15)&lt;0.01,"-",IF($G15&gt;0,"Pedro Américo Paletot","Camilly Queiroz")))</x:f>
      </x:c>
      <x:c r="M15" s="36"/>
      <x:c r="N15" s="59"/>
      <x:c r="O15" s="36"/>
      <x:c r="P15" s="36"/>
    </x:row>
    <x:row r="16">
      <x:c r="A16" s="36"/>
      <x:c r="B16" s="67" t="str">
        <x:f>IF($A16="","",IFERROR(INDEX('Planejamento de Viagens'!$B$6:$B$205,MATCH($A16,'Planejamento de Viagens'!$A$6:$A$205,0)),""))</x:f>
      </x:c>
      <x:c r="C16" s="63" t="str">
        <x:f>IF($A16="","",SUMIFS('Histórico de Gastos'!$W$6:$W$205,'Histórico de Gastos'!$B$6:$B$205,$A16))</x:f>
      </x:c>
      <x:c r="D16" s="63" t="str">
        <x:f>IF($A16="","",SUMIFS('Histórico de Gastos'!$X$6:$X$205,'Histórico de Gastos'!$B$6:$B$205,$A16))</x:f>
      </x:c>
      <x:c r="E16" s="63" t="str">
        <x:f>IF($A16="","",SUMIFS('Histórico de Gastos'!$U$6:$U$205,'Histórico de Gastos'!$B$6:$B$205,$A16))</x:f>
      </x:c>
      <x:c r="F16" s="63" t="str">
        <x:f>IF($A16="","",SUMIFS('Histórico de Gastos'!$V$6:$V$205,'Histórico de Gastos'!$B$6:$B$205,$A16))</x:f>
      </x:c>
      <x:c r="G16" s="63" t="str">
        <x:f>IF($A16="","",$C16-$E16)</x:f>
      </x:c>
      <x:c r="H16" s="63" t="str">
        <x:f>IF($A16="","",$D16-$F16)</x:f>
      </x:c>
      <x:c r="I16" s="67" t="str">
        <x:f>IF($A16="","",IF(ABS($G16)&lt;0.01,"Tudo certo, ninguém deve nada",IF($G16&gt;0,"Camilly deve pagar para Pedro","Pedro deve pagar para Camilly")))</x:f>
      </x:c>
      <x:c r="J16" s="63" t="str">
        <x:f>IF($A16="","",ABS($G16))</x:f>
      </x:c>
      <x:c r="K16" s="67" t="str">
        <x:f>IF($A16="","",IF(ABS($G16)&lt;0.01,"-",IF($G16&gt;0,"Camilly Queiroz","Pedro Américo Paletot")))</x:f>
      </x:c>
      <x:c r="L16" s="67" t="str">
        <x:f>IF($A16="","",IF(ABS($G16)&lt;0.01,"-",IF($G16&gt;0,"Pedro Américo Paletot","Camilly Queiroz")))</x:f>
      </x:c>
      <x:c r="M16" s="36"/>
      <x:c r="N16" s="59"/>
      <x:c r="O16" s="36"/>
      <x:c r="P16" s="36"/>
    </x:row>
    <x:row r="17">
      <x:c r="A17" s="36"/>
      <x:c r="B17" s="67" t="str">
        <x:f>IF($A17="","",IFERROR(INDEX('Planejamento de Viagens'!$B$6:$B$205,MATCH($A17,'Planejamento de Viagens'!$A$6:$A$205,0)),""))</x:f>
      </x:c>
      <x:c r="C17" s="63" t="str">
        <x:f>IF($A17="","",SUMIFS('Histórico de Gastos'!$W$6:$W$205,'Histórico de Gastos'!$B$6:$B$205,$A17))</x:f>
      </x:c>
      <x:c r="D17" s="63" t="str">
        <x:f>IF($A17="","",SUMIFS('Histórico de Gastos'!$X$6:$X$205,'Histórico de Gastos'!$B$6:$B$205,$A17))</x:f>
      </x:c>
      <x:c r="E17" s="63" t="str">
        <x:f>IF($A17="","",SUMIFS('Histórico de Gastos'!$U$6:$U$205,'Histórico de Gastos'!$B$6:$B$205,$A17))</x:f>
      </x:c>
      <x:c r="F17" s="63" t="str">
        <x:f>IF($A17="","",SUMIFS('Histórico de Gastos'!$V$6:$V$205,'Histórico de Gastos'!$B$6:$B$205,$A17))</x:f>
      </x:c>
      <x:c r="G17" s="63" t="str">
        <x:f>IF($A17="","",$C17-$E17)</x:f>
      </x:c>
      <x:c r="H17" s="63" t="str">
        <x:f>IF($A17="","",$D17-$F17)</x:f>
      </x:c>
      <x:c r="I17" s="67" t="str">
        <x:f>IF($A17="","",IF(ABS($G17)&lt;0.01,"Tudo certo, ninguém deve nada",IF($G17&gt;0,"Camilly deve pagar para Pedro","Pedro deve pagar para Camilly")))</x:f>
      </x:c>
      <x:c r="J17" s="63" t="str">
        <x:f>IF($A17="","",ABS($G17))</x:f>
      </x:c>
      <x:c r="K17" s="67" t="str">
        <x:f>IF($A17="","",IF(ABS($G17)&lt;0.01,"-",IF($G17&gt;0,"Camilly Queiroz","Pedro Américo Paletot")))</x:f>
      </x:c>
      <x:c r="L17" s="67" t="str">
        <x:f>IF($A17="","",IF(ABS($G17)&lt;0.01,"-",IF($G17&gt;0,"Pedro Américo Paletot","Camilly Queiroz")))</x:f>
      </x:c>
      <x:c r="M17" s="36"/>
      <x:c r="N17" s="59"/>
      <x:c r="O17" s="36"/>
      <x:c r="P17" s="36"/>
    </x:row>
    <x:row r="18">
      <x:c r="A18" s="36"/>
      <x:c r="B18" s="67" t="str">
        <x:f>IF($A18="","",IFERROR(INDEX('Planejamento de Viagens'!$B$6:$B$205,MATCH($A18,'Planejamento de Viagens'!$A$6:$A$205,0)),""))</x:f>
      </x:c>
      <x:c r="C18" s="63" t="str">
        <x:f>IF($A18="","",SUMIFS('Histórico de Gastos'!$W$6:$W$205,'Histórico de Gastos'!$B$6:$B$205,$A18))</x:f>
      </x:c>
      <x:c r="D18" s="63" t="str">
        <x:f>IF($A18="","",SUMIFS('Histórico de Gastos'!$X$6:$X$205,'Histórico de Gastos'!$B$6:$B$205,$A18))</x:f>
      </x:c>
      <x:c r="E18" s="63" t="str">
        <x:f>IF($A18="","",SUMIFS('Histórico de Gastos'!$U$6:$U$205,'Histórico de Gastos'!$B$6:$B$205,$A18))</x:f>
      </x:c>
      <x:c r="F18" s="63" t="str">
        <x:f>IF($A18="","",SUMIFS('Histórico de Gastos'!$V$6:$V$205,'Histórico de Gastos'!$B$6:$B$205,$A18))</x:f>
      </x:c>
      <x:c r="G18" s="63" t="str">
        <x:f>IF($A18="","",$C18-$E18)</x:f>
      </x:c>
      <x:c r="H18" s="63" t="str">
        <x:f>IF($A18="","",$D18-$F18)</x:f>
      </x:c>
      <x:c r="I18" s="67" t="str">
        <x:f>IF($A18="","",IF(ABS($G18)&lt;0.01,"Tudo certo, ninguém deve nada",IF($G18&gt;0,"Camilly deve pagar para Pedro","Pedro deve pagar para Camilly")))</x:f>
      </x:c>
      <x:c r="J18" s="63" t="str">
        <x:f>IF($A18="","",ABS($G18))</x:f>
      </x:c>
      <x:c r="K18" s="67" t="str">
        <x:f>IF($A18="","",IF(ABS($G18)&lt;0.01,"-",IF($G18&gt;0,"Camilly Queiroz","Pedro Américo Paletot")))</x:f>
      </x:c>
      <x:c r="L18" s="67" t="str">
        <x:f>IF($A18="","",IF(ABS($G18)&lt;0.01,"-",IF($G18&gt;0,"Pedro Américo Paletot","Camilly Queiroz")))</x:f>
      </x:c>
      <x:c r="M18" s="36"/>
      <x:c r="N18" s="59"/>
      <x:c r="O18" s="36"/>
      <x:c r="P18" s="36"/>
    </x:row>
    <x:row r="19">
      <x:c r="A19" s="36"/>
      <x:c r="B19" s="67" t="str">
        <x:f>IF($A19="","",IFERROR(INDEX('Planejamento de Viagens'!$B$6:$B$205,MATCH($A19,'Planejamento de Viagens'!$A$6:$A$205,0)),""))</x:f>
      </x:c>
      <x:c r="C19" s="63" t="str">
        <x:f>IF($A19="","",SUMIFS('Histórico de Gastos'!$W$6:$W$205,'Histórico de Gastos'!$B$6:$B$205,$A19))</x:f>
      </x:c>
      <x:c r="D19" s="63" t="str">
        <x:f>IF($A19="","",SUMIFS('Histórico de Gastos'!$X$6:$X$205,'Histórico de Gastos'!$B$6:$B$205,$A19))</x:f>
      </x:c>
      <x:c r="E19" s="63" t="str">
        <x:f>IF($A19="","",SUMIFS('Histórico de Gastos'!$U$6:$U$205,'Histórico de Gastos'!$B$6:$B$205,$A19))</x:f>
      </x:c>
      <x:c r="F19" s="63" t="str">
        <x:f>IF($A19="","",SUMIFS('Histórico de Gastos'!$V$6:$V$205,'Histórico de Gastos'!$B$6:$B$205,$A19))</x:f>
      </x:c>
      <x:c r="G19" s="63" t="str">
        <x:f>IF($A19="","",$C19-$E19)</x:f>
      </x:c>
      <x:c r="H19" s="63" t="str">
        <x:f>IF($A19="","",$D19-$F19)</x:f>
      </x:c>
      <x:c r="I19" s="67" t="str">
        <x:f>IF($A19="","",IF(ABS($G19)&lt;0.01,"Tudo certo, ninguém deve nada",IF($G19&gt;0,"Camilly deve pagar para Pedro","Pedro deve pagar para Camilly")))</x:f>
      </x:c>
      <x:c r="J19" s="63" t="str">
        <x:f>IF($A19="","",ABS($G19))</x:f>
      </x:c>
      <x:c r="K19" s="67" t="str">
        <x:f>IF($A19="","",IF(ABS($G19)&lt;0.01,"-",IF($G19&gt;0,"Camilly Queiroz","Pedro Américo Paletot")))</x:f>
      </x:c>
      <x:c r="L19" s="67" t="str">
        <x:f>IF($A19="","",IF(ABS($G19)&lt;0.01,"-",IF($G19&gt;0,"Pedro Américo Paletot","Camilly Queiroz")))</x:f>
      </x:c>
      <x:c r="M19" s="36"/>
      <x:c r="N19" s="59"/>
      <x:c r="O19" s="36"/>
      <x:c r="P19" s="36"/>
    </x:row>
    <x:row r="20">
      <x:c r="A20" s="36"/>
      <x:c r="B20" s="67" t="str">
        <x:f>IF($A20="","",IFERROR(INDEX('Planejamento de Viagens'!$B$6:$B$205,MATCH($A20,'Planejamento de Viagens'!$A$6:$A$205,0)),""))</x:f>
      </x:c>
      <x:c r="C20" s="63" t="str">
        <x:f>IF($A20="","",SUMIFS('Histórico de Gastos'!$W$6:$W$205,'Histórico de Gastos'!$B$6:$B$205,$A20))</x:f>
      </x:c>
      <x:c r="D20" s="63" t="str">
        <x:f>IF($A20="","",SUMIFS('Histórico de Gastos'!$X$6:$X$205,'Histórico de Gastos'!$B$6:$B$205,$A20))</x:f>
      </x:c>
      <x:c r="E20" s="63" t="str">
        <x:f>IF($A20="","",SUMIFS('Histórico de Gastos'!$U$6:$U$205,'Histórico de Gastos'!$B$6:$B$205,$A20))</x:f>
      </x:c>
      <x:c r="F20" s="63" t="str">
        <x:f>IF($A20="","",SUMIFS('Histórico de Gastos'!$V$6:$V$205,'Histórico de Gastos'!$B$6:$B$205,$A20))</x:f>
      </x:c>
      <x:c r="G20" s="63" t="str">
        <x:f>IF($A20="","",$C20-$E20)</x:f>
      </x:c>
      <x:c r="H20" s="63" t="str">
        <x:f>IF($A20="","",$D20-$F20)</x:f>
      </x:c>
      <x:c r="I20" s="67" t="str">
        <x:f>IF($A20="","",IF(ABS($G20)&lt;0.01,"Tudo certo, ninguém deve nada",IF($G20&gt;0,"Camilly deve pagar para Pedro","Pedro deve pagar para Camilly")))</x:f>
      </x:c>
      <x:c r="J20" s="63" t="str">
        <x:f>IF($A20="","",ABS($G20))</x:f>
      </x:c>
      <x:c r="K20" s="67" t="str">
        <x:f>IF($A20="","",IF(ABS($G20)&lt;0.01,"-",IF($G20&gt;0,"Camilly Queiroz","Pedro Américo Paletot")))</x:f>
      </x:c>
      <x:c r="L20" s="67" t="str">
        <x:f>IF($A20="","",IF(ABS($G20)&lt;0.01,"-",IF($G20&gt;0,"Pedro Américo Paletot","Camilly Queiroz")))</x:f>
      </x:c>
      <x:c r="M20" s="36"/>
      <x:c r="N20" s="59"/>
      <x:c r="O20" s="36"/>
      <x:c r="P20" s="36"/>
    </x:row>
    <x:row r="21">
      <x:c r="A21" s="36"/>
      <x:c r="B21" s="67" t="str">
        <x:f>IF($A21="","",IFERROR(INDEX('Planejamento de Viagens'!$B$6:$B$205,MATCH($A21,'Planejamento de Viagens'!$A$6:$A$205,0)),""))</x:f>
      </x:c>
      <x:c r="C21" s="63" t="str">
        <x:f>IF($A21="","",SUMIFS('Histórico de Gastos'!$W$6:$W$205,'Histórico de Gastos'!$B$6:$B$205,$A21))</x:f>
      </x:c>
      <x:c r="D21" s="63" t="str">
        <x:f>IF($A21="","",SUMIFS('Histórico de Gastos'!$X$6:$X$205,'Histórico de Gastos'!$B$6:$B$205,$A21))</x:f>
      </x:c>
      <x:c r="E21" s="63" t="str">
        <x:f>IF($A21="","",SUMIFS('Histórico de Gastos'!$U$6:$U$205,'Histórico de Gastos'!$B$6:$B$205,$A21))</x:f>
      </x:c>
      <x:c r="F21" s="63" t="str">
        <x:f>IF($A21="","",SUMIFS('Histórico de Gastos'!$V$6:$V$205,'Histórico de Gastos'!$B$6:$B$205,$A21))</x:f>
      </x:c>
      <x:c r="G21" s="63" t="str">
        <x:f>IF($A21="","",$C21-$E21)</x:f>
      </x:c>
      <x:c r="H21" s="63" t="str">
        <x:f>IF($A21="","",$D21-$F21)</x:f>
      </x:c>
      <x:c r="I21" s="67" t="str">
        <x:f>IF($A21="","",IF(ABS($G21)&lt;0.01,"Tudo certo, ninguém deve nada",IF($G21&gt;0,"Camilly deve pagar para Pedro","Pedro deve pagar para Camilly")))</x:f>
      </x:c>
      <x:c r="J21" s="63" t="str">
        <x:f>IF($A21="","",ABS($G21))</x:f>
      </x:c>
      <x:c r="K21" s="67" t="str">
        <x:f>IF($A21="","",IF(ABS($G21)&lt;0.01,"-",IF($G21&gt;0,"Camilly Queiroz","Pedro Américo Paletot")))</x:f>
      </x:c>
      <x:c r="L21" s="67" t="str">
        <x:f>IF($A21="","",IF(ABS($G21)&lt;0.01,"-",IF($G21&gt;0,"Pedro Américo Paletot","Camilly Queiroz")))</x:f>
      </x:c>
      <x:c r="M21" s="36"/>
      <x:c r="N21" s="59"/>
      <x:c r="O21" s="36"/>
      <x:c r="P21" s="36"/>
    </x:row>
    <x:row r="22">
      <x:c r="A22" s="36"/>
      <x:c r="B22" s="67" t="str">
        <x:f>IF($A22="","",IFERROR(INDEX('Planejamento de Viagens'!$B$6:$B$205,MATCH($A22,'Planejamento de Viagens'!$A$6:$A$205,0)),""))</x:f>
      </x:c>
      <x:c r="C22" s="63" t="str">
        <x:f>IF($A22="","",SUMIFS('Histórico de Gastos'!$W$6:$W$205,'Histórico de Gastos'!$B$6:$B$205,$A22))</x:f>
      </x:c>
      <x:c r="D22" s="63" t="str">
        <x:f>IF($A22="","",SUMIFS('Histórico de Gastos'!$X$6:$X$205,'Histórico de Gastos'!$B$6:$B$205,$A22))</x:f>
      </x:c>
      <x:c r="E22" s="63" t="str">
        <x:f>IF($A22="","",SUMIFS('Histórico de Gastos'!$U$6:$U$205,'Histórico de Gastos'!$B$6:$B$205,$A22))</x:f>
      </x:c>
      <x:c r="F22" s="63" t="str">
        <x:f>IF($A22="","",SUMIFS('Histórico de Gastos'!$V$6:$V$205,'Histórico de Gastos'!$B$6:$B$205,$A22))</x:f>
      </x:c>
      <x:c r="G22" s="63" t="str">
        <x:f>IF($A22="","",$C22-$E22)</x:f>
      </x:c>
      <x:c r="H22" s="63" t="str">
        <x:f>IF($A22="","",$D22-$F22)</x:f>
      </x:c>
      <x:c r="I22" s="67" t="str">
        <x:f>IF($A22="","",IF(ABS($G22)&lt;0.01,"Tudo certo, ninguém deve nada",IF($G22&gt;0,"Camilly deve pagar para Pedro","Pedro deve pagar para Camilly")))</x:f>
      </x:c>
      <x:c r="J22" s="63" t="str">
        <x:f>IF($A22="","",ABS($G22))</x:f>
      </x:c>
      <x:c r="K22" s="67" t="str">
        <x:f>IF($A22="","",IF(ABS($G22)&lt;0.01,"-",IF($G22&gt;0,"Camilly Queiroz","Pedro Américo Paletot")))</x:f>
      </x:c>
      <x:c r="L22" s="67" t="str">
        <x:f>IF($A22="","",IF(ABS($G22)&lt;0.01,"-",IF($G22&gt;0,"Pedro Américo Paletot","Camilly Queiroz")))</x:f>
      </x:c>
      <x:c r="M22" s="36"/>
      <x:c r="N22" s="59"/>
      <x:c r="O22" s="36"/>
      <x:c r="P22" s="36"/>
    </x:row>
    <x:row r="23">
      <x:c r="A23" s="36"/>
      <x:c r="B23" s="67" t="str">
        <x:f>IF($A23="","",IFERROR(INDEX('Planejamento de Viagens'!$B$6:$B$205,MATCH($A23,'Planejamento de Viagens'!$A$6:$A$205,0)),""))</x:f>
      </x:c>
      <x:c r="C23" s="63" t="str">
        <x:f>IF($A23="","",SUMIFS('Histórico de Gastos'!$W$6:$W$205,'Histórico de Gastos'!$B$6:$B$205,$A23))</x:f>
      </x:c>
      <x:c r="D23" s="63" t="str">
        <x:f>IF($A23="","",SUMIFS('Histórico de Gastos'!$X$6:$X$205,'Histórico de Gastos'!$B$6:$B$205,$A23))</x:f>
      </x:c>
      <x:c r="E23" s="63" t="str">
        <x:f>IF($A23="","",SUMIFS('Histórico de Gastos'!$U$6:$U$205,'Histórico de Gastos'!$B$6:$B$205,$A23))</x:f>
      </x:c>
      <x:c r="F23" s="63" t="str">
        <x:f>IF($A23="","",SUMIFS('Histórico de Gastos'!$V$6:$V$205,'Histórico de Gastos'!$B$6:$B$205,$A23))</x:f>
      </x:c>
      <x:c r="G23" s="63" t="str">
        <x:f>IF($A23="","",$C23-$E23)</x:f>
      </x:c>
      <x:c r="H23" s="63" t="str">
        <x:f>IF($A23="","",$D23-$F23)</x:f>
      </x:c>
      <x:c r="I23" s="67" t="str">
        <x:f>IF($A23="","",IF(ABS($G23)&lt;0.01,"Tudo certo, ninguém deve nada",IF($G23&gt;0,"Camilly deve pagar para Pedro","Pedro deve pagar para Camilly")))</x:f>
      </x:c>
      <x:c r="J23" s="63" t="str">
        <x:f>IF($A23="","",ABS($G23))</x:f>
      </x:c>
      <x:c r="K23" s="67" t="str">
        <x:f>IF($A23="","",IF(ABS($G23)&lt;0.01,"-",IF($G23&gt;0,"Camilly Queiroz","Pedro Américo Paletot")))</x:f>
      </x:c>
      <x:c r="L23" s="67" t="str">
        <x:f>IF($A23="","",IF(ABS($G23)&lt;0.01,"-",IF($G23&gt;0,"Pedro Américo Paletot","Camilly Queiroz")))</x:f>
      </x:c>
      <x:c r="M23" s="36"/>
      <x:c r="N23" s="59"/>
      <x:c r="O23" s="36"/>
      <x:c r="P23" s="36"/>
    </x:row>
    <x:row r="24">
      <x:c r="A24" s="36"/>
      <x:c r="B24" s="67" t="str">
        <x:f>IF($A24="","",IFERROR(INDEX('Planejamento de Viagens'!$B$6:$B$205,MATCH($A24,'Planejamento de Viagens'!$A$6:$A$205,0)),""))</x:f>
      </x:c>
      <x:c r="C24" s="63" t="str">
        <x:f>IF($A24="","",SUMIFS('Histórico de Gastos'!$W$6:$W$205,'Histórico de Gastos'!$B$6:$B$205,$A24))</x:f>
      </x:c>
      <x:c r="D24" s="63" t="str">
        <x:f>IF($A24="","",SUMIFS('Histórico de Gastos'!$X$6:$X$205,'Histórico de Gastos'!$B$6:$B$205,$A24))</x:f>
      </x:c>
      <x:c r="E24" s="63" t="str">
        <x:f>IF($A24="","",SUMIFS('Histórico de Gastos'!$U$6:$U$205,'Histórico de Gastos'!$B$6:$B$205,$A24))</x:f>
      </x:c>
      <x:c r="F24" s="63" t="str">
        <x:f>IF($A24="","",SUMIFS('Histórico de Gastos'!$V$6:$V$205,'Histórico de Gastos'!$B$6:$B$205,$A24))</x:f>
      </x:c>
      <x:c r="G24" s="63" t="str">
        <x:f>IF($A24="","",$C24-$E24)</x:f>
      </x:c>
      <x:c r="H24" s="63" t="str">
        <x:f>IF($A24="","",$D24-$F24)</x:f>
      </x:c>
      <x:c r="I24" s="67" t="str">
        <x:f>IF($A24="","",IF(ABS($G24)&lt;0.01,"Tudo certo, ninguém deve nada",IF($G24&gt;0,"Camilly deve pagar para Pedro","Pedro deve pagar para Camilly")))</x:f>
      </x:c>
      <x:c r="J24" s="63" t="str">
        <x:f>IF($A24="","",ABS($G24))</x:f>
      </x:c>
      <x:c r="K24" s="67" t="str">
        <x:f>IF($A24="","",IF(ABS($G24)&lt;0.01,"-",IF($G24&gt;0,"Camilly Queiroz","Pedro Américo Paletot")))</x:f>
      </x:c>
      <x:c r="L24" s="67" t="str">
        <x:f>IF($A24="","",IF(ABS($G24)&lt;0.01,"-",IF($G24&gt;0,"Pedro Américo Paletot","Camilly Queiroz")))</x:f>
      </x:c>
      <x:c r="M24" s="36"/>
      <x:c r="N24" s="59"/>
      <x:c r="O24" s="36"/>
      <x:c r="P24" s="36"/>
    </x:row>
    <x:row r="25">
      <x:c r="A25" s="36"/>
      <x:c r="B25" s="67" t="str">
        <x:f>IF($A25="","",IFERROR(INDEX('Planejamento de Viagens'!$B$6:$B$205,MATCH($A25,'Planejamento de Viagens'!$A$6:$A$205,0)),""))</x:f>
      </x:c>
      <x:c r="C25" s="63" t="str">
        <x:f>IF($A25="","",SUMIFS('Histórico de Gastos'!$W$6:$W$205,'Histórico de Gastos'!$B$6:$B$205,$A25))</x:f>
      </x:c>
      <x:c r="D25" s="63" t="str">
        <x:f>IF($A25="","",SUMIFS('Histórico de Gastos'!$X$6:$X$205,'Histórico de Gastos'!$B$6:$B$205,$A25))</x:f>
      </x:c>
      <x:c r="E25" s="63" t="str">
        <x:f>IF($A25="","",SUMIFS('Histórico de Gastos'!$U$6:$U$205,'Histórico de Gastos'!$B$6:$B$205,$A25))</x:f>
      </x:c>
      <x:c r="F25" s="63" t="str">
        <x:f>IF($A25="","",SUMIFS('Histórico de Gastos'!$V$6:$V$205,'Histórico de Gastos'!$B$6:$B$205,$A25))</x:f>
      </x:c>
      <x:c r="G25" s="63" t="str">
        <x:f>IF($A25="","",$C25-$E25)</x:f>
      </x:c>
      <x:c r="H25" s="63" t="str">
        <x:f>IF($A25="","",$D25-$F25)</x:f>
      </x:c>
      <x:c r="I25" s="67" t="str">
        <x:f>IF($A25="","",IF(ABS($G25)&lt;0.01,"Tudo certo, ninguém deve nada",IF($G25&gt;0,"Camilly deve pagar para Pedro","Pedro deve pagar para Camilly")))</x:f>
      </x:c>
      <x:c r="J25" s="63" t="str">
        <x:f>IF($A25="","",ABS($G25))</x:f>
      </x:c>
      <x:c r="K25" s="67" t="str">
        <x:f>IF($A25="","",IF(ABS($G25)&lt;0.01,"-",IF($G25&gt;0,"Camilly Queiroz","Pedro Américo Paletot")))</x:f>
      </x:c>
      <x:c r="L25" s="67" t="str">
        <x:f>IF($A25="","",IF(ABS($G25)&lt;0.01,"-",IF($G25&gt;0,"Pedro Américo Paletot","Camilly Queiroz")))</x:f>
      </x:c>
      <x:c r="M25" s="36"/>
      <x:c r="N25" s="59"/>
      <x:c r="O25" s="36"/>
      <x:c r="P25" s="36"/>
    </x:row>
    <x:row r="26">
      <x:c r="A26" s="36"/>
      <x:c r="B26" s="67" t="str">
        <x:f>IF($A26="","",IFERROR(INDEX('Planejamento de Viagens'!$B$6:$B$205,MATCH($A26,'Planejamento de Viagens'!$A$6:$A$205,0)),""))</x:f>
      </x:c>
      <x:c r="C26" s="63" t="str">
        <x:f>IF($A26="","",SUMIFS('Histórico de Gastos'!$W$6:$W$205,'Histórico de Gastos'!$B$6:$B$205,$A26))</x:f>
      </x:c>
      <x:c r="D26" s="63" t="str">
        <x:f>IF($A26="","",SUMIFS('Histórico de Gastos'!$X$6:$X$205,'Histórico de Gastos'!$B$6:$B$205,$A26))</x:f>
      </x:c>
      <x:c r="E26" s="63" t="str">
        <x:f>IF($A26="","",SUMIFS('Histórico de Gastos'!$U$6:$U$205,'Histórico de Gastos'!$B$6:$B$205,$A26))</x:f>
      </x:c>
      <x:c r="F26" s="63" t="str">
        <x:f>IF($A26="","",SUMIFS('Histórico de Gastos'!$V$6:$V$205,'Histórico de Gastos'!$B$6:$B$205,$A26))</x:f>
      </x:c>
      <x:c r="G26" s="63" t="str">
        <x:f>IF($A26="","",$C26-$E26)</x:f>
      </x:c>
      <x:c r="H26" s="63" t="str">
        <x:f>IF($A26="","",$D26-$F26)</x:f>
      </x:c>
      <x:c r="I26" s="67" t="str">
        <x:f>IF($A26="","",IF(ABS($G26)&lt;0.01,"Tudo certo, ninguém deve nada",IF($G26&gt;0,"Camilly deve pagar para Pedro","Pedro deve pagar para Camilly")))</x:f>
      </x:c>
      <x:c r="J26" s="63" t="str">
        <x:f>IF($A26="","",ABS($G26))</x:f>
      </x:c>
      <x:c r="K26" s="67" t="str">
        <x:f>IF($A26="","",IF(ABS($G26)&lt;0.01,"-",IF($G26&gt;0,"Camilly Queiroz","Pedro Américo Paletot")))</x:f>
      </x:c>
      <x:c r="L26" s="67" t="str">
        <x:f>IF($A26="","",IF(ABS($G26)&lt;0.01,"-",IF($G26&gt;0,"Pedro Américo Paletot","Camilly Queiroz")))</x:f>
      </x:c>
      <x:c r="M26" s="36"/>
      <x:c r="N26" s="59"/>
      <x:c r="O26" s="36"/>
      <x:c r="P26" s="36"/>
    </x:row>
    <x:row r="27">
      <x:c r="A27" s="36"/>
      <x:c r="B27" s="67" t="str">
        <x:f>IF($A27="","",IFERROR(INDEX('Planejamento de Viagens'!$B$6:$B$205,MATCH($A27,'Planejamento de Viagens'!$A$6:$A$205,0)),""))</x:f>
      </x:c>
      <x:c r="C27" s="63" t="str">
        <x:f>IF($A27="","",SUMIFS('Histórico de Gastos'!$W$6:$W$205,'Histórico de Gastos'!$B$6:$B$205,$A27))</x:f>
      </x:c>
      <x:c r="D27" s="63" t="str">
        <x:f>IF($A27="","",SUMIFS('Histórico de Gastos'!$X$6:$X$205,'Histórico de Gastos'!$B$6:$B$205,$A27))</x:f>
      </x:c>
      <x:c r="E27" s="63" t="str">
        <x:f>IF($A27="","",SUMIFS('Histórico de Gastos'!$U$6:$U$205,'Histórico de Gastos'!$B$6:$B$205,$A27))</x:f>
      </x:c>
      <x:c r="F27" s="63" t="str">
        <x:f>IF($A27="","",SUMIFS('Histórico de Gastos'!$V$6:$V$205,'Histórico de Gastos'!$B$6:$B$205,$A27))</x:f>
      </x:c>
      <x:c r="G27" s="63" t="str">
        <x:f>IF($A27="","",$C27-$E27)</x:f>
      </x:c>
      <x:c r="H27" s="63" t="str">
        <x:f>IF($A27="","",$D27-$F27)</x:f>
      </x:c>
      <x:c r="I27" s="67" t="str">
        <x:f>IF($A27="","",IF(ABS($G27)&lt;0.01,"Tudo certo, ninguém deve nada",IF($G27&gt;0,"Camilly deve pagar para Pedro","Pedro deve pagar para Camilly")))</x:f>
      </x:c>
      <x:c r="J27" s="63" t="str">
        <x:f>IF($A27="","",ABS($G27))</x:f>
      </x:c>
      <x:c r="K27" s="67" t="str">
        <x:f>IF($A27="","",IF(ABS($G27)&lt;0.01,"-",IF($G27&gt;0,"Camilly Queiroz","Pedro Américo Paletot")))</x:f>
      </x:c>
      <x:c r="L27" s="67" t="str">
        <x:f>IF($A27="","",IF(ABS($G27)&lt;0.01,"-",IF($G27&gt;0,"Pedro Américo Paletot","Camilly Queiroz")))</x:f>
      </x:c>
      <x:c r="M27" s="36"/>
      <x:c r="N27" s="59"/>
      <x:c r="O27" s="36"/>
      <x:c r="P27" s="36"/>
    </x:row>
    <x:row r="28">
      <x:c r="A28" s="36"/>
      <x:c r="B28" s="67" t="str">
        <x:f>IF($A28="","",IFERROR(INDEX('Planejamento de Viagens'!$B$6:$B$205,MATCH($A28,'Planejamento de Viagens'!$A$6:$A$205,0)),""))</x:f>
      </x:c>
      <x:c r="C28" s="63" t="str">
        <x:f>IF($A28="","",SUMIFS('Histórico de Gastos'!$W$6:$W$205,'Histórico de Gastos'!$B$6:$B$205,$A28))</x:f>
      </x:c>
      <x:c r="D28" s="63" t="str">
        <x:f>IF($A28="","",SUMIFS('Histórico de Gastos'!$X$6:$X$205,'Histórico de Gastos'!$B$6:$B$205,$A28))</x:f>
      </x:c>
      <x:c r="E28" s="63" t="str">
        <x:f>IF($A28="","",SUMIFS('Histórico de Gastos'!$U$6:$U$205,'Histórico de Gastos'!$B$6:$B$205,$A28))</x:f>
      </x:c>
      <x:c r="F28" s="63" t="str">
        <x:f>IF($A28="","",SUMIFS('Histórico de Gastos'!$V$6:$V$205,'Histórico de Gastos'!$B$6:$B$205,$A28))</x:f>
      </x:c>
      <x:c r="G28" s="63" t="str">
        <x:f>IF($A28="","",$C28-$E28)</x:f>
      </x:c>
      <x:c r="H28" s="63" t="str">
        <x:f>IF($A28="","",$D28-$F28)</x:f>
      </x:c>
      <x:c r="I28" s="67" t="str">
        <x:f>IF($A28="","",IF(ABS($G28)&lt;0.01,"Tudo certo, ninguém deve nada",IF($G28&gt;0,"Camilly deve pagar para Pedro","Pedro deve pagar para Camilly")))</x:f>
      </x:c>
      <x:c r="J28" s="63" t="str">
        <x:f>IF($A28="","",ABS($G28))</x:f>
      </x:c>
      <x:c r="K28" s="67" t="str">
        <x:f>IF($A28="","",IF(ABS($G28)&lt;0.01,"-",IF($G28&gt;0,"Camilly Queiroz","Pedro Américo Paletot")))</x:f>
      </x:c>
      <x:c r="L28" s="67" t="str">
        <x:f>IF($A28="","",IF(ABS($G28)&lt;0.01,"-",IF($G28&gt;0,"Pedro Américo Paletot","Camilly Queiroz")))</x:f>
      </x:c>
      <x:c r="M28" s="36"/>
      <x:c r="N28" s="59"/>
      <x:c r="O28" s="36"/>
      <x:c r="P28" s="36"/>
    </x:row>
    <x:row r="29">
      <x:c r="A29" s="36"/>
      <x:c r="B29" s="67" t="str">
        <x:f>IF($A29="","",IFERROR(INDEX('Planejamento de Viagens'!$B$6:$B$205,MATCH($A29,'Planejamento de Viagens'!$A$6:$A$205,0)),""))</x:f>
      </x:c>
      <x:c r="C29" s="63" t="str">
        <x:f>IF($A29="","",SUMIFS('Histórico de Gastos'!$W$6:$W$205,'Histórico de Gastos'!$B$6:$B$205,$A29))</x:f>
      </x:c>
      <x:c r="D29" s="63" t="str">
        <x:f>IF($A29="","",SUMIFS('Histórico de Gastos'!$X$6:$X$205,'Histórico de Gastos'!$B$6:$B$205,$A29))</x:f>
      </x:c>
      <x:c r="E29" s="63" t="str">
        <x:f>IF($A29="","",SUMIFS('Histórico de Gastos'!$U$6:$U$205,'Histórico de Gastos'!$B$6:$B$205,$A29))</x:f>
      </x:c>
      <x:c r="F29" s="63" t="str">
        <x:f>IF($A29="","",SUMIFS('Histórico de Gastos'!$V$6:$V$205,'Histórico de Gastos'!$B$6:$B$205,$A29))</x:f>
      </x:c>
      <x:c r="G29" s="63" t="str">
        <x:f>IF($A29="","",$C29-$E29)</x:f>
      </x:c>
      <x:c r="H29" s="63" t="str">
        <x:f>IF($A29="","",$D29-$F29)</x:f>
      </x:c>
      <x:c r="I29" s="67" t="str">
        <x:f>IF($A29="","",IF(ABS($G29)&lt;0.01,"Tudo certo, ninguém deve nada",IF($G29&gt;0,"Camilly deve pagar para Pedro","Pedro deve pagar para Camilly")))</x:f>
      </x:c>
      <x:c r="J29" s="63" t="str">
        <x:f>IF($A29="","",ABS($G29))</x:f>
      </x:c>
      <x:c r="K29" s="67" t="str">
        <x:f>IF($A29="","",IF(ABS($G29)&lt;0.01,"-",IF($G29&gt;0,"Camilly Queiroz","Pedro Américo Paletot")))</x:f>
      </x:c>
      <x:c r="L29" s="67" t="str">
        <x:f>IF($A29="","",IF(ABS($G29)&lt;0.01,"-",IF($G29&gt;0,"Pedro Américo Paletot","Camilly Queiroz")))</x:f>
      </x:c>
      <x:c r="M29" s="36"/>
      <x:c r="N29" s="59"/>
      <x:c r="O29" s="36"/>
      <x:c r="P29" s="36"/>
    </x:row>
    <x:row r="30">
      <x:c r="A30" s="36"/>
      <x:c r="B30" s="67" t="str">
        <x:f>IF($A30="","",IFERROR(INDEX('Planejamento de Viagens'!$B$6:$B$205,MATCH($A30,'Planejamento de Viagens'!$A$6:$A$205,0)),""))</x:f>
      </x:c>
      <x:c r="C30" s="63" t="str">
        <x:f>IF($A30="","",SUMIFS('Histórico de Gastos'!$W$6:$W$205,'Histórico de Gastos'!$B$6:$B$205,$A30))</x:f>
      </x:c>
      <x:c r="D30" s="63" t="str">
        <x:f>IF($A30="","",SUMIFS('Histórico de Gastos'!$X$6:$X$205,'Histórico de Gastos'!$B$6:$B$205,$A30))</x:f>
      </x:c>
      <x:c r="E30" s="63" t="str">
        <x:f>IF($A30="","",SUMIFS('Histórico de Gastos'!$U$6:$U$205,'Histórico de Gastos'!$B$6:$B$205,$A30))</x:f>
      </x:c>
      <x:c r="F30" s="63" t="str">
        <x:f>IF($A30="","",SUMIFS('Histórico de Gastos'!$V$6:$V$205,'Histórico de Gastos'!$B$6:$B$205,$A30))</x:f>
      </x:c>
      <x:c r="G30" s="63" t="str">
        <x:f>IF($A30="","",$C30-$E30)</x:f>
      </x:c>
      <x:c r="H30" s="63" t="str">
        <x:f>IF($A30="","",$D30-$F30)</x:f>
      </x:c>
      <x:c r="I30" s="67" t="str">
        <x:f>IF($A30="","",IF(ABS($G30)&lt;0.01,"Tudo certo, ninguém deve nada",IF($G30&gt;0,"Camilly deve pagar para Pedro","Pedro deve pagar para Camilly")))</x:f>
      </x:c>
      <x:c r="J30" s="63" t="str">
        <x:f>IF($A30="","",ABS($G30))</x:f>
      </x:c>
      <x:c r="K30" s="67" t="str">
        <x:f>IF($A30="","",IF(ABS($G30)&lt;0.01,"-",IF($G30&gt;0,"Camilly Queiroz","Pedro Américo Paletot")))</x:f>
      </x:c>
      <x:c r="L30" s="67" t="str">
        <x:f>IF($A30="","",IF(ABS($G30)&lt;0.01,"-",IF($G30&gt;0,"Pedro Américo Paletot","Camilly Queiroz")))</x:f>
      </x:c>
      <x:c r="M30" s="36"/>
      <x:c r="N30" s="59"/>
      <x:c r="O30" s="36"/>
      <x:c r="P30" s="36"/>
    </x:row>
    <x:row r="31">
      <x:c r="A31" s="36"/>
      <x:c r="B31" s="67" t="str">
        <x:f>IF($A31="","",IFERROR(INDEX('Planejamento de Viagens'!$B$6:$B$205,MATCH($A31,'Planejamento de Viagens'!$A$6:$A$205,0)),""))</x:f>
      </x:c>
      <x:c r="C31" s="63" t="str">
        <x:f>IF($A31="","",SUMIFS('Histórico de Gastos'!$W$6:$W$205,'Histórico de Gastos'!$B$6:$B$205,$A31))</x:f>
      </x:c>
      <x:c r="D31" s="63" t="str">
        <x:f>IF($A31="","",SUMIFS('Histórico de Gastos'!$X$6:$X$205,'Histórico de Gastos'!$B$6:$B$205,$A31))</x:f>
      </x:c>
      <x:c r="E31" s="63" t="str">
        <x:f>IF($A31="","",SUMIFS('Histórico de Gastos'!$U$6:$U$205,'Histórico de Gastos'!$B$6:$B$205,$A31))</x:f>
      </x:c>
      <x:c r="F31" s="63" t="str">
        <x:f>IF($A31="","",SUMIFS('Histórico de Gastos'!$V$6:$V$205,'Histórico de Gastos'!$B$6:$B$205,$A31))</x:f>
      </x:c>
      <x:c r="G31" s="63" t="str">
        <x:f>IF($A31="","",$C31-$E31)</x:f>
      </x:c>
      <x:c r="H31" s="63" t="str">
        <x:f>IF($A31="","",$D31-$F31)</x:f>
      </x:c>
      <x:c r="I31" s="67" t="str">
        <x:f>IF($A31="","",IF(ABS($G31)&lt;0.01,"Tudo certo, ninguém deve nada",IF($G31&gt;0,"Camilly deve pagar para Pedro","Pedro deve pagar para Camilly")))</x:f>
      </x:c>
      <x:c r="J31" s="63" t="str">
        <x:f>IF($A31="","",ABS($G31))</x:f>
      </x:c>
      <x:c r="K31" s="67" t="str">
        <x:f>IF($A31="","",IF(ABS($G31)&lt;0.01,"-",IF($G31&gt;0,"Camilly Queiroz","Pedro Américo Paletot")))</x:f>
      </x:c>
      <x:c r="L31" s="67" t="str">
        <x:f>IF($A31="","",IF(ABS($G31)&lt;0.01,"-",IF($G31&gt;0,"Pedro Américo Paletot","Camilly Queiroz")))</x:f>
      </x:c>
      <x:c r="M31" s="36"/>
      <x:c r="N31" s="59"/>
      <x:c r="O31" s="36"/>
      <x:c r="P31" s="36"/>
    </x:row>
    <x:row r="32">
      <x:c r="A32" s="36"/>
      <x:c r="B32" s="67" t="str">
        <x:f>IF($A32="","",IFERROR(INDEX('Planejamento de Viagens'!$B$6:$B$205,MATCH($A32,'Planejamento de Viagens'!$A$6:$A$205,0)),""))</x:f>
      </x:c>
      <x:c r="C32" s="63" t="str">
        <x:f>IF($A32="","",SUMIFS('Histórico de Gastos'!$W$6:$W$205,'Histórico de Gastos'!$B$6:$B$205,$A32))</x:f>
      </x:c>
      <x:c r="D32" s="63" t="str">
        <x:f>IF($A32="","",SUMIFS('Histórico de Gastos'!$X$6:$X$205,'Histórico de Gastos'!$B$6:$B$205,$A32))</x:f>
      </x:c>
      <x:c r="E32" s="63" t="str">
        <x:f>IF($A32="","",SUMIFS('Histórico de Gastos'!$U$6:$U$205,'Histórico de Gastos'!$B$6:$B$205,$A32))</x:f>
      </x:c>
      <x:c r="F32" s="63" t="str">
        <x:f>IF($A32="","",SUMIFS('Histórico de Gastos'!$V$6:$V$205,'Histórico de Gastos'!$B$6:$B$205,$A32))</x:f>
      </x:c>
      <x:c r="G32" s="63" t="str">
        <x:f>IF($A32="","",$C32-$E32)</x:f>
      </x:c>
      <x:c r="H32" s="63" t="str">
        <x:f>IF($A32="","",$D32-$F32)</x:f>
      </x:c>
      <x:c r="I32" s="67" t="str">
        <x:f>IF($A32="","",IF(ABS($G32)&lt;0.01,"Tudo certo, ninguém deve nada",IF($G32&gt;0,"Camilly deve pagar para Pedro","Pedro deve pagar para Camilly")))</x:f>
      </x:c>
      <x:c r="J32" s="63" t="str">
        <x:f>IF($A32="","",ABS($G32))</x:f>
      </x:c>
      <x:c r="K32" s="67" t="str">
        <x:f>IF($A32="","",IF(ABS($G32)&lt;0.01,"-",IF($G32&gt;0,"Camilly Queiroz","Pedro Américo Paletot")))</x:f>
      </x:c>
      <x:c r="L32" s="67" t="str">
        <x:f>IF($A32="","",IF(ABS($G32)&lt;0.01,"-",IF($G32&gt;0,"Pedro Américo Paletot","Camilly Queiroz")))</x:f>
      </x:c>
      <x:c r="M32" s="36"/>
      <x:c r="N32" s="59"/>
      <x:c r="O32" s="36"/>
      <x:c r="P32" s="36"/>
    </x:row>
    <x:row r="33">
      <x:c r="A33" s="36"/>
      <x:c r="B33" s="67" t="str">
        <x:f>IF($A33="","",IFERROR(INDEX('Planejamento de Viagens'!$B$6:$B$205,MATCH($A33,'Planejamento de Viagens'!$A$6:$A$205,0)),""))</x:f>
      </x:c>
      <x:c r="C33" s="63" t="str">
        <x:f>IF($A33="","",SUMIFS('Histórico de Gastos'!$W$6:$W$205,'Histórico de Gastos'!$B$6:$B$205,$A33))</x:f>
      </x:c>
      <x:c r="D33" s="63" t="str">
        <x:f>IF($A33="","",SUMIFS('Histórico de Gastos'!$X$6:$X$205,'Histórico de Gastos'!$B$6:$B$205,$A33))</x:f>
      </x:c>
      <x:c r="E33" s="63" t="str">
        <x:f>IF($A33="","",SUMIFS('Histórico de Gastos'!$U$6:$U$205,'Histórico de Gastos'!$B$6:$B$205,$A33))</x:f>
      </x:c>
      <x:c r="F33" s="63" t="str">
        <x:f>IF($A33="","",SUMIFS('Histórico de Gastos'!$V$6:$V$205,'Histórico de Gastos'!$B$6:$B$205,$A33))</x:f>
      </x:c>
      <x:c r="G33" s="63" t="str">
        <x:f>IF($A33="","",$C33-$E33)</x:f>
      </x:c>
      <x:c r="H33" s="63" t="str">
        <x:f>IF($A33="","",$D33-$F33)</x:f>
      </x:c>
      <x:c r="I33" s="67" t="str">
        <x:f>IF($A33="","",IF(ABS($G33)&lt;0.01,"Tudo certo, ninguém deve nada",IF($G33&gt;0,"Camilly deve pagar para Pedro","Pedro deve pagar para Camilly")))</x:f>
      </x:c>
      <x:c r="J33" s="63" t="str">
        <x:f>IF($A33="","",ABS($G33))</x:f>
      </x:c>
      <x:c r="K33" s="67" t="str">
        <x:f>IF($A33="","",IF(ABS($G33)&lt;0.01,"-",IF($G33&gt;0,"Camilly Queiroz","Pedro Américo Paletot")))</x:f>
      </x:c>
      <x:c r="L33" s="67" t="str">
        <x:f>IF($A33="","",IF(ABS($G33)&lt;0.01,"-",IF($G33&gt;0,"Pedro Américo Paletot","Camilly Queiroz")))</x:f>
      </x:c>
      <x:c r="M33" s="36"/>
      <x:c r="N33" s="59"/>
      <x:c r="O33" s="36"/>
      <x:c r="P33" s="36"/>
    </x:row>
    <x:row r="34">
      <x:c r="A34" s="36"/>
      <x:c r="B34" s="67" t="str">
        <x:f>IF($A34="","",IFERROR(INDEX('Planejamento de Viagens'!$B$6:$B$205,MATCH($A34,'Planejamento de Viagens'!$A$6:$A$205,0)),""))</x:f>
      </x:c>
      <x:c r="C34" s="63" t="str">
        <x:f>IF($A34="","",SUMIFS('Histórico de Gastos'!$W$6:$W$205,'Histórico de Gastos'!$B$6:$B$205,$A34))</x:f>
      </x:c>
      <x:c r="D34" s="63" t="str">
        <x:f>IF($A34="","",SUMIFS('Histórico de Gastos'!$X$6:$X$205,'Histórico de Gastos'!$B$6:$B$205,$A34))</x:f>
      </x:c>
      <x:c r="E34" s="63" t="str">
        <x:f>IF($A34="","",SUMIFS('Histórico de Gastos'!$U$6:$U$205,'Histórico de Gastos'!$B$6:$B$205,$A34))</x:f>
      </x:c>
      <x:c r="F34" s="63" t="str">
        <x:f>IF($A34="","",SUMIFS('Histórico de Gastos'!$V$6:$V$205,'Histórico de Gastos'!$B$6:$B$205,$A34))</x:f>
      </x:c>
      <x:c r="G34" s="63" t="str">
        <x:f>IF($A34="","",$C34-$E34)</x:f>
      </x:c>
      <x:c r="H34" s="63" t="str">
        <x:f>IF($A34="","",$D34-$F34)</x:f>
      </x:c>
      <x:c r="I34" s="67" t="str">
        <x:f>IF($A34="","",IF(ABS($G34)&lt;0.01,"Tudo certo, ninguém deve nada",IF($G34&gt;0,"Camilly deve pagar para Pedro","Pedro deve pagar para Camilly")))</x:f>
      </x:c>
      <x:c r="J34" s="63" t="str">
        <x:f>IF($A34="","",ABS($G34))</x:f>
      </x:c>
      <x:c r="K34" s="67" t="str">
        <x:f>IF($A34="","",IF(ABS($G34)&lt;0.01,"-",IF($G34&gt;0,"Camilly Queiroz","Pedro Américo Paletot")))</x:f>
      </x:c>
      <x:c r="L34" s="67" t="str">
        <x:f>IF($A34="","",IF(ABS($G34)&lt;0.01,"-",IF($G34&gt;0,"Pedro Américo Paletot","Camilly Queiroz")))</x:f>
      </x:c>
      <x:c r="M34" s="36"/>
      <x:c r="N34" s="59"/>
      <x:c r="O34" s="36"/>
      <x:c r="P34" s="36"/>
    </x:row>
    <x:row r="35">
      <x:c r="A35" s="36"/>
      <x:c r="B35" s="67" t="str">
        <x:f>IF($A35="","",IFERROR(INDEX('Planejamento de Viagens'!$B$6:$B$205,MATCH($A35,'Planejamento de Viagens'!$A$6:$A$205,0)),""))</x:f>
      </x:c>
      <x:c r="C35" s="63" t="str">
        <x:f>IF($A35="","",SUMIFS('Histórico de Gastos'!$W$6:$W$205,'Histórico de Gastos'!$B$6:$B$205,$A35))</x:f>
      </x:c>
      <x:c r="D35" s="63" t="str">
        <x:f>IF($A35="","",SUMIFS('Histórico de Gastos'!$X$6:$X$205,'Histórico de Gastos'!$B$6:$B$205,$A35))</x:f>
      </x:c>
      <x:c r="E35" s="63" t="str">
        <x:f>IF($A35="","",SUMIFS('Histórico de Gastos'!$U$6:$U$205,'Histórico de Gastos'!$B$6:$B$205,$A35))</x:f>
      </x:c>
      <x:c r="F35" s="63" t="str">
        <x:f>IF($A35="","",SUMIFS('Histórico de Gastos'!$V$6:$V$205,'Histórico de Gastos'!$B$6:$B$205,$A35))</x:f>
      </x:c>
      <x:c r="G35" s="63" t="str">
        <x:f>IF($A35="","",$C35-$E35)</x:f>
      </x:c>
      <x:c r="H35" s="63" t="str">
        <x:f>IF($A35="","",$D35-$F35)</x:f>
      </x:c>
      <x:c r="I35" s="67" t="str">
        <x:f>IF($A35="","",IF(ABS($G35)&lt;0.01,"Tudo certo, ninguém deve nada",IF($G35&gt;0,"Camilly deve pagar para Pedro","Pedro deve pagar para Camilly")))</x:f>
      </x:c>
      <x:c r="J35" s="63" t="str">
        <x:f>IF($A35="","",ABS($G35))</x:f>
      </x:c>
      <x:c r="K35" s="67" t="str">
        <x:f>IF($A35="","",IF(ABS($G35)&lt;0.01,"-",IF($G35&gt;0,"Camilly Queiroz","Pedro Américo Paletot")))</x:f>
      </x:c>
      <x:c r="L35" s="67" t="str">
        <x:f>IF($A35="","",IF(ABS($G35)&lt;0.01,"-",IF($G35&gt;0,"Pedro Américo Paletot","Camilly Queiroz")))</x:f>
      </x:c>
      <x:c r="M35" s="36"/>
      <x:c r="N35" s="59"/>
      <x:c r="O35" s="36"/>
      <x:c r="P35" s="36"/>
    </x:row>
    <x:row r="36">
      <x:c r="A36" s="36"/>
      <x:c r="B36" s="67" t="str">
        <x:f>IF($A36="","",IFERROR(INDEX('Planejamento de Viagens'!$B$6:$B$205,MATCH($A36,'Planejamento de Viagens'!$A$6:$A$205,0)),""))</x:f>
      </x:c>
      <x:c r="C36" s="63" t="str">
        <x:f>IF($A36="","",SUMIFS('Histórico de Gastos'!$W$6:$W$205,'Histórico de Gastos'!$B$6:$B$205,$A36))</x:f>
      </x:c>
      <x:c r="D36" s="63" t="str">
        <x:f>IF($A36="","",SUMIFS('Histórico de Gastos'!$X$6:$X$205,'Histórico de Gastos'!$B$6:$B$205,$A36))</x:f>
      </x:c>
      <x:c r="E36" s="63" t="str">
        <x:f>IF($A36="","",SUMIFS('Histórico de Gastos'!$U$6:$U$205,'Histórico de Gastos'!$B$6:$B$205,$A36))</x:f>
      </x:c>
      <x:c r="F36" s="63" t="str">
        <x:f>IF($A36="","",SUMIFS('Histórico de Gastos'!$V$6:$V$205,'Histórico de Gastos'!$B$6:$B$205,$A36))</x:f>
      </x:c>
      <x:c r="G36" s="63" t="str">
        <x:f>IF($A36="","",$C36-$E36)</x:f>
      </x:c>
      <x:c r="H36" s="63" t="str">
        <x:f>IF($A36="","",$D36-$F36)</x:f>
      </x:c>
      <x:c r="I36" s="67" t="str">
        <x:f>IF($A36="","",IF(ABS($G36)&lt;0.01,"Tudo certo, ninguém deve nada",IF($G36&gt;0,"Camilly deve pagar para Pedro","Pedro deve pagar para Camilly")))</x:f>
      </x:c>
      <x:c r="J36" s="63" t="str">
        <x:f>IF($A36="","",ABS($G36))</x:f>
      </x:c>
      <x:c r="K36" s="67" t="str">
        <x:f>IF($A36="","",IF(ABS($G36)&lt;0.01,"-",IF($G36&gt;0,"Camilly Queiroz","Pedro Américo Paletot")))</x:f>
      </x:c>
      <x:c r="L36" s="67" t="str">
        <x:f>IF($A36="","",IF(ABS($G36)&lt;0.01,"-",IF($G36&gt;0,"Pedro Américo Paletot","Camilly Queiroz")))</x:f>
      </x:c>
      <x:c r="M36" s="36"/>
      <x:c r="N36" s="59"/>
      <x:c r="O36" s="36"/>
      <x:c r="P36" s="36"/>
    </x:row>
    <x:row r="37">
      <x:c r="A37" s="36"/>
      <x:c r="B37" s="67" t="str">
        <x:f>IF($A37="","",IFERROR(INDEX('Planejamento de Viagens'!$B$6:$B$205,MATCH($A37,'Planejamento de Viagens'!$A$6:$A$205,0)),""))</x:f>
      </x:c>
      <x:c r="C37" s="63" t="str">
        <x:f>IF($A37="","",SUMIFS('Histórico de Gastos'!$W$6:$W$205,'Histórico de Gastos'!$B$6:$B$205,$A37))</x:f>
      </x:c>
      <x:c r="D37" s="63" t="str">
        <x:f>IF($A37="","",SUMIFS('Histórico de Gastos'!$X$6:$X$205,'Histórico de Gastos'!$B$6:$B$205,$A37))</x:f>
      </x:c>
      <x:c r="E37" s="63" t="str">
        <x:f>IF($A37="","",SUMIFS('Histórico de Gastos'!$U$6:$U$205,'Histórico de Gastos'!$B$6:$B$205,$A37))</x:f>
      </x:c>
      <x:c r="F37" s="63" t="str">
        <x:f>IF($A37="","",SUMIFS('Histórico de Gastos'!$V$6:$V$205,'Histórico de Gastos'!$B$6:$B$205,$A37))</x:f>
      </x:c>
      <x:c r="G37" s="63" t="str">
        <x:f>IF($A37="","",$C37-$E37)</x:f>
      </x:c>
      <x:c r="H37" s="63" t="str">
        <x:f>IF($A37="","",$D37-$F37)</x:f>
      </x:c>
      <x:c r="I37" s="67" t="str">
        <x:f>IF($A37="","",IF(ABS($G37)&lt;0.01,"Tudo certo, ninguém deve nada",IF($G37&gt;0,"Camilly deve pagar para Pedro","Pedro deve pagar para Camilly")))</x:f>
      </x:c>
      <x:c r="J37" s="63" t="str">
        <x:f>IF($A37="","",ABS($G37))</x:f>
      </x:c>
      <x:c r="K37" s="67" t="str">
        <x:f>IF($A37="","",IF(ABS($G37)&lt;0.01,"-",IF($G37&gt;0,"Camilly Queiroz","Pedro Américo Paletot")))</x:f>
      </x:c>
      <x:c r="L37" s="67" t="str">
        <x:f>IF($A37="","",IF(ABS($G37)&lt;0.01,"-",IF($G37&gt;0,"Pedro Américo Paletot","Camilly Queiroz")))</x:f>
      </x:c>
      <x:c r="M37" s="36"/>
      <x:c r="N37" s="59"/>
      <x:c r="O37" s="36"/>
      <x:c r="P37" s="36"/>
    </x:row>
    <x:row r="38">
      <x:c r="A38" s="36"/>
      <x:c r="B38" s="67" t="str">
        <x:f>IF($A38="","",IFERROR(INDEX('Planejamento de Viagens'!$B$6:$B$205,MATCH($A38,'Planejamento de Viagens'!$A$6:$A$205,0)),""))</x:f>
      </x:c>
      <x:c r="C38" s="63" t="str">
        <x:f>IF($A38="","",SUMIFS('Histórico de Gastos'!$W$6:$W$205,'Histórico de Gastos'!$B$6:$B$205,$A38))</x:f>
      </x:c>
      <x:c r="D38" s="63" t="str">
        <x:f>IF($A38="","",SUMIFS('Histórico de Gastos'!$X$6:$X$205,'Histórico de Gastos'!$B$6:$B$205,$A38))</x:f>
      </x:c>
      <x:c r="E38" s="63" t="str">
        <x:f>IF($A38="","",SUMIFS('Histórico de Gastos'!$U$6:$U$205,'Histórico de Gastos'!$B$6:$B$205,$A38))</x:f>
      </x:c>
      <x:c r="F38" s="63" t="str">
        <x:f>IF($A38="","",SUMIFS('Histórico de Gastos'!$V$6:$V$205,'Histórico de Gastos'!$B$6:$B$205,$A38))</x:f>
      </x:c>
      <x:c r="G38" s="63" t="str">
        <x:f>IF($A38="","",$C38-$E38)</x:f>
      </x:c>
      <x:c r="H38" s="63" t="str">
        <x:f>IF($A38="","",$D38-$F38)</x:f>
      </x:c>
      <x:c r="I38" s="67" t="str">
        <x:f>IF($A38="","",IF(ABS($G38)&lt;0.01,"Tudo certo, ninguém deve nada",IF($G38&gt;0,"Camilly deve pagar para Pedro","Pedro deve pagar para Camilly")))</x:f>
      </x:c>
      <x:c r="J38" s="63" t="str">
        <x:f>IF($A38="","",ABS($G38))</x:f>
      </x:c>
      <x:c r="K38" s="67" t="str">
        <x:f>IF($A38="","",IF(ABS($G38)&lt;0.01,"-",IF($G38&gt;0,"Camilly Queiroz","Pedro Américo Paletot")))</x:f>
      </x:c>
      <x:c r="L38" s="67" t="str">
        <x:f>IF($A38="","",IF(ABS($G38)&lt;0.01,"-",IF($G38&gt;0,"Pedro Américo Paletot","Camilly Queiroz")))</x:f>
      </x:c>
      <x:c r="M38" s="36"/>
      <x:c r="N38" s="59"/>
      <x:c r="O38" s="36"/>
      <x:c r="P38" s="36"/>
    </x:row>
    <x:row r="39">
      <x:c r="A39" s="36"/>
      <x:c r="B39" s="67" t="str">
        <x:f>IF($A39="","",IFERROR(INDEX('Planejamento de Viagens'!$B$6:$B$205,MATCH($A39,'Planejamento de Viagens'!$A$6:$A$205,0)),""))</x:f>
      </x:c>
      <x:c r="C39" s="63" t="str">
        <x:f>IF($A39="","",SUMIFS('Histórico de Gastos'!$W$6:$W$205,'Histórico de Gastos'!$B$6:$B$205,$A39))</x:f>
      </x:c>
      <x:c r="D39" s="63" t="str">
        <x:f>IF($A39="","",SUMIFS('Histórico de Gastos'!$X$6:$X$205,'Histórico de Gastos'!$B$6:$B$205,$A39))</x:f>
      </x:c>
      <x:c r="E39" s="63" t="str">
        <x:f>IF($A39="","",SUMIFS('Histórico de Gastos'!$U$6:$U$205,'Histórico de Gastos'!$B$6:$B$205,$A39))</x:f>
      </x:c>
      <x:c r="F39" s="63" t="str">
        <x:f>IF($A39="","",SUMIFS('Histórico de Gastos'!$V$6:$V$205,'Histórico de Gastos'!$B$6:$B$205,$A39))</x:f>
      </x:c>
      <x:c r="G39" s="63" t="str">
        <x:f>IF($A39="","",$C39-$E39)</x:f>
      </x:c>
      <x:c r="H39" s="63" t="str">
        <x:f>IF($A39="","",$D39-$F39)</x:f>
      </x:c>
      <x:c r="I39" s="67" t="str">
        <x:f>IF($A39="","",IF(ABS($G39)&lt;0.01,"Tudo certo, ninguém deve nada",IF($G39&gt;0,"Camilly deve pagar para Pedro","Pedro deve pagar para Camilly")))</x:f>
      </x:c>
      <x:c r="J39" s="63" t="str">
        <x:f>IF($A39="","",ABS($G39))</x:f>
      </x:c>
      <x:c r="K39" s="67" t="str">
        <x:f>IF($A39="","",IF(ABS($G39)&lt;0.01,"-",IF($G39&gt;0,"Camilly Queiroz","Pedro Américo Paletot")))</x:f>
      </x:c>
      <x:c r="L39" s="67" t="str">
        <x:f>IF($A39="","",IF(ABS($G39)&lt;0.01,"-",IF($G39&gt;0,"Pedro Américo Paletot","Camilly Queiroz")))</x:f>
      </x:c>
      <x:c r="M39" s="36"/>
      <x:c r="N39" s="59"/>
      <x:c r="O39" s="36"/>
      <x:c r="P39" s="36"/>
    </x:row>
    <x:row r="40">
      <x:c r="A40" s="36"/>
      <x:c r="B40" s="67" t="str">
        <x:f>IF($A40="","",IFERROR(INDEX('Planejamento de Viagens'!$B$6:$B$205,MATCH($A40,'Planejamento de Viagens'!$A$6:$A$205,0)),""))</x:f>
      </x:c>
      <x:c r="C40" s="63" t="str">
        <x:f>IF($A40="","",SUMIFS('Histórico de Gastos'!$W$6:$W$205,'Histórico de Gastos'!$B$6:$B$205,$A40))</x:f>
      </x:c>
      <x:c r="D40" s="63" t="str">
        <x:f>IF($A40="","",SUMIFS('Histórico de Gastos'!$X$6:$X$205,'Histórico de Gastos'!$B$6:$B$205,$A40))</x:f>
      </x:c>
      <x:c r="E40" s="63" t="str">
        <x:f>IF($A40="","",SUMIFS('Histórico de Gastos'!$U$6:$U$205,'Histórico de Gastos'!$B$6:$B$205,$A40))</x:f>
      </x:c>
      <x:c r="F40" s="63" t="str">
        <x:f>IF($A40="","",SUMIFS('Histórico de Gastos'!$V$6:$V$205,'Histórico de Gastos'!$B$6:$B$205,$A40))</x:f>
      </x:c>
      <x:c r="G40" s="63" t="str">
        <x:f>IF($A40="","",$C40-$E40)</x:f>
      </x:c>
      <x:c r="H40" s="63" t="str">
        <x:f>IF($A40="","",$D40-$F40)</x:f>
      </x:c>
      <x:c r="I40" s="67" t="str">
        <x:f>IF($A40="","",IF(ABS($G40)&lt;0.01,"Tudo certo, ninguém deve nada",IF($G40&gt;0,"Camilly deve pagar para Pedro","Pedro deve pagar para Camilly")))</x:f>
      </x:c>
      <x:c r="J40" s="63" t="str">
        <x:f>IF($A40="","",ABS($G40))</x:f>
      </x:c>
      <x:c r="K40" s="67" t="str">
        <x:f>IF($A40="","",IF(ABS($G40)&lt;0.01,"-",IF($G40&gt;0,"Camilly Queiroz","Pedro Américo Paletot")))</x:f>
      </x:c>
      <x:c r="L40" s="67" t="str">
        <x:f>IF($A40="","",IF(ABS($G40)&lt;0.01,"-",IF($G40&gt;0,"Pedro Américo Paletot","Camilly Queiroz")))</x:f>
      </x:c>
      <x:c r="M40" s="36"/>
      <x:c r="N40" s="59"/>
      <x:c r="O40" s="36"/>
      <x:c r="P40" s="36"/>
    </x:row>
    <x:row r="41">
      <x:c r="A41" s="36"/>
      <x:c r="B41" s="67" t="str">
        <x:f>IF($A41="","",IFERROR(INDEX('Planejamento de Viagens'!$B$6:$B$205,MATCH($A41,'Planejamento de Viagens'!$A$6:$A$205,0)),""))</x:f>
      </x:c>
      <x:c r="C41" s="63" t="str">
        <x:f>IF($A41="","",SUMIFS('Histórico de Gastos'!$W$6:$W$205,'Histórico de Gastos'!$B$6:$B$205,$A41))</x:f>
      </x:c>
      <x:c r="D41" s="63" t="str">
        <x:f>IF($A41="","",SUMIFS('Histórico de Gastos'!$X$6:$X$205,'Histórico de Gastos'!$B$6:$B$205,$A41))</x:f>
      </x:c>
      <x:c r="E41" s="63" t="str">
        <x:f>IF($A41="","",SUMIFS('Histórico de Gastos'!$U$6:$U$205,'Histórico de Gastos'!$B$6:$B$205,$A41))</x:f>
      </x:c>
      <x:c r="F41" s="63" t="str">
        <x:f>IF($A41="","",SUMIFS('Histórico de Gastos'!$V$6:$V$205,'Histórico de Gastos'!$B$6:$B$205,$A41))</x:f>
      </x:c>
      <x:c r="G41" s="63" t="str">
        <x:f>IF($A41="","",$C41-$E41)</x:f>
      </x:c>
      <x:c r="H41" s="63" t="str">
        <x:f>IF($A41="","",$D41-$F41)</x:f>
      </x:c>
      <x:c r="I41" s="67" t="str">
        <x:f>IF($A41="","",IF(ABS($G41)&lt;0.01,"Tudo certo, ninguém deve nada",IF($G41&gt;0,"Camilly deve pagar para Pedro","Pedro deve pagar para Camilly")))</x:f>
      </x:c>
      <x:c r="J41" s="63" t="str">
        <x:f>IF($A41="","",ABS($G41))</x:f>
      </x:c>
      <x:c r="K41" s="67" t="str">
        <x:f>IF($A41="","",IF(ABS($G41)&lt;0.01,"-",IF($G41&gt;0,"Camilly Queiroz","Pedro Américo Paletot")))</x:f>
      </x:c>
      <x:c r="L41" s="67" t="str">
        <x:f>IF($A41="","",IF(ABS($G41)&lt;0.01,"-",IF($G41&gt;0,"Pedro Américo Paletot","Camilly Queiroz")))</x:f>
      </x:c>
      <x:c r="M41" s="36"/>
      <x:c r="N41" s="59"/>
      <x:c r="O41" s="36"/>
      <x:c r="P41" s="36"/>
    </x:row>
    <x:row r="42">
      <x:c r="A42" s="36"/>
      <x:c r="B42" s="67" t="str">
        <x:f>IF($A42="","",IFERROR(INDEX('Planejamento de Viagens'!$B$6:$B$205,MATCH($A42,'Planejamento de Viagens'!$A$6:$A$205,0)),""))</x:f>
      </x:c>
      <x:c r="C42" s="63" t="str">
        <x:f>IF($A42="","",SUMIFS('Histórico de Gastos'!$W$6:$W$205,'Histórico de Gastos'!$B$6:$B$205,$A42))</x:f>
      </x:c>
      <x:c r="D42" s="63" t="str">
        <x:f>IF($A42="","",SUMIFS('Histórico de Gastos'!$X$6:$X$205,'Histórico de Gastos'!$B$6:$B$205,$A42))</x:f>
      </x:c>
      <x:c r="E42" s="63" t="str">
        <x:f>IF($A42="","",SUMIFS('Histórico de Gastos'!$U$6:$U$205,'Histórico de Gastos'!$B$6:$B$205,$A42))</x:f>
      </x:c>
      <x:c r="F42" s="63" t="str">
        <x:f>IF($A42="","",SUMIFS('Histórico de Gastos'!$V$6:$V$205,'Histórico de Gastos'!$B$6:$B$205,$A42))</x:f>
      </x:c>
      <x:c r="G42" s="63" t="str">
        <x:f>IF($A42="","",$C42-$E42)</x:f>
      </x:c>
      <x:c r="H42" s="63" t="str">
        <x:f>IF($A42="","",$D42-$F42)</x:f>
      </x:c>
      <x:c r="I42" s="67" t="str">
        <x:f>IF($A42="","",IF(ABS($G42)&lt;0.01,"Tudo certo, ninguém deve nada",IF($G42&gt;0,"Camilly deve pagar para Pedro","Pedro deve pagar para Camilly")))</x:f>
      </x:c>
      <x:c r="J42" s="63" t="str">
        <x:f>IF($A42="","",ABS($G42))</x:f>
      </x:c>
      <x:c r="K42" s="67" t="str">
        <x:f>IF($A42="","",IF(ABS($G42)&lt;0.01,"-",IF($G42&gt;0,"Camilly Queiroz","Pedro Américo Paletot")))</x:f>
      </x:c>
      <x:c r="L42" s="67" t="str">
        <x:f>IF($A42="","",IF(ABS($G42)&lt;0.01,"-",IF($G42&gt;0,"Pedro Américo Paletot","Camilly Queiroz")))</x:f>
      </x:c>
      <x:c r="M42" s="36"/>
      <x:c r="N42" s="59"/>
      <x:c r="O42" s="36"/>
      <x:c r="P42" s="36"/>
    </x:row>
    <x:row r="43">
      <x:c r="A43" s="36"/>
      <x:c r="B43" s="67" t="str">
        <x:f>IF($A43="","",IFERROR(INDEX('Planejamento de Viagens'!$B$6:$B$205,MATCH($A43,'Planejamento de Viagens'!$A$6:$A$205,0)),""))</x:f>
      </x:c>
      <x:c r="C43" s="63" t="str">
        <x:f>IF($A43="","",SUMIFS('Histórico de Gastos'!$W$6:$W$205,'Histórico de Gastos'!$B$6:$B$205,$A43))</x:f>
      </x:c>
      <x:c r="D43" s="63" t="str">
        <x:f>IF($A43="","",SUMIFS('Histórico de Gastos'!$X$6:$X$205,'Histórico de Gastos'!$B$6:$B$205,$A43))</x:f>
      </x:c>
      <x:c r="E43" s="63" t="str">
        <x:f>IF($A43="","",SUMIFS('Histórico de Gastos'!$U$6:$U$205,'Histórico de Gastos'!$B$6:$B$205,$A43))</x:f>
      </x:c>
      <x:c r="F43" s="63" t="str">
        <x:f>IF($A43="","",SUMIFS('Histórico de Gastos'!$V$6:$V$205,'Histórico de Gastos'!$B$6:$B$205,$A43))</x:f>
      </x:c>
      <x:c r="G43" s="63" t="str">
        <x:f>IF($A43="","",$C43-$E43)</x:f>
      </x:c>
      <x:c r="H43" s="63" t="str">
        <x:f>IF($A43="","",$D43-$F43)</x:f>
      </x:c>
      <x:c r="I43" s="67" t="str">
        <x:f>IF($A43="","",IF(ABS($G43)&lt;0.01,"Tudo certo, ninguém deve nada",IF($G43&gt;0,"Camilly deve pagar para Pedro","Pedro deve pagar para Camilly")))</x:f>
      </x:c>
      <x:c r="J43" s="63" t="str">
        <x:f>IF($A43="","",ABS($G43))</x:f>
      </x:c>
      <x:c r="K43" s="67" t="str">
        <x:f>IF($A43="","",IF(ABS($G43)&lt;0.01,"-",IF($G43&gt;0,"Camilly Queiroz","Pedro Américo Paletot")))</x:f>
      </x:c>
      <x:c r="L43" s="67" t="str">
        <x:f>IF($A43="","",IF(ABS($G43)&lt;0.01,"-",IF($G43&gt;0,"Pedro Américo Paletot","Camilly Queiroz")))</x:f>
      </x:c>
      <x:c r="M43" s="36"/>
      <x:c r="N43" s="59"/>
      <x:c r="O43" s="36"/>
      <x:c r="P43" s="36"/>
    </x:row>
    <x:row r="44">
      <x:c r="A44" s="36"/>
      <x:c r="B44" s="67" t="str">
        <x:f>IF($A44="","",IFERROR(INDEX('Planejamento de Viagens'!$B$6:$B$205,MATCH($A44,'Planejamento de Viagens'!$A$6:$A$205,0)),""))</x:f>
      </x:c>
      <x:c r="C44" s="63" t="str">
        <x:f>IF($A44="","",SUMIFS('Histórico de Gastos'!$W$6:$W$205,'Histórico de Gastos'!$B$6:$B$205,$A44))</x:f>
      </x:c>
      <x:c r="D44" s="63" t="str">
        <x:f>IF($A44="","",SUMIFS('Histórico de Gastos'!$X$6:$X$205,'Histórico de Gastos'!$B$6:$B$205,$A44))</x:f>
      </x:c>
      <x:c r="E44" s="63" t="str">
        <x:f>IF($A44="","",SUMIFS('Histórico de Gastos'!$U$6:$U$205,'Histórico de Gastos'!$B$6:$B$205,$A44))</x:f>
      </x:c>
      <x:c r="F44" s="63" t="str">
        <x:f>IF($A44="","",SUMIFS('Histórico de Gastos'!$V$6:$V$205,'Histórico de Gastos'!$B$6:$B$205,$A44))</x:f>
      </x:c>
      <x:c r="G44" s="63" t="str">
        <x:f>IF($A44="","",$C44-$E44)</x:f>
      </x:c>
      <x:c r="H44" s="63" t="str">
        <x:f>IF($A44="","",$D44-$F44)</x:f>
      </x:c>
      <x:c r="I44" s="67" t="str">
        <x:f>IF($A44="","",IF(ABS($G44)&lt;0.01,"Tudo certo, ninguém deve nada",IF($G44&gt;0,"Camilly deve pagar para Pedro","Pedro deve pagar para Camilly")))</x:f>
      </x:c>
      <x:c r="J44" s="63" t="str">
        <x:f>IF($A44="","",ABS($G44))</x:f>
      </x:c>
      <x:c r="K44" s="67" t="str">
        <x:f>IF($A44="","",IF(ABS($G44)&lt;0.01,"-",IF($G44&gt;0,"Camilly Queiroz","Pedro Américo Paletot")))</x:f>
      </x:c>
      <x:c r="L44" s="67" t="str">
        <x:f>IF($A44="","",IF(ABS($G44)&lt;0.01,"-",IF($G44&gt;0,"Pedro Américo Paletot","Camilly Queiroz")))</x:f>
      </x:c>
      <x:c r="M44" s="36"/>
      <x:c r="N44" s="59"/>
      <x:c r="O44" s="36"/>
      <x:c r="P44" s="36"/>
    </x:row>
    <x:row r="45">
      <x:c r="A45" s="36"/>
      <x:c r="B45" s="67" t="str">
        <x:f>IF($A45="","",IFERROR(INDEX('Planejamento de Viagens'!$B$6:$B$205,MATCH($A45,'Planejamento de Viagens'!$A$6:$A$205,0)),""))</x:f>
      </x:c>
      <x:c r="C45" s="63" t="str">
        <x:f>IF($A45="","",SUMIFS('Histórico de Gastos'!$W$6:$W$205,'Histórico de Gastos'!$B$6:$B$205,$A45))</x:f>
      </x:c>
      <x:c r="D45" s="63" t="str">
        <x:f>IF($A45="","",SUMIFS('Histórico de Gastos'!$X$6:$X$205,'Histórico de Gastos'!$B$6:$B$205,$A45))</x:f>
      </x:c>
      <x:c r="E45" s="63" t="str">
        <x:f>IF($A45="","",SUMIFS('Histórico de Gastos'!$U$6:$U$205,'Histórico de Gastos'!$B$6:$B$205,$A45))</x:f>
      </x:c>
      <x:c r="F45" s="63" t="str">
        <x:f>IF($A45="","",SUMIFS('Histórico de Gastos'!$V$6:$V$205,'Histórico de Gastos'!$B$6:$B$205,$A45))</x:f>
      </x:c>
      <x:c r="G45" s="63" t="str">
        <x:f>IF($A45="","",$C45-$E45)</x:f>
      </x:c>
      <x:c r="H45" s="63" t="str">
        <x:f>IF($A45="","",$D45-$F45)</x:f>
      </x:c>
      <x:c r="I45" s="67" t="str">
        <x:f>IF($A45="","",IF(ABS($G45)&lt;0.01,"Tudo certo, ninguém deve nada",IF($G45&gt;0,"Camilly deve pagar para Pedro","Pedro deve pagar para Camilly")))</x:f>
      </x:c>
      <x:c r="J45" s="63" t="str">
        <x:f>IF($A45="","",ABS($G45))</x:f>
      </x:c>
      <x:c r="K45" s="67" t="str">
        <x:f>IF($A45="","",IF(ABS($G45)&lt;0.01,"-",IF($G45&gt;0,"Camilly Queiroz","Pedro Américo Paletot")))</x:f>
      </x:c>
      <x:c r="L45" s="67" t="str">
        <x:f>IF($A45="","",IF(ABS($G45)&lt;0.01,"-",IF($G45&gt;0,"Pedro Américo Paletot","Camilly Queiroz")))</x:f>
      </x:c>
      <x:c r="M45" s="36"/>
      <x:c r="N45" s="59"/>
      <x:c r="O45" s="36"/>
      <x:c r="P45" s="36"/>
    </x:row>
    <x:row r="46">
      <x:c r="A46" s="36"/>
      <x:c r="B46" s="67" t="str">
        <x:f>IF($A46="","",IFERROR(INDEX('Planejamento de Viagens'!$B$6:$B$205,MATCH($A46,'Planejamento de Viagens'!$A$6:$A$205,0)),""))</x:f>
      </x:c>
      <x:c r="C46" s="63" t="str">
        <x:f>IF($A46="","",SUMIFS('Histórico de Gastos'!$W$6:$W$205,'Histórico de Gastos'!$B$6:$B$205,$A46))</x:f>
      </x:c>
      <x:c r="D46" s="63" t="str">
        <x:f>IF($A46="","",SUMIFS('Histórico de Gastos'!$X$6:$X$205,'Histórico de Gastos'!$B$6:$B$205,$A46))</x:f>
      </x:c>
      <x:c r="E46" s="63" t="str">
        <x:f>IF($A46="","",SUMIFS('Histórico de Gastos'!$U$6:$U$205,'Histórico de Gastos'!$B$6:$B$205,$A46))</x:f>
      </x:c>
      <x:c r="F46" s="63" t="str">
        <x:f>IF($A46="","",SUMIFS('Histórico de Gastos'!$V$6:$V$205,'Histórico de Gastos'!$B$6:$B$205,$A46))</x:f>
      </x:c>
      <x:c r="G46" s="63" t="str">
        <x:f>IF($A46="","",$C46-$E46)</x:f>
      </x:c>
      <x:c r="H46" s="63" t="str">
        <x:f>IF($A46="","",$D46-$F46)</x:f>
      </x:c>
      <x:c r="I46" s="67" t="str">
        <x:f>IF($A46="","",IF(ABS($G46)&lt;0.01,"Tudo certo, ninguém deve nada",IF($G46&gt;0,"Camilly deve pagar para Pedro","Pedro deve pagar para Camilly")))</x:f>
      </x:c>
      <x:c r="J46" s="63" t="str">
        <x:f>IF($A46="","",ABS($G46))</x:f>
      </x:c>
      <x:c r="K46" s="67" t="str">
        <x:f>IF($A46="","",IF(ABS($G46)&lt;0.01,"-",IF($G46&gt;0,"Camilly Queiroz","Pedro Américo Paletot")))</x:f>
      </x:c>
      <x:c r="L46" s="67" t="str">
        <x:f>IF($A46="","",IF(ABS($G46)&lt;0.01,"-",IF($G46&gt;0,"Pedro Américo Paletot","Camilly Queiroz")))</x:f>
      </x:c>
      <x:c r="M46" s="36"/>
      <x:c r="N46" s="59"/>
      <x:c r="O46" s="36"/>
      <x:c r="P46" s="36"/>
    </x:row>
    <x:row r="47">
      <x:c r="A47" s="36"/>
      <x:c r="B47" s="67" t="str">
        <x:f>IF($A47="","",IFERROR(INDEX('Planejamento de Viagens'!$B$6:$B$205,MATCH($A47,'Planejamento de Viagens'!$A$6:$A$205,0)),""))</x:f>
      </x:c>
      <x:c r="C47" s="63" t="str">
        <x:f>IF($A47="","",SUMIFS('Histórico de Gastos'!$W$6:$W$205,'Histórico de Gastos'!$B$6:$B$205,$A47))</x:f>
      </x:c>
      <x:c r="D47" s="63" t="str">
        <x:f>IF($A47="","",SUMIFS('Histórico de Gastos'!$X$6:$X$205,'Histórico de Gastos'!$B$6:$B$205,$A47))</x:f>
      </x:c>
      <x:c r="E47" s="63" t="str">
        <x:f>IF($A47="","",SUMIFS('Histórico de Gastos'!$U$6:$U$205,'Histórico de Gastos'!$B$6:$B$205,$A47))</x:f>
      </x:c>
      <x:c r="F47" s="63" t="str">
        <x:f>IF($A47="","",SUMIFS('Histórico de Gastos'!$V$6:$V$205,'Histórico de Gastos'!$B$6:$B$205,$A47))</x:f>
      </x:c>
      <x:c r="G47" s="63" t="str">
        <x:f>IF($A47="","",$C47-$E47)</x:f>
      </x:c>
      <x:c r="H47" s="63" t="str">
        <x:f>IF($A47="","",$D47-$F47)</x:f>
      </x:c>
      <x:c r="I47" s="67" t="str">
        <x:f>IF($A47="","",IF(ABS($G47)&lt;0.01,"Tudo certo, ninguém deve nada",IF($G47&gt;0,"Camilly deve pagar para Pedro","Pedro deve pagar para Camilly")))</x:f>
      </x:c>
      <x:c r="J47" s="63" t="str">
        <x:f>IF($A47="","",ABS($G47))</x:f>
      </x:c>
      <x:c r="K47" s="67" t="str">
        <x:f>IF($A47="","",IF(ABS($G47)&lt;0.01,"-",IF($G47&gt;0,"Camilly Queiroz","Pedro Américo Paletot")))</x:f>
      </x:c>
      <x:c r="L47" s="67" t="str">
        <x:f>IF($A47="","",IF(ABS($G47)&lt;0.01,"-",IF($G47&gt;0,"Pedro Américo Paletot","Camilly Queiroz")))</x:f>
      </x:c>
      <x:c r="M47" s="36"/>
      <x:c r="N47" s="59"/>
      <x:c r="O47" s="36"/>
      <x:c r="P47" s="36"/>
    </x:row>
    <x:row r="48">
      <x:c r="A48" s="36"/>
      <x:c r="B48" s="67" t="str">
        <x:f>IF($A48="","",IFERROR(INDEX('Planejamento de Viagens'!$B$6:$B$205,MATCH($A48,'Planejamento de Viagens'!$A$6:$A$205,0)),""))</x:f>
      </x:c>
      <x:c r="C48" s="63" t="str">
        <x:f>IF($A48="","",SUMIFS('Histórico de Gastos'!$W$6:$W$205,'Histórico de Gastos'!$B$6:$B$205,$A48))</x:f>
      </x:c>
      <x:c r="D48" s="63" t="str">
        <x:f>IF($A48="","",SUMIFS('Histórico de Gastos'!$X$6:$X$205,'Histórico de Gastos'!$B$6:$B$205,$A48))</x:f>
      </x:c>
      <x:c r="E48" s="63" t="str">
        <x:f>IF($A48="","",SUMIFS('Histórico de Gastos'!$U$6:$U$205,'Histórico de Gastos'!$B$6:$B$205,$A48))</x:f>
      </x:c>
      <x:c r="F48" s="63" t="str">
        <x:f>IF($A48="","",SUMIFS('Histórico de Gastos'!$V$6:$V$205,'Histórico de Gastos'!$B$6:$B$205,$A48))</x:f>
      </x:c>
      <x:c r="G48" s="63" t="str">
        <x:f>IF($A48="","",$C48-$E48)</x:f>
      </x:c>
      <x:c r="H48" s="63" t="str">
        <x:f>IF($A48="","",$D48-$F48)</x:f>
      </x:c>
      <x:c r="I48" s="67" t="str">
        <x:f>IF($A48="","",IF(ABS($G48)&lt;0.01,"Tudo certo, ninguém deve nada",IF($G48&gt;0,"Camilly deve pagar para Pedro","Pedro deve pagar para Camilly")))</x:f>
      </x:c>
      <x:c r="J48" s="63" t="str">
        <x:f>IF($A48="","",ABS($G48))</x:f>
      </x:c>
      <x:c r="K48" s="67" t="str">
        <x:f>IF($A48="","",IF(ABS($G48)&lt;0.01,"-",IF($G48&gt;0,"Camilly Queiroz","Pedro Américo Paletot")))</x:f>
      </x:c>
      <x:c r="L48" s="67" t="str">
        <x:f>IF($A48="","",IF(ABS($G48)&lt;0.01,"-",IF($G48&gt;0,"Pedro Américo Paletot","Camilly Queiroz")))</x:f>
      </x:c>
      <x:c r="M48" s="36"/>
      <x:c r="N48" s="59"/>
      <x:c r="O48" s="36"/>
      <x:c r="P48" s="36"/>
    </x:row>
    <x:row r="49">
      <x:c r="A49" s="36"/>
      <x:c r="B49" s="67" t="str">
        <x:f>IF($A49="","",IFERROR(INDEX('Planejamento de Viagens'!$B$6:$B$205,MATCH($A49,'Planejamento de Viagens'!$A$6:$A$205,0)),""))</x:f>
      </x:c>
      <x:c r="C49" s="63" t="str">
        <x:f>IF($A49="","",SUMIFS('Histórico de Gastos'!$W$6:$W$205,'Histórico de Gastos'!$B$6:$B$205,$A49))</x:f>
      </x:c>
      <x:c r="D49" s="63" t="str">
        <x:f>IF($A49="","",SUMIFS('Histórico de Gastos'!$X$6:$X$205,'Histórico de Gastos'!$B$6:$B$205,$A49))</x:f>
      </x:c>
      <x:c r="E49" s="63" t="str">
        <x:f>IF($A49="","",SUMIFS('Histórico de Gastos'!$U$6:$U$205,'Histórico de Gastos'!$B$6:$B$205,$A49))</x:f>
      </x:c>
      <x:c r="F49" s="63" t="str">
        <x:f>IF($A49="","",SUMIFS('Histórico de Gastos'!$V$6:$V$205,'Histórico de Gastos'!$B$6:$B$205,$A49))</x:f>
      </x:c>
      <x:c r="G49" s="63" t="str">
        <x:f>IF($A49="","",$C49-$E49)</x:f>
      </x:c>
      <x:c r="H49" s="63" t="str">
        <x:f>IF($A49="","",$D49-$F49)</x:f>
      </x:c>
      <x:c r="I49" s="67" t="str">
        <x:f>IF($A49="","",IF(ABS($G49)&lt;0.01,"Tudo certo, ninguém deve nada",IF($G49&gt;0,"Camilly deve pagar para Pedro","Pedro deve pagar para Camilly")))</x:f>
      </x:c>
      <x:c r="J49" s="63" t="str">
        <x:f>IF($A49="","",ABS($G49))</x:f>
      </x:c>
      <x:c r="K49" s="67" t="str">
        <x:f>IF($A49="","",IF(ABS($G49)&lt;0.01,"-",IF($G49&gt;0,"Camilly Queiroz","Pedro Américo Paletot")))</x:f>
      </x:c>
      <x:c r="L49" s="67" t="str">
        <x:f>IF($A49="","",IF(ABS($G49)&lt;0.01,"-",IF($G49&gt;0,"Pedro Américo Paletot","Camilly Queiroz")))</x:f>
      </x:c>
      <x:c r="M49" s="36"/>
      <x:c r="N49" s="59"/>
      <x:c r="O49" s="36"/>
      <x:c r="P49" s="36"/>
    </x:row>
    <x:row r="50">
      <x:c r="A50" s="36"/>
      <x:c r="B50" s="67" t="str">
        <x:f>IF($A50="","",IFERROR(INDEX('Planejamento de Viagens'!$B$6:$B$205,MATCH($A50,'Planejamento de Viagens'!$A$6:$A$205,0)),""))</x:f>
      </x:c>
      <x:c r="C50" s="63" t="str">
        <x:f>IF($A50="","",SUMIFS('Histórico de Gastos'!$W$6:$W$205,'Histórico de Gastos'!$B$6:$B$205,$A50))</x:f>
      </x:c>
      <x:c r="D50" s="63" t="str">
        <x:f>IF($A50="","",SUMIFS('Histórico de Gastos'!$X$6:$X$205,'Histórico de Gastos'!$B$6:$B$205,$A50))</x:f>
      </x:c>
      <x:c r="E50" s="63" t="str">
        <x:f>IF($A50="","",SUMIFS('Histórico de Gastos'!$U$6:$U$205,'Histórico de Gastos'!$B$6:$B$205,$A50))</x:f>
      </x:c>
      <x:c r="F50" s="63" t="str">
        <x:f>IF($A50="","",SUMIFS('Histórico de Gastos'!$V$6:$V$205,'Histórico de Gastos'!$B$6:$B$205,$A50))</x:f>
      </x:c>
      <x:c r="G50" s="63" t="str">
        <x:f>IF($A50="","",$C50-$E50)</x:f>
      </x:c>
      <x:c r="H50" s="63" t="str">
        <x:f>IF($A50="","",$D50-$F50)</x:f>
      </x:c>
      <x:c r="I50" s="67" t="str">
        <x:f>IF($A50="","",IF(ABS($G50)&lt;0.01,"Tudo certo, ninguém deve nada",IF($G50&gt;0,"Camilly deve pagar para Pedro","Pedro deve pagar para Camilly")))</x:f>
      </x:c>
      <x:c r="J50" s="63" t="str">
        <x:f>IF($A50="","",ABS($G50))</x:f>
      </x:c>
      <x:c r="K50" s="67" t="str">
        <x:f>IF($A50="","",IF(ABS($G50)&lt;0.01,"-",IF($G50&gt;0,"Camilly Queiroz","Pedro Américo Paletot")))</x:f>
      </x:c>
      <x:c r="L50" s="67" t="str">
        <x:f>IF($A50="","",IF(ABS($G50)&lt;0.01,"-",IF($G50&gt;0,"Pedro Américo Paletot","Camilly Queiroz")))</x:f>
      </x:c>
      <x:c r="M50" s="36"/>
      <x:c r="N50" s="59"/>
      <x:c r="O50" s="36"/>
      <x:c r="P50" s="36"/>
    </x:row>
    <x:row r="51">
      <x:c r="A51" s="36"/>
      <x:c r="B51" s="67" t="str">
        <x:f>IF($A51="","",IFERROR(INDEX('Planejamento de Viagens'!$B$6:$B$205,MATCH($A51,'Planejamento de Viagens'!$A$6:$A$205,0)),""))</x:f>
      </x:c>
      <x:c r="C51" s="63" t="str">
        <x:f>IF($A51="","",SUMIFS('Histórico de Gastos'!$W$6:$W$205,'Histórico de Gastos'!$B$6:$B$205,$A51))</x:f>
      </x:c>
      <x:c r="D51" s="63" t="str">
        <x:f>IF($A51="","",SUMIFS('Histórico de Gastos'!$X$6:$X$205,'Histórico de Gastos'!$B$6:$B$205,$A51))</x:f>
      </x:c>
      <x:c r="E51" s="63" t="str">
        <x:f>IF($A51="","",SUMIFS('Histórico de Gastos'!$U$6:$U$205,'Histórico de Gastos'!$B$6:$B$205,$A51))</x:f>
      </x:c>
      <x:c r="F51" s="63" t="str">
        <x:f>IF($A51="","",SUMIFS('Histórico de Gastos'!$V$6:$V$205,'Histórico de Gastos'!$B$6:$B$205,$A51))</x:f>
      </x:c>
      <x:c r="G51" s="63" t="str">
        <x:f>IF($A51="","",$C51-$E51)</x:f>
      </x:c>
      <x:c r="H51" s="63" t="str">
        <x:f>IF($A51="","",$D51-$F51)</x:f>
      </x:c>
      <x:c r="I51" s="67" t="str">
        <x:f>IF($A51="","",IF(ABS($G51)&lt;0.01,"Tudo certo, ninguém deve nada",IF($G51&gt;0,"Camilly deve pagar para Pedro","Pedro deve pagar para Camilly")))</x:f>
      </x:c>
      <x:c r="J51" s="63" t="str">
        <x:f>IF($A51="","",ABS($G51))</x:f>
      </x:c>
      <x:c r="K51" s="67" t="str">
        <x:f>IF($A51="","",IF(ABS($G51)&lt;0.01,"-",IF($G51&gt;0,"Camilly Queiroz","Pedro Américo Paletot")))</x:f>
      </x:c>
      <x:c r="L51" s="67" t="str">
        <x:f>IF($A51="","",IF(ABS($G51)&lt;0.01,"-",IF($G51&gt;0,"Pedro Américo Paletot","Camilly Queiroz")))</x:f>
      </x:c>
      <x:c r="M51" s="36"/>
      <x:c r="N51" s="59"/>
      <x:c r="O51" s="36"/>
      <x:c r="P51" s="36"/>
    </x:row>
    <x:row r="52">
      <x:c r="A52" s="36"/>
      <x:c r="B52" s="67" t="str">
        <x:f>IF($A52="","",IFERROR(INDEX('Planejamento de Viagens'!$B$6:$B$205,MATCH($A52,'Planejamento de Viagens'!$A$6:$A$205,0)),""))</x:f>
      </x:c>
      <x:c r="C52" s="63" t="str">
        <x:f>IF($A52="","",SUMIFS('Histórico de Gastos'!$W$6:$W$205,'Histórico de Gastos'!$B$6:$B$205,$A52))</x:f>
      </x:c>
      <x:c r="D52" s="63" t="str">
        <x:f>IF($A52="","",SUMIFS('Histórico de Gastos'!$X$6:$X$205,'Histórico de Gastos'!$B$6:$B$205,$A52))</x:f>
      </x:c>
      <x:c r="E52" s="63" t="str">
        <x:f>IF($A52="","",SUMIFS('Histórico de Gastos'!$U$6:$U$205,'Histórico de Gastos'!$B$6:$B$205,$A52))</x:f>
      </x:c>
      <x:c r="F52" s="63" t="str">
        <x:f>IF($A52="","",SUMIFS('Histórico de Gastos'!$V$6:$V$205,'Histórico de Gastos'!$B$6:$B$205,$A52))</x:f>
      </x:c>
      <x:c r="G52" s="63" t="str">
        <x:f>IF($A52="","",$C52-$E52)</x:f>
      </x:c>
      <x:c r="H52" s="63" t="str">
        <x:f>IF($A52="","",$D52-$F52)</x:f>
      </x:c>
      <x:c r="I52" s="67" t="str">
        <x:f>IF($A52="","",IF(ABS($G52)&lt;0.01,"Tudo certo, ninguém deve nada",IF($G52&gt;0,"Camilly deve pagar para Pedro","Pedro deve pagar para Camilly")))</x:f>
      </x:c>
      <x:c r="J52" s="63" t="str">
        <x:f>IF($A52="","",ABS($G52))</x:f>
      </x:c>
      <x:c r="K52" s="67" t="str">
        <x:f>IF($A52="","",IF(ABS($G52)&lt;0.01,"-",IF($G52&gt;0,"Camilly Queiroz","Pedro Américo Paletot")))</x:f>
      </x:c>
      <x:c r="L52" s="67" t="str">
        <x:f>IF($A52="","",IF(ABS($G52)&lt;0.01,"-",IF($G52&gt;0,"Pedro Américo Paletot","Camilly Queiroz")))</x:f>
      </x:c>
      <x:c r="M52" s="36"/>
      <x:c r="N52" s="59"/>
      <x:c r="O52" s="36"/>
      <x:c r="P52" s="36"/>
    </x:row>
    <x:row r="53">
      <x:c r="A53" s="36"/>
      <x:c r="B53" s="67" t="str">
        <x:f>IF($A53="","",IFERROR(INDEX('Planejamento de Viagens'!$B$6:$B$205,MATCH($A53,'Planejamento de Viagens'!$A$6:$A$205,0)),""))</x:f>
      </x:c>
      <x:c r="C53" s="63" t="str">
        <x:f>IF($A53="","",SUMIFS('Histórico de Gastos'!$W$6:$W$205,'Histórico de Gastos'!$B$6:$B$205,$A53))</x:f>
      </x:c>
      <x:c r="D53" s="63" t="str">
        <x:f>IF($A53="","",SUMIFS('Histórico de Gastos'!$X$6:$X$205,'Histórico de Gastos'!$B$6:$B$205,$A53))</x:f>
      </x:c>
      <x:c r="E53" s="63" t="str">
        <x:f>IF($A53="","",SUMIFS('Histórico de Gastos'!$U$6:$U$205,'Histórico de Gastos'!$B$6:$B$205,$A53))</x:f>
      </x:c>
      <x:c r="F53" s="63" t="str">
        <x:f>IF($A53="","",SUMIFS('Histórico de Gastos'!$V$6:$V$205,'Histórico de Gastos'!$B$6:$B$205,$A53))</x:f>
      </x:c>
      <x:c r="G53" s="63" t="str">
        <x:f>IF($A53="","",$C53-$E53)</x:f>
      </x:c>
      <x:c r="H53" s="63" t="str">
        <x:f>IF($A53="","",$D53-$F53)</x:f>
      </x:c>
      <x:c r="I53" s="67" t="str">
        <x:f>IF($A53="","",IF(ABS($G53)&lt;0.01,"Tudo certo, ninguém deve nada",IF($G53&gt;0,"Camilly deve pagar para Pedro","Pedro deve pagar para Camilly")))</x:f>
      </x:c>
      <x:c r="J53" s="63" t="str">
        <x:f>IF($A53="","",ABS($G53))</x:f>
      </x:c>
      <x:c r="K53" s="67" t="str">
        <x:f>IF($A53="","",IF(ABS($G53)&lt;0.01,"-",IF($G53&gt;0,"Camilly Queiroz","Pedro Américo Paletot")))</x:f>
      </x:c>
      <x:c r="L53" s="67" t="str">
        <x:f>IF($A53="","",IF(ABS($G53)&lt;0.01,"-",IF($G53&gt;0,"Pedro Américo Paletot","Camilly Queiroz")))</x:f>
      </x:c>
      <x:c r="M53" s="36"/>
      <x:c r="N53" s="59"/>
      <x:c r="O53" s="36"/>
      <x:c r="P53" s="36"/>
    </x:row>
    <x:row r="54">
      <x:c r="A54" s="36"/>
      <x:c r="B54" s="67" t="str">
        <x:f>IF($A54="","",IFERROR(INDEX('Planejamento de Viagens'!$B$6:$B$205,MATCH($A54,'Planejamento de Viagens'!$A$6:$A$205,0)),""))</x:f>
      </x:c>
      <x:c r="C54" s="63" t="str">
        <x:f>IF($A54="","",SUMIFS('Histórico de Gastos'!$W$6:$W$205,'Histórico de Gastos'!$B$6:$B$205,$A54))</x:f>
      </x:c>
      <x:c r="D54" s="63" t="str">
        <x:f>IF($A54="","",SUMIFS('Histórico de Gastos'!$X$6:$X$205,'Histórico de Gastos'!$B$6:$B$205,$A54))</x:f>
      </x:c>
      <x:c r="E54" s="63" t="str">
        <x:f>IF($A54="","",SUMIFS('Histórico de Gastos'!$U$6:$U$205,'Histórico de Gastos'!$B$6:$B$205,$A54))</x:f>
      </x:c>
      <x:c r="F54" s="63" t="str">
        <x:f>IF($A54="","",SUMIFS('Histórico de Gastos'!$V$6:$V$205,'Histórico de Gastos'!$B$6:$B$205,$A54))</x:f>
      </x:c>
      <x:c r="G54" s="63" t="str">
        <x:f>IF($A54="","",$C54-$E54)</x:f>
      </x:c>
      <x:c r="H54" s="63" t="str">
        <x:f>IF($A54="","",$D54-$F54)</x:f>
      </x:c>
      <x:c r="I54" s="67" t="str">
        <x:f>IF($A54="","",IF(ABS($G54)&lt;0.01,"Tudo certo, ninguém deve nada",IF($G54&gt;0,"Camilly deve pagar para Pedro","Pedro deve pagar para Camilly")))</x:f>
      </x:c>
      <x:c r="J54" s="63" t="str">
        <x:f>IF($A54="","",ABS($G54))</x:f>
      </x:c>
      <x:c r="K54" s="67" t="str">
        <x:f>IF($A54="","",IF(ABS($G54)&lt;0.01,"-",IF($G54&gt;0,"Camilly Queiroz","Pedro Américo Paletot")))</x:f>
      </x:c>
      <x:c r="L54" s="67" t="str">
        <x:f>IF($A54="","",IF(ABS($G54)&lt;0.01,"-",IF($G54&gt;0,"Pedro Américo Paletot","Camilly Queiroz")))</x:f>
      </x:c>
      <x:c r="M54" s="36"/>
      <x:c r="N54" s="59"/>
      <x:c r="O54" s="36"/>
      <x:c r="P54" s="36"/>
    </x:row>
    <x:row r="55">
      <x:c r="A55" s="36"/>
      <x:c r="B55" s="67" t="str">
        <x:f>IF($A55="","",IFERROR(INDEX('Planejamento de Viagens'!$B$6:$B$205,MATCH($A55,'Planejamento de Viagens'!$A$6:$A$205,0)),""))</x:f>
      </x:c>
      <x:c r="C55" s="63" t="str">
        <x:f>IF($A55="","",SUMIFS('Histórico de Gastos'!$W$6:$W$205,'Histórico de Gastos'!$B$6:$B$205,$A55))</x:f>
      </x:c>
      <x:c r="D55" s="63" t="str">
        <x:f>IF($A55="","",SUMIFS('Histórico de Gastos'!$X$6:$X$205,'Histórico de Gastos'!$B$6:$B$205,$A55))</x:f>
      </x:c>
      <x:c r="E55" s="63" t="str">
        <x:f>IF($A55="","",SUMIFS('Histórico de Gastos'!$U$6:$U$205,'Histórico de Gastos'!$B$6:$B$205,$A55))</x:f>
      </x:c>
      <x:c r="F55" s="63" t="str">
        <x:f>IF($A55="","",SUMIFS('Histórico de Gastos'!$V$6:$V$205,'Histórico de Gastos'!$B$6:$B$205,$A55))</x:f>
      </x:c>
      <x:c r="G55" s="63" t="str">
        <x:f>IF($A55="","",$C55-$E55)</x:f>
      </x:c>
      <x:c r="H55" s="63" t="str">
        <x:f>IF($A55="","",$D55-$F55)</x:f>
      </x:c>
      <x:c r="I55" s="67" t="str">
        <x:f>IF($A55="","",IF(ABS($G55)&lt;0.01,"Tudo certo, ninguém deve nada",IF($G55&gt;0,"Camilly deve pagar para Pedro","Pedro deve pagar para Camilly")))</x:f>
      </x:c>
      <x:c r="J55" s="63" t="str">
        <x:f>IF($A55="","",ABS($G55))</x:f>
      </x:c>
      <x:c r="K55" s="67" t="str">
        <x:f>IF($A55="","",IF(ABS($G55)&lt;0.01,"-",IF($G55&gt;0,"Camilly Queiroz","Pedro Américo Paletot")))</x:f>
      </x:c>
      <x:c r="L55" s="67" t="str">
        <x:f>IF($A55="","",IF(ABS($G55)&lt;0.01,"-",IF($G55&gt;0,"Pedro Américo Paletot","Camilly Queiroz")))</x:f>
      </x:c>
      <x:c r="M55" s="36"/>
      <x:c r="N55" s="59"/>
      <x:c r="O55" s="36"/>
      <x:c r="P55" s="36"/>
    </x:row>
    <x:row r="56">
      <x:c r="A56" s="36"/>
      <x:c r="B56" s="67" t="str">
        <x:f>IF($A56="","",IFERROR(INDEX('Planejamento de Viagens'!$B$6:$B$205,MATCH($A56,'Planejamento de Viagens'!$A$6:$A$205,0)),""))</x:f>
      </x:c>
      <x:c r="C56" s="63" t="str">
        <x:f>IF($A56="","",SUMIFS('Histórico de Gastos'!$W$6:$W$205,'Histórico de Gastos'!$B$6:$B$205,$A56))</x:f>
      </x:c>
      <x:c r="D56" s="63" t="str">
        <x:f>IF($A56="","",SUMIFS('Histórico de Gastos'!$X$6:$X$205,'Histórico de Gastos'!$B$6:$B$205,$A56))</x:f>
      </x:c>
      <x:c r="E56" s="63" t="str">
        <x:f>IF($A56="","",SUMIFS('Histórico de Gastos'!$U$6:$U$205,'Histórico de Gastos'!$B$6:$B$205,$A56))</x:f>
      </x:c>
      <x:c r="F56" s="63" t="str">
        <x:f>IF($A56="","",SUMIFS('Histórico de Gastos'!$V$6:$V$205,'Histórico de Gastos'!$B$6:$B$205,$A56))</x:f>
      </x:c>
      <x:c r="G56" s="63" t="str">
        <x:f>IF($A56="","",$C56-$E56)</x:f>
      </x:c>
      <x:c r="H56" s="63" t="str">
        <x:f>IF($A56="","",$D56-$F56)</x:f>
      </x:c>
      <x:c r="I56" s="67" t="str">
        <x:f>IF($A56="","",IF(ABS($G56)&lt;0.01,"Tudo certo, ninguém deve nada",IF($G56&gt;0,"Camilly deve pagar para Pedro","Pedro deve pagar para Camilly")))</x:f>
      </x:c>
      <x:c r="J56" s="63" t="str">
        <x:f>IF($A56="","",ABS($G56))</x:f>
      </x:c>
      <x:c r="K56" s="67" t="str">
        <x:f>IF($A56="","",IF(ABS($G56)&lt;0.01,"-",IF($G56&gt;0,"Camilly Queiroz","Pedro Américo Paletot")))</x:f>
      </x:c>
      <x:c r="L56" s="67" t="str">
        <x:f>IF($A56="","",IF(ABS($G56)&lt;0.01,"-",IF($G56&gt;0,"Pedro Américo Paletot","Camilly Queiroz")))</x:f>
      </x:c>
      <x:c r="M56" s="36"/>
      <x:c r="N56" s="59"/>
      <x:c r="O56" s="36"/>
      <x:c r="P56" s="36"/>
    </x:row>
    <x:row r="57">
      <x:c r="A57" s="36"/>
      <x:c r="B57" s="67" t="str">
        <x:f>IF($A57="","",IFERROR(INDEX('Planejamento de Viagens'!$B$6:$B$205,MATCH($A57,'Planejamento de Viagens'!$A$6:$A$205,0)),""))</x:f>
      </x:c>
      <x:c r="C57" s="63" t="str">
        <x:f>IF($A57="","",SUMIFS('Histórico de Gastos'!$W$6:$W$205,'Histórico de Gastos'!$B$6:$B$205,$A57))</x:f>
      </x:c>
      <x:c r="D57" s="63" t="str">
        <x:f>IF($A57="","",SUMIFS('Histórico de Gastos'!$X$6:$X$205,'Histórico de Gastos'!$B$6:$B$205,$A57))</x:f>
      </x:c>
      <x:c r="E57" s="63" t="str">
        <x:f>IF($A57="","",SUMIFS('Histórico de Gastos'!$U$6:$U$205,'Histórico de Gastos'!$B$6:$B$205,$A57))</x:f>
      </x:c>
      <x:c r="F57" s="63" t="str">
        <x:f>IF($A57="","",SUMIFS('Histórico de Gastos'!$V$6:$V$205,'Histórico de Gastos'!$B$6:$B$205,$A57))</x:f>
      </x:c>
      <x:c r="G57" s="63" t="str">
        <x:f>IF($A57="","",$C57-$E57)</x:f>
      </x:c>
      <x:c r="H57" s="63" t="str">
        <x:f>IF($A57="","",$D57-$F57)</x:f>
      </x:c>
      <x:c r="I57" s="67" t="str">
        <x:f>IF($A57="","",IF(ABS($G57)&lt;0.01,"Tudo certo, ninguém deve nada",IF($G57&gt;0,"Camilly deve pagar para Pedro","Pedro deve pagar para Camilly")))</x:f>
      </x:c>
      <x:c r="J57" s="63" t="str">
        <x:f>IF($A57="","",ABS($G57))</x:f>
      </x:c>
      <x:c r="K57" s="67" t="str">
        <x:f>IF($A57="","",IF(ABS($G57)&lt;0.01,"-",IF($G57&gt;0,"Camilly Queiroz","Pedro Américo Paletot")))</x:f>
      </x:c>
      <x:c r="L57" s="67" t="str">
        <x:f>IF($A57="","",IF(ABS($G57)&lt;0.01,"-",IF($G57&gt;0,"Pedro Américo Paletot","Camilly Queiroz")))</x:f>
      </x:c>
      <x:c r="M57" s="36"/>
      <x:c r="N57" s="59"/>
      <x:c r="O57" s="36"/>
      <x:c r="P57" s="36"/>
    </x:row>
    <x:row r="58">
      <x:c r="A58" s="36"/>
      <x:c r="B58" s="67" t="str">
        <x:f>IF($A58="","",IFERROR(INDEX('Planejamento de Viagens'!$B$6:$B$205,MATCH($A58,'Planejamento de Viagens'!$A$6:$A$205,0)),""))</x:f>
      </x:c>
      <x:c r="C58" s="63" t="str">
        <x:f>IF($A58="","",SUMIFS('Histórico de Gastos'!$W$6:$W$205,'Histórico de Gastos'!$B$6:$B$205,$A58))</x:f>
      </x:c>
      <x:c r="D58" s="63" t="str">
        <x:f>IF($A58="","",SUMIFS('Histórico de Gastos'!$X$6:$X$205,'Histórico de Gastos'!$B$6:$B$205,$A58))</x:f>
      </x:c>
      <x:c r="E58" s="63" t="str">
        <x:f>IF($A58="","",SUMIFS('Histórico de Gastos'!$U$6:$U$205,'Histórico de Gastos'!$B$6:$B$205,$A58))</x:f>
      </x:c>
      <x:c r="F58" s="63" t="str">
        <x:f>IF($A58="","",SUMIFS('Histórico de Gastos'!$V$6:$V$205,'Histórico de Gastos'!$B$6:$B$205,$A58))</x:f>
      </x:c>
      <x:c r="G58" s="63" t="str">
        <x:f>IF($A58="","",$C58-$E58)</x:f>
      </x:c>
      <x:c r="H58" s="63" t="str">
        <x:f>IF($A58="","",$D58-$F58)</x:f>
      </x:c>
      <x:c r="I58" s="67" t="str">
        <x:f>IF($A58="","",IF(ABS($G58)&lt;0.01,"Tudo certo, ninguém deve nada",IF($G58&gt;0,"Camilly deve pagar para Pedro","Pedro deve pagar para Camilly")))</x:f>
      </x:c>
      <x:c r="J58" s="63" t="str">
        <x:f>IF($A58="","",ABS($G58))</x:f>
      </x:c>
      <x:c r="K58" s="67" t="str">
        <x:f>IF($A58="","",IF(ABS($G58)&lt;0.01,"-",IF($G58&gt;0,"Camilly Queiroz","Pedro Américo Paletot")))</x:f>
      </x:c>
      <x:c r="L58" s="67" t="str">
        <x:f>IF($A58="","",IF(ABS($G58)&lt;0.01,"-",IF($G58&gt;0,"Pedro Américo Paletot","Camilly Queiroz")))</x:f>
      </x:c>
      <x:c r="M58" s="36"/>
      <x:c r="N58" s="59"/>
      <x:c r="O58" s="36"/>
      <x:c r="P58" s="36"/>
    </x:row>
    <x:row r="59">
      <x:c r="A59" s="36"/>
      <x:c r="B59" s="67" t="str">
        <x:f>IF($A59="","",IFERROR(INDEX('Planejamento de Viagens'!$B$6:$B$205,MATCH($A59,'Planejamento de Viagens'!$A$6:$A$205,0)),""))</x:f>
      </x:c>
      <x:c r="C59" s="63" t="str">
        <x:f>IF($A59="","",SUMIFS('Histórico de Gastos'!$W$6:$W$205,'Histórico de Gastos'!$B$6:$B$205,$A59))</x:f>
      </x:c>
      <x:c r="D59" s="63" t="str">
        <x:f>IF($A59="","",SUMIFS('Histórico de Gastos'!$X$6:$X$205,'Histórico de Gastos'!$B$6:$B$205,$A59))</x:f>
      </x:c>
      <x:c r="E59" s="63" t="str">
        <x:f>IF($A59="","",SUMIFS('Histórico de Gastos'!$U$6:$U$205,'Histórico de Gastos'!$B$6:$B$205,$A59))</x:f>
      </x:c>
      <x:c r="F59" s="63" t="str">
        <x:f>IF($A59="","",SUMIFS('Histórico de Gastos'!$V$6:$V$205,'Histórico de Gastos'!$B$6:$B$205,$A59))</x:f>
      </x:c>
      <x:c r="G59" s="63" t="str">
        <x:f>IF($A59="","",$C59-$E59)</x:f>
      </x:c>
      <x:c r="H59" s="63" t="str">
        <x:f>IF($A59="","",$D59-$F59)</x:f>
      </x:c>
      <x:c r="I59" s="67" t="str">
        <x:f>IF($A59="","",IF(ABS($G59)&lt;0.01,"Tudo certo, ninguém deve nada",IF($G59&gt;0,"Camilly deve pagar para Pedro","Pedro deve pagar para Camilly")))</x:f>
      </x:c>
      <x:c r="J59" s="63" t="str">
        <x:f>IF($A59="","",ABS($G59))</x:f>
      </x:c>
      <x:c r="K59" s="67" t="str">
        <x:f>IF($A59="","",IF(ABS($G59)&lt;0.01,"-",IF($G59&gt;0,"Camilly Queiroz","Pedro Américo Paletot")))</x:f>
      </x:c>
      <x:c r="L59" s="67" t="str">
        <x:f>IF($A59="","",IF(ABS($G59)&lt;0.01,"-",IF($G59&gt;0,"Pedro Américo Paletot","Camilly Queiroz")))</x:f>
      </x:c>
      <x:c r="M59" s="36"/>
      <x:c r="N59" s="59"/>
      <x:c r="O59" s="36"/>
      <x:c r="P59" s="36"/>
    </x:row>
    <x:row r="60">
      <x:c r="A60" s="36"/>
      <x:c r="B60" s="67" t="str">
        <x:f>IF($A60="","",IFERROR(INDEX('Planejamento de Viagens'!$B$6:$B$205,MATCH($A60,'Planejamento de Viagens'!$A$6:$A$205,0)),""))</x:f>
      </x:c>
      <x:c r="C60" s="63" t="str">
        <x:f>IF($A60="","",SUMIFS('Histórico de Gastos'!$W$6:$W$205,'Histórico de Gastos'!$B$6:$B$205,$A60))</x:f>
      </x:c>
      <x:c r="D60" s="63" t="str">
        <x:f>IF($A60="","",SUMIFS('Histórico de Gastos'!$X$6:$X$205,'Histórico de Gastos'!$B$6:$B$205,$A60))</x:f>
      </x:c>
      <x:c r="E60" s="63" t="str">
        <x:f>IF($A60="","",SUMIFS('Histórico de Gastos'!$U$6:$U$205,'Histórico de Gastos'!$B$6:$B$205,$A60))</x:f>
      </x:c>
      <x:c r="F60" s="63" t="str">
        <x:f>IF($A60="","",SUMIFS('Histórico de Gastos'!$V$6:$V$205,'Histórico de Gastos'!$B$6:$B$205,$A60))</x:f>
      </x:c>
      <x:c r="G60" s="63" t="str">
        <x:f>IF($A60="","",$C60-$E60)</x:f>
      </x:c>
      <x:c r="H60" s="63" t="str">
        <x:f>IF($A60="","",$D60-$F60)</x:f>
      </x:c>
      <x:c r="I60" s="67" t="str">
        <x:f>IF($A60="","",IF(ABS($G60)&lt;0.01,"Tudo certo, ninguém deve nada",IF($G60&gt;0,"Camilly deve pagar para Pedro","Pedro deve pagar para Camilly")))</x:f>
      </x:c>
      <x:c r="J60" s="63" t="str">
        <x:f>IF($A60="","",ABS($G60))</x:f>
      </x:c>
      <x:c r="K60" s="67" t="str">
        <x:f>IF($A60="","",IF(ABS($G60)&lt;0.01,"-",IF($G60&gt;0,"Camilly Queiroz","Pedro Américo Paletot")))</x:f>
      </x:c>
      <x:c r="L60" s="67" t="str">
        <x:f>IF($A60="","",IF(ABS($G60)&lt;0.01,"-",IF($G60&gt;0,"Pedro Américo Paletot","Camilly Queiroz")))</x:f>
      </x:c>
      <x:c r="M60" s="36"/>
      <x:c r="N60" s="59"/>
      <x:c r="O60" s="36"/>
      <x:c r="P60" s="36"/>
    </x:row>
    <x:row r="61">
      <x:c r="A61" s="36"/>
      <x:c r="B61" s="67" t="str">
        <x:f>IF($A61="","",IFERROR(INDEX('Planejamento de Viagens'!$B$6:$B$205,MATCH($A61,'Planejamento de Viagens'!$A$6:$A$205,0)),""))</x:f>
      </x:c>
      <x:c r="C61" s="63" t="str">
        <x:f>IF($A61="","",SUMIFS('Histórico de Gastos'!$W$6:$W$205,'Histórico de Gastos'!$B$6:$B$205,$A61))</x:f>
      </x:c>
      <x:c r="D61" s="63" t="str">
        <x:f>IF($A61="","",SUMIFS('Histórico de Gastos'!$X$6:$X$205,'Histórico de Gastos'!$B$6:$B$205,$A61))</x:f>
      </x:c>
      <x:c r="E61" s="63" t="str">
        <x:f>IF($A61="","",SUMIFS('Histórico de Gastos'!$U$6:$U$205,'Histórico de Gastos'!$B$6:$B$205,$A61))</x:f>
      </x:c>
      <x:c r="F61" s="63" t="str">
        <x:f>IF($A61="","",SUMIFS('Histórico de Gastos'!$V$6:$V$205,'Histórico de Gastos'!$B$6:$B$205,$A61))</x:f>
      </x:c>
      <x:c r="G61" s="63" t="str">
        <x:f>IF($A61="","",$C61-$E61)</x:f>
      </x:c>
      <x:c r="H61" s="63" t="str">
        <x:f>IF($A61="","",$D61-$F61)</x:f>
      </x:c>
      <x:c r="I61" s="67" t="str">
        <x:f>IF($A61="","",IF(ABS($G61)&lt;0.01,"Tudo certo, ninguém deve nada",IF($G61&gt;0,"Camilly deve pagar para Pedro","Pedro deve pagar para Camilly")))</x:f>
      </x:c>
      <x:c r="J61" s="63" t="str">
        <x:f>IF($A61="","",ABS($G61))</x:f>
      </x:c>
      <x:c r="K61" s="67" t="str">
        <x:f>IF($A61="","",IF(ABS($G61)&lt;0.01,"-",IF($G61&gt;0,"Camilly Queiroz","Pedro Américo Paletot")))</x:f>
      </x:c>
      <x:c r="L61" s="67" t="str">
        <x:f>IF($A61="","",IF(ABS($G61)&lt;0.01,"-",IF($G61&gt;0,"Pedro Américo Paletot","Camilly Queiroz")))</x:f>
      </x:c>
      <x:c r="M61" s="36"/>
      <x:c r="N61" s="59"/>
      <x:c r="O61" s="36"/>
      <x:c r="P61" s="36"/>
    </x:row>
    <x:row r="62">
      <x:c r="A62" s="36"/>
      <x:c r="B62" s="67" t="str">
        <x:f>IF($A62="","",IFERROR(INDEX('Planejamento de Viagens'!$B$6:$B$205,MATCH($A62,'Planejamento de Viagens'!$A$6:$A$205,0)),""))</x:f>
      </x:c>
      <x:c r="C62" s="63" t="str">
        <x:f>IF($A62="","",SUMIFS('Histórico de Gastos'!$W$6:$W$205,'Histórico de Gastos'!$B$6:$B$205,$A62))</x:f>
      </x:c>
      <x:c r="D62" s="63" t="str">
        <x:f>IF($A62="","",SUMIFS('Histórico de Gastos'!$X$6:$X$205,'Histórico de Gastos'!$B$6:$B$205,$A62))</x:f>
      </x:c>
      <x:c r="E62" s="63" t="str">
        <x:f>IF($A62="","",SUMIFS('Histórico de Gastos'!$U$6:$U$205,'Histórico de Gastos'!$B$6:$B$205,$A62))</x:f>
      </x:c>
      <x:c r="F62" s="63" t="str">
        <x:f>IF($A62="","",SUMIFS('Histórico de Gastos'!$V$6:$V$205,'Histórico de Gastos'!$B$6:$B$205,$A62))</x:f>
      </x:c>
      <x:c r="G62" s="63" t="str">
        <x:f>IF($A62="","",$C62-$E62)</x:f>
      </x:c>
      <x:c r="H62" s="63" t="str">
        <x:f>IF($A62="","",$D62-$F62)</x:f>
      </x:c>
      <x:c r="I62" s="67" t="str">
        <x:f>IF($A62="","",IF(ABS($G62)&lt;0.01,"Tudo certo, ninguém deve nada",IF($G62&gt;0,"Camilly deve pagar para Pedro","Pedro deve pagar para Camilly")))</x:f>
      </x:c>
      <x:c r="J62" s="63" t="str">
        <x:f>IF($A62="","",ABS($G62))</x:f>
      </x:c>
      <x:c r="K62" s="67" t="str">
        <x:f>IF($A62="","",IF(ABS($G62)&lt;0.01,"-",IF($G62&gt;0,"Camilly Queiroz","Pedro Américo Paletot")))</x:f>
      </x:c>
      <x:c r="L62" s="67" t="str">
        <x:f>IF($A62="","",IF(ABS($G62)&lt;0.01,"-",IF($G62&gt;0,"Pedro Américo Paletot","Camilly Queiroz")))</x:f>
      </x:c>
      <x:c r="M62" s="36"/>
      <x:c r="N62" s="59"/>
      <x:c r="O62" s="36"/>
      <x:c r="P62" s="36"/>
    </x:row>
    <x:row r="63">
      <x:c r="A63" s="36"/>
      <x:c r="B63" s="67" t="str">
        <x:f>IF($A63="","",IFERROR(INDEX('Planejamento de Viagens'!$B$6:$B$205,MATCH($A63,'Planejamento de Viagens'!$A$6:$A$205,0)),""))</x:f>
      </x:c>
      <x:c r="C63" s="63" t="str">
        <x:f>IF($A63="","",SUMIFS('Histórico de Gastos'!$W$6:$W$205,'Histórico de Gastos'!$B$6:$B$205,$A63))</x:f>
      </x:c>
      <x:c r="D63" s="63" t="str">
        <x:f>IF($A63="","",SUMIFS('Histórico de Gastos'!$X$6:$X$205,'Histórico de Gastos'!$B$6:$B$205,$A63))</x:f>
      </x:c>
      <x:c r="E63" s="63" t="str">
        <x:f>IF($A63="","",SUMIFS('Histórico de Gastos'!$U$6:$U$205,'Histórico de Gastos'!$B$6:$B$205,$A63))</x:f>
      </x:c>
      <x:c r="F63" s="63" t="str">
        <x:f>IF($A63="","",SUMIFS('Histórico de Gastos'!$V$6:$V$205,'Histórico de Gastos'!$B$6:$B$205,$A63))</x:f>
      </x:c>
      <x:c r="G63" s="63" t="str">
        <x:f>IF($A63="","",$C63-$E63)</x:f>
      </x:c>
      <x:c r="H63" s="63" t="str">
        <x:f>IF($A63="","",$D63-$F63)</x:f>
      </x:c>
      <x:c r="I63" s="67" t="str">
        <x:f>IF($A63="","",IF(ABS($G63)&lt;0.01,"Tudo certo, ninguém deve nada",IF($G63&gt;0,"Camilly deve pagar para Pedro","Pedro deve pagar para Camilly")))</x:f>
      </x:c>
      <x:c r="J63" s="63" t="str">
        <x:f>IF($A63="","",ABS($G63))</x:f>
      </x:c>
      <x:c r="K63" s="67" t="str">
        <x:f>IF($A63="","",IF(ABS($G63)&lt;0.01,"-",IF($G63&gt;0,"Camilly Queiroz","Pedro Américo Paletot")))</x:f>
      </x:c>
      <x:c r="L63" s="67" t="str">
        <x:f>IF($A63="","",IF(ABS($G63)&lt;0.01,"-",IF($G63&gt;0,"Pedro Américo Paletot","Camilly Queiroz")))</x:f>
      </x:c>
      <x:c r="M63" s="36"/>
      <x:c r="N63" s="59"/>
      <x:c r="O63" s="36"/>
      <x:c r="P63" s="36"/>
    </x:row>
    <x:row r="64">
      <x:c r="A64" s="36"/>
      <x:c r="B64" s="67" t="str">
        <x:f>IF($A64="","",IFERROR(INDEX('Planejamento de Viagens'!$B$6:$B$205,MATCH($A64,'Planejamento de Viagens'!$A$6:$A$205,0)),""))</x:f>
      </x:c>
      <x:c r="C64" s="63" t="str">
        <x:f>IF($A64="","",SUMIFS('Histórico de Gastos'!$W$6:$W$205,'Histórico de Gastos'!$B$6:$B$205,$A64))</x:f>
      </x:c>
      <x:c r="D64" s="63" t="str">
        <x:f>IF($A64="","",SUMIFS('Histórico de Gastos'!$X$6:$X$205,'Histórico de Gastos'!$B$6:$B$205,$A64))</x:f>
      </x:c>
      <x:c r="E64" s="63" t="str">
        <x:f>IF($A64="","",SUMIFS('Histórico de Gastos'!$U$6:$U$205,'Histórico de Gastos'!$B$6:$B$205,$A64))</x:f>
      </x:c>
      <x:c r="F64" s="63" t="str">
        <x:f>IF($A64="","",SUMIFS('Histórico de Gastos'!$V$6:$V$205,'Histórico de Gastos'!$B$6:$B$205,$A64))</x:f>
      </x:c>
      <x:c r="G64" s="63" t="str">
        <x:f>IF($A64="","",$C64-$E64)</x:f>
      </x:c>
      <x:c r="H64" s="63" t="str">
        <x:f>IF($A64="","",$D64-$F64)</x:f>
      </x:c>
      <x:c r="I64" s="67" t="str">
        <x:f>IF($A64="","",IF(ABS($G64)&lt;0.01,"Tudo certo, ninguém deve nada",IF($G64&gt;0,"Camilly deve pagar para Pedro","Pedro deve pagar para Camilly")))</x:f>
      </x:c>
      <x:c r="J64" s="63" t="str">
        <x:f>IF($A64="","",ABS($G64))</x:f>
      </x:c>
      <x:c r="K64" s="67" t="str">
        <x:f>IF($A64="","",IF(ABS($G64)&lt;0.01,"-",IF($G64&gt;0,"Camilly Queiroz","Pedro Américo Paletot")))</x:f>
      </x:c>
      <x:c r="L64" s="67" t="str">
        <x:f>IF($A64="","",IF(ABS($G64)&lt;0.01,"-",IF($G64&gt;0,"Pedro Américo Paletot","Camilly Queiroz")))</x:f>
      </x:c>
      <x:c r="M64" s="36"/>
      <x:c r="N64" s="59"/>
      <x:c r="O64" s="36"/>
      <x:c r="P64" s="36"/>
    </x:row>
    <x:row r="65">
      <x:c r="A65" s="36"/>
      <x:c r="B65" s="67" t="str">
        <x:f>IF($A65="","",IFERROR(INDEX('Planejamento de Viagens'!$B$6:$B$205,MATCH($A65,'Planejamento de Viagens'!$A$6:$A$205,0)),""))</x:f>
      </x:c>
      <x:c r="C65" s="63" t="str">
        <x:f>IF($A65="","",SUMIFS('Histórico de Gastos'!$W$6:$W$205,'Histórico de Gastos'!$B$6:$B$205,$A65))</x:f>
      </x:c>
      <x:c r="D65" s="63" t="str">
        <x:f>IF($A65="","",SUMIFS('Histórico de Gastos'!$X$6:$X$205,'Histórico de Gastos'!$B$6:$B$205,$A65))</x:f>
      </x:c>
      <x:c r="E65" s="63" t="str">
        <x:f>IF($A65="","",SUMIFS('Histórico de Gastos'!$U$6:$U$205,'Histórico de Gastos'!$B$6:$B$205,$A65))</x:f>
      </x:c>
      <x:c r="F65" s="63" t="str">
        <x:f>IF($A65="","",SUMIFS('Histórico de Gastos'!$V$6:$V$205,'Histórico de Gastos'!$B$6:$B$205,$A65))</x:f>
      </x:c>
      <x:c r="G65" s="63" t="str">
        <x:f>IF($A65="","",$C65-$E65)</x:f>
      </x:c>
      <x:c r="H65" s="63" t="str">
        <x:f>IF($A65="","",$D65-$F65)</x:f>
      </x:c>
      <x:c r="I65" s="67" t="str">
        <x:f>IF($A65="","",IF(ABS($G65)&lt;0.01,"Tudo certo, ninguém deve nada",IF($G65&gt;0,"Camilly deve pagar para Pedro","Pedro deve pagar para Camilly")))</x:f>
      </x:c>
      <x:c r="J65" s="63" t="str">
        <x:f>IF($A65="","",ABS($G65))</x:f>
      </x:c>
      <x:c r="K65" s="67" t="str">
        <x:f>IF($A65="","",IF(ABS($G65)&lt;0.01,"-",IF($G65&gt;0,"Camilly Queiroz","Pedro Américo Paletot")))</x:f>
      </x:c>
      <x:c r="L65" s="67" t="str">
        <x:f>IF($A65="","",IF(ABS($G65)&lt;0.01,"-",IF($G65&gt;0,"Pedro Américo Paletot","Camilly Queiroz")))</x:f>
      </x:c>
      <x:c r="M65" s="36"/>
      <x:c r="N65" s="59"/>
      <x:c r="O65" s="36"/>
      <x:c r="P65" s="36"/>
    </x:row>
    <x:row r="66">
      <x:c r="A66" s="36"/>
      <x:c r="B66" s="67" t="str">
        <x:f>IF($A66="","",IFERROR(INDEX('Planejamento de Viagens'!$B$6:$B$205,MATCH($A66,'Planejamento de Viagens'!$A$6:$A$205,0)),""))</x:f>
      </x:c>
      <x:c r="C66" s="63" t="str">
        <x:f>IF($A66="","",SUMIFS('Histórico de Gastos'!$W$6:$W$205,'Histórico de Gastos'!$B$6:$B$205,$A66))</x:f>
      </x:c>
      <x:c r="D66" s="63" t="str">
        <x:f>IF($A66="","",SUMIFS('Histórico de Gastos'!$X$6:$X$205,'Histórico de Gastos'!$B$6:$B$205,$A66))</x:f>
      </x:c>
      <x:c r="E66" s="63" t="str">
        <x:f>IF($A66="","",SUMIFS('Histórico de Gastos'!$U$6:$U$205,'Histórico de Gastos'!$B$6:$B$205,$A66))</x:f>
      </x:c>
      <x:c r="F66" s="63" t="str">
        <x:f>IF($A66="","",SUMIFS('Histórico de Gastos'!$V$6:$V$205,'Histórico de Gastos'!$B$6:$B$205,$A66))</x:f>
      </x:c>
      <x:c r="G66" s="63" t="str">
        <x:f>IF($A66="","",$C66-$E66)</x:f>
      </x:c>
      <x:c r="H66" s="63" t="str">
        <x:f>IF($A66="","",$D66-$F66)</x:f>
      </x:c>
      <x:c r="I66" s="67" t="str">
        <x:f>IF($A66="","",IF(ABS($G66)&lt;0.01,"Tudo certo, ninguém deve nada",IF($G66&gt;0,"Camilly deve pagar para Pedro","Pedro deve pagar para Camilly")))</x:f>
      </x:c>
      <x:c r="J66" s="63" t="str">
        <x:f>IF($A66="","",ABS($G66))</x:f>
      </x:c>
      <x:c r="K66" s="67" t="str">
        <x:f>IF($A66="","",IF(ABS($G66)&lt;0.01,"-",IF($G66&gt;0,"Camilly Queiroz","Pedro Américo Paletot")))</x:f>
      </x:c>
      <x:c r="L66" s="67" t="str">
        <x:f>IF($A66="","",IF(ABS($G66)&lt;0.01,"-",IF($G66&gt;0,"Pedro Américo Paletot","Camilly Queiroz")))</x:f>
      </x:c>
      <x:c r="M66" s="36"/>
      <x:c r="N66" s="59"/>
      <x:c r="O66" s="36"/>
      <x:c r="P66" s="36"/>
    </x:row>
    <x:row r="67">
      <x:c r="A67" s="36"/>
      <x:c r="B67" s="67" t="str">
        <x:f>IF($A67="","",IFERROR(INDEX('Planejamento de Viagens'!$B$6:$B$205,MATCH($A67,'Planejamento de Viagens'!$A$6:$A$205,0)),""))</x:f>
      </x:c>
      <x:c r="C67" s="63" t="str">
        <x:f>IF($A67="","",SUMIFS('Histórico de Gastos'!$W$6:$W$205,'Histórico de Gastos'!$B$6:$B$205,$A67))</x:f>
      </x:c>
      <x:c r="D67" s="63" t="str">
        <x:f>IF($A67="","",SUMIFS('Histórico de Gastos'!$X$6:$X$205,'Histórico de Gastos'!$B$6:$B$205,$A67))</x:f>
      </x:c>
      <x:c r="E67" s="63" t="str">
        <x:f>IF($A67="","",SUMIFS('Histórico de Gastos'!$U$6:$U$205,'Histórico de Gastos'!$B$6:$B$205,$A67))</x:f>
      </x:c>
      <x:c r="F67" s="63" t="str">
        <x:f>IF($A67="","",SUMIFS('Histórico de Gastos'!$V$6:$V$205,'Histórico de Gastos'!$B$6:$B$205,$A67))</x:f>
      </x:c>
      <x:c r="G67" s="63" t="str">
        <x:f>IF($A67="","",$C67-$E67)</x:f>
      </x:c>
      <x:c r="H67" s="63" t="str">
        <x:f>IF($A67="","",$D67-$F67)</x:f>
      </x:c>
      <x:c r="I67" s="67" t="str">
        <x:f>IF($A67="","",IF(ABS($G67)&lt;0.01,"Tudo certo, ninguém deve nada",IF($G67&gt;0,"Camilly deve pagar para Pedro","Pedro deve pagar para Camilly")))</x:f>
      </x:c>
      <x:c r="J67" s="63" t="str">
        <x:f>IF($A67="","",ABS($G67))</x:f>
      </x:c>
      <x:c r="K67" s="67" t="str">
        <x:f>IF($A67="","",IF(ABS($G67)&lt;0.01,"-",IF($G67&gt;0,"Camilly Queiroz","Pedro Américo Paletot")))</x:f>
      </x:c>
      <x:c r="L67" s="67" t="str">
        <x:f>IF($A67="","",IF(ABS($G67)&lt;0.01,"-",IF($G67&gt;0,"Pedro Américo Paletot","Camilly Queiroz")))</x:f>
      </x:c>
      <x:c r="M67" s="36"/>
      <x:c r="N67" s="59"/>
      <x:c r="O67" s="36"/>
      <x:c r="P67" s="36"/>
    </x:row>
    <x:row r="68">
      <x:c r="A68" s="36"/>
      <x:c r="B68" s="67" t="str">
        <x:f>IF($A68="","",IFERROR(INDEX('Planejamento de Viagens'!$B$6:$B$205,MATCH($A68,'Planejamento de Viagens'!$A$6:$A$205,0)),""))</x:f>
      </x:c>
      <x:c r="C68" s="63" t="str">
        <x:f>IF($A68="","",SUMIFS('Histórico de Gastos'!$W$6:$W$205,'Histórico de Gastos'!$B$6:$B$205,$A68))</x:f>
      </x:c>
      <x:c r="D68" s="63" t="str">
        <x:f>IF($A68="","",SUMIFS('Histórico de Gastos'!$X$6:$X$205,'Histórico de Gastos'!$B$6:$B$205,$A68))</x:f>
      </x:c>
      <x:c r="E68" s="63" t="str">
        <x:f>IF($A68="","",SUMIFS('Histórico de Gastos'!$U$6:$U$205,'Histórico de Gastos'!$B$6:$B$205,$A68))</x:f>
      </x:c>
      <x:c r="F68" s="63" t="str">
        <x:f>IF($A68="","",SUMIFS('Histórico de Gastos'!$V$6:$V$205,'Histórico de Gastos'!$B$6:$B$205,$A68))</x:f>
      </x:c>
      <x:c r="G68" s="63" t="str">
        <x:f>IF($A68="","",$C68-$E68)</x:f>
      </x:c>
      <x:c r="H68" s="63" t="str">
        <x:f>IF($A68="","",$D68-$F68)</x:f>
      </x:c>
      <x:c r="I68" s="67" t="str">
        <x:f>IF($A68="","",IF(ABS($G68)&lt;0.01,"Tudo certo, ninguém deve nada",IF($G68&gt;0,"Camilly deve pagar para Pedro","Pedro deve pagar para Camilly")))</x:f>
      </x:c>
      <x:c r="J68" s="63" t="str">
        <x:f>IF($A68="","",ABS($G68))</x:f>
      </x:c>
      <x:c r="K68" s="67" t="str">
        <x:f>IF($A68="","",IF(ABS($G68)&lt;0.01,"-",IF($G68&gt;0,"Camilly Queiroz","Pedro Américo Paletot")))</x:f>
      </x:c>
      <x:c r="L68" s="67" t="str">
        <x:f>IF($A68="","",IF(ABS($G68)&lt;0.01,"-",IF($G68&gt;0,"Pedro Américo Paletot","Camilly Queiroz")))</x:f>
      </x:c>
      <x:c r="M68" s="36"/>
      <x:c r="N68" s="59"/>
      <x:c r="O68" s="36"/>
      <x:c r="P68" s="36"/>
    </x:row>
    <x:row r="69">
      <x:c r="A69" s="36"/>
      <x:c r="B69" s="67" t="str">
        <x:f>IF($A69="","",IFERROR(INDEX('Planejamento de Viagens'!$B$6:$B$205,MATCH($A69,'Planejamento de Viagens'!$A$6:$A$205,0)),""))</x:f>
      </x:c>
      <x:c r="C69" s="63" t="str">
        <x:f>IF($A69="","",SUMIFS('Histórico de Gastos'!$W$6:$W$205,'Histórico de Gastos'!$B$6:$B$205,$A69))</x:f>
      </x:c>
      <x:c r="D69" s="63" t="str">
        <x:f>IF($A69="","",SUMIFS('Histórico de Gastos'!$X$6:$X$205,'Histórico de Gastos'!$B$6:$B$205,$A69))</x:f>
      </x:c>
      <x:c r="E69" s="63" t="str">
        <x:f>IF($A69="","",SUMIFS('Histórico de Gastos'!$U$6:$U$205,'Histórico de Gastos'!$B$6:$B$205,$A69))</x:f>
      </x:c>
      <x:c r="F69" s="63" t="str">
        <x:f>IF($A69="","",SUMIFS('Histórico de Gastos'!$V$6:$V$205,'Histórico de Gastos'!$B$6:$B$205,$A69))</x:f>
      </x:c>
      <x:c r="G69" s="63" t="str">
        <x:f>IF($A69="","",$C69-$E69)</x:f>
      </x:c>
      <x:c r="H69" s="63" t="str">
        <x:f>IF($A69="","",$D69-$F69)</x:f>
      </x:c>
      <x:c r="I69" s="67" t="str">
        <x:f>IF($A69="","",IF(ABS($G69)&lt;0.01,"Tudo certo, ninguém deve nada",IF($G69&gt;0,"Camilly deve pagar para Pedro","Pedro deve pagar para Camilly")))</x:f>
      </x:c>
      <x:c r="J69" s="63" t="str">
        <x:f>IF($A69="","",ABS($G69))</x:f>
      </x:c>
      <x:c r="K69" s="67" t="str">
        <x:f>IF($A69="","",IF(ABS($G69)&lt;0.01,"-",IF($G69&gt;0,"Camilly Queiroz","Pedro Américo Paletot")))</x:f>
      </x:c>
      <x:c r="L69" s="67" t="str">
        <x:f>IF($A69="","",IF(ABS($G69)&lt;0.01,"-",IF($G69&gt;0,"Pedro Américo Paletot","Camilly Queiroz")))</x:f>
      </x:c>
      <x:c r="M69" s="36"/>
      <x:c r="N69" s="59"/>
      <x:c r="O69" s="36"/>
      <x:c r="P69" s="36"/>
    </x:row>
    <x:row r="70">
      <x:c r="A70" s="36"/>
      <x:c r="B70" s="67" t="str">
        <x:f>IF($A70="","",IFERROR(INDEX('Planejamento de Viagens'!$B$6:$B$205,MATCH($A70,'Planejamento de Viagens'!$A$6:$A$205,0)),""))</x:f>
      </x:c>
      <x:c r="C70" s="63" t="str">
        <x:f>IF($A70="","",SUMIFS('Histórico de Gastos'!$W$6:$W$205,'Histórico de Gastos'!$B$6:$B$205,$A70))</x:f>
      </x:c>
      <x:c r="D70" s="63" t="str">
        <x:f>IF($A70="","",SUMIFS('Histórico de Gastos'!$X$6:$X$205,'Histórico de Gastos'!$B$6:$B$205,$A70))</x:f>
      </x:c>
      <x:c r="E70" s="63" t="str">
        <x:f>IF($A70="","",SUMIFS('Histórico de Gastos'!$U$6:$U$205,'Histórico de Gastos'!$B$6:$B$205,$A70))</x:f>
      </x:c>
      <x:c r="F70" s="63" t="str">
        <x:f>IF($A70="","",SUMIFS('Histórico de Gastos'!$V$6:$V$205,'Histórico de Gastos'!$B$6:$B$205,$A70))</x:f>
      </x:c>
      <x:c r="G70" s="63" t="str">
        <x:f>IF($A70="","",$C70-$E70)</x:f>
      </x:c>
      <x:c r="H70" s="63" t="str">
        <x:f>IF($A70="","",$D70-$F70)</x:f>
      </x:c>
      <x:c r="I70" s="67" t="str">
        <x:f>IF($A70="","",IF(ABS($G70)&lt;0.01,"Tudo certo, ninguém deve nada",IF($G70&gt;0,"Camilly deve pagar para Pedro","Pedro deve pagar para Camilly")))</x:f>
      </x:c>
      <x:c r="J70" s="63" t="str">
        <x:f>IF($A70="","",ABS($G70))</x:f>
      </x:c>
      <x:c r="K70" s="67" t="str">
        <x:f>IF($A70="","",IF(ABS($G70)&lt;0.01,"-",IF($G70&gt;0,"Camilly Queiroz","Pedro Américo Paletot")))</x:f>
      </x:c>
      <x:c r="L70" s="67" t="str">
        <x:f>IF($A70="","",IF(ABS($G70)&lt;0.01,"-",IF($G70&gt;0,"Pedro Américo Paletot","Camilly Queiroz")))</x:f>
      </x:c>
      <x:c r="M70" s="36"/>
      <x:c r="N70" s="59"/>
      <x:c r="O70" s="36"/>
      <x:c r="P70" s="36"/>
    </x:row>
    <x:row r="71">
      <x:c r="A71" s="36"/>
      <x:c r="B71" s="67" t="str">
        <x:f>IF($A71="","",IFERROR(INDEX('Planejamento de Viagens'!$B$6:$B$205,MATCH($A71,'Planejamento de Viagens'!$A$6:$A$205,0)),""))</x:f>
      </x:c>
      <x:c r="C71" s="63" t="str">
        <x:f>IF($A71="","",SUMIFS('Histórico de Gastos'!$W$6:$W$205,'Histórico de Gastos'!$B$6:$B$205,$A71))</x:f>
      </x:c>
      <x:c r="D71" s="63" t="str">
        <x:f>IF($A71="","",SUMIFS('Histórico de Gastos'!$X$6:$X$205,'Histórico de Gastos'!$B$6:$B$205,$A71))</x:f>
      </x:c>
      <x:c r="E71" s="63" t="str">
        <x:f>IF($A71="","",SUMIFS('Histórico de Gastos'!$U$6:$U$205,'Histórico de Gastos'!$B$6:$B$205,$A71))</x:f>
      </x:c>
      <x:c r="F71" s="63" t="str">
        <x:f>IF($A71="","",SUMIFS('Histórico de Gastos'!$V$6:$V$205,'Histórico de Gastos'!$B$6:$B$205,$A71))</x:f>
      </x:c>
      <x:c r="G71" s="63" t="str">
        <x:f>IF($A71="","",$C71-$E71)</x:f>
      </x:c>
      <x:c r="H71" s="63" t="str">
        <x:f>IF($A71="","",$D71-$F71)</x:f>
      </x:c>
      <x:c r="I71" s="67" t="str">
        <x:f>IF($A71="","",IF(ABS($G71)&lt;0.01,"Tudo certo, ninguém deve nada",IF($G71&gt;0,"Camilly deve pagar para Pedro","Pedro deve pagar para Camilly")))</x:f>
      </x:c>
      <x:c r="J71" s="63" t="str">
        <x:f>IF($A71="","",ABS($G71))</x:f>
      </x:c>
      <x:c r="K71" s="67" t="str">
        <x:f>IF($A71="","",IF(ABS($G71)&lt;0.01,"-",IF($G71&gt;0,"Camilly Queiroz","Pedro Américo Paletot")))</x:f>
      </x:c>
      <x:c r="L71" s="67" t="str">
        <x:f>IF($A71="","",IF(ABS($G71)&lt;0.01,"-",IF($G71&gt;0,"Pedro Américo Paletot","Camilly Queiroz")))</x:f>
      </x:c>
      <x:c r="M71" s="36"/>
      <x:c r="N71" s="59"/>
      <x:c r="O71" s="36"/>
      <x:c r="P71" s="36"/>
    </x:row>
    <x:row r="72">
      <x:c r="A72" s="36"/>
      <x:c r="B72" s="67" t="str">
        <x:f>IF($A72="","",IFERROR(INDEX('Planejamento de Viagens'!$B$6:$B$205,MATCH($A72,'Planejamento de Viagens'!$A$6:$A$205,0)),""))</x:f>
      </x:c>
      <x:c r="C72" s="63" t="str">
        <x:f>IF($A72="","",SUMIFS('Histórico de Gastos'!$W$6:$W$205,'Histórico de Gastos'!$B$6:$B$205,$A72))</x:f>
      </x:c>
      <x:c r="D72" s="63" t="str">
        <x:f>IF($A72="","",SUMIFS('Histórico de Gastos'!$X$6:$X$205,'Histórico de Gastos'!$B$6:$B$205,$A72))</x:f>
      </x:c>
      <x:c r="E72" s="63" t="str">
        <x:f>IF($A72="","",SUMIFS('Histórico de Gastos'!$U$6:$U$205,'Histórico de Gastos'!$B$6:$B$205,$A72))</x:f>
      </x:c>
      <x:c r="F72" s="63" t="str">
        <x:f>IF($A72="","",SUMIFS('Histórico de Gastos'!$V$6:$V$205,'Histórico de Gastos'!$B$6:$B$205,$A72))</x:f>
      </x:c>
      <x:c r="G72" s="63" t="str">
        <x:f>IF($A72="","",$C72-$E72)</x:f>
      </x:c>
      <x:c r="H72" s="63" t="str">
        <x:f>IF($A72="","",$D72-$F72)</x:f>
      </x:c>
      <x:c r="I72" s="67" t="str">
        <x:f>IF($A72="","",IF(ABS($G72)&lt;0.01,"Tudo certo, ninguém deve nada",IF($G72&gt;0,"Camilly deve pagar para Pedro","Pedro deve pagar para Camilly")))</x:f>
      </x:c>
      <x:c r="J72" s="63" t="str">
        <x:f>IF($A72="","",ABS($G72))</x:f>
      </x:c>
      <x:c r="K72" s="67" t="str">
        <x:f>IF($A72="","",IF(ABS($G72)&lt;0.01,"-",IF($G72&gt;0,"Camilly Queiroz","Pedro Américo Paletot")))</x:f>
      </x:c>
      <x:c r="L72" s="67" t="str">
        <x:f>IF($A72="","",IF(ABS($G72)&lt;0.01,"-",IF($G72&gt;0,"Pedro Américo Paletot","Camilly Queiroz")))</x:f>
      </x:c>
      <x:c r="M72" s="36"/>
      <x:c r="N72" s="59"/>
      <x:c r="O72" s="36"/>
      <x:c r="P72" s="36"/>
    </x:row>
    <x:row r="73">
      <x:c r="A73" s="36"/>
      <x:c r="B73" s="67" t="str">
        <x:f>IF($A73="","",IFERROR(INDEX('Planejamento de Viagens'!$B$6:$B$205,MATCH($A73,'Planejamento de Viagens'!$A$6:$A$205,0)),""))</x:f>
      </x:c>
      <x:c r="C73" s="63" t="str">
        <x:f>IF($A73="","",SUMIFS('Histórico de Gastos'!$W$6:$W$205,'Histórico de Gastos'!$B$6:$B$205,$A73))</x:f>
      </x:c>
      <x:c r="D73" s="63" t="str">
        <x:f>IF($A73="","",SUMIFS('Histórico de Gastos'!$X$6:$X$205,'Histórico de Gastos'!$B$6:$B$205,$A73))</x:f>
      </x:c>
      <x:c r="E73" s="63" t="str">
        <x:f>IF($A73="","",SUMIFS('Histórico de Gastos'!$U$6:$U$205,'Histórico de Gastos'!$B$6:$B$205,$A73))</x:f>
      </x:c>
      <x:c r="F73" s="63" t="str">
        <x:f>IF($A73="","",SUMIFS('Histórico de Gastos'!$V$6:$V$205,'Histórico de Gastos'!$B$6:$B$205,$A73))</x:f>
      </x:c>
      <x:c r="G73" s="63" t="str">
        <x:f>IF($A73="","",$C73-$E73)</x:f>
      </x:c>
      <x:c r="H73" s="63" t="str">
        <x:f>IF($A73="","",$D73-$F73)</x:f>
      </x:c>
      <x:c r="I73" s="67" t="str">
        <x:f>IF($A73="","",IF(ABS($G73)&lt;0.01,"Tudo certo, ninguém deve nada",IF($G73&gt;0,"Camilly deve pagar para Pedro","Pedro deve pagar para Camilly")))</x:f>
      </x:c>
      <x:c r="J73" s="63" t="str">
        <x:f>IF($A73="","",ABS($G73))</x:f>
      </x:c>
      <x:c r="K73" s="67" t="str">
        <x:f>IF($A73="","",IF(ABS($G73)&lt;0.01,"-",IF($G73&gt;0,"Camilly Queiroz","Pedro Américo Paletot")))</x:f>
      </x:c>
      <x:c r="L73" s="67" t="str">
        <x:f>IF($A73="","",IF(ABS($G73)&lt;0.01,"-",IF($G73&gt;0,"Pedro Américo Paletot","Camilly Queiroz")))</x:f>
      </x:c>
      <x:c r="M73" s="36"/>
      <x:c r="N73" s="59"/>
      <x:c r="O73" s="36"/>
      <x:c r="P73" s="36"/>
    </x:row>
    <x:row r="74">
      <x:c r="A74" s="36"/>
      <x:c r="B74" s="67" t="str">
        <x:f>IF($A74="","",IFERROR(INDEX('Planejamento de Viagens'!$B$6:$B$205,MATCH($A74,'Planejamento de Viagens'!$A$6:$A$205,0)),""))</x:f>
      </x:c>
      <x:c r="C74" s="63" t="str">
        <x:f>IF($A74="","",SUMIFS('Histórico de Gastos'!$W$6:$W$205,'Histórico de Gastos'!$B$6:$B$205,$A74))</x:f>
      </x:c>
      <x:c r="D74" s="63" t="str">
        <x:f>IF($A74="","",SUMIFS('Histórico de Gastos'!$X$6:$X$205,'Histórico de Gastos'!$B$6:$B$205,$A74))</x:f>
      </x:c>
      <x:c r="E74" s="63" t="str">
        <x:f>IF($A74="","",SUMIFS('Histórico de Gastos'!$U$6:$U$205,'Histórico de Gastos'!$B$6:$B$205,$A74))</x:f>
      </x:c>
      <x:c r="F74" s="63" t="str">
        <x:f>IF($A74="","",SUMIFS('Histórico de Gastos'!$V$6:$V$205,'Histórico de Gastos'!$B$6:$B$205,$A74))</x:f>
      </x:c>
      <x:c r="G74" s="63" t="str">
        <x:f>IF($A74="","",$C74-$E74)</x:f>
      </x:c>
      <x:c r="H74" s="63" t="str">
        <x:f>IF($A74="","",$D74-$F74)</x:f>
      </x:c>
      <x:c r="I74" s="67" t="str">
        <x:f>IF($A74="","",IF(ABS($G74)&lt;0.01,"Tudo certo, ninguém deve nada",IF($G74&gt;0,"Camilly deve pagar para Pedro","Pedro deve pagar para Camilly")))</x:f>
      </x:c>
      <x:c r="J74" s="63" t="str">
        <x:f>IF($A74="","",ABS($G74))</x:f>
      </x:c>
      <x:c r="K74" s="67" t="str">
        <x:f>IF($A74="","",IF(ABS($G74)&lt;0.01,"-",IF($G74&gt;0,"Camilly Queiroz","Pedro Américo Paletot")))</x:f>
      </x:c>
      <x:c r="L74" s="67" t="str">
        <x:f>IF($A74="","",IF(ABS($G74)&lt;0.01,"-",IF($G74&gt;0,"Pedro Américo Paletot","Camilly Queiroz")))</x:f>
      </x:c>
      <x:c r="M74" s="36"/>
      <x:c r="N74" s="59"/>
      <x:c r="O74" s="36"/>
      <x:c r="P74" s="36"/>
    </x:row>
    <x:row r="75">
      <x:c r="A75" s="36"/>
      <x:c r="B75" s="67" t="str">
        <x:f>IF($A75="","",IFERROR(INDEX('Planejamento de Viagens'!$B$6:$B$205,MATCH($A75,'Planejamento de Viagens'!$A$6:$A$205,0)),""))</x:f>
      </x:c>
      <x:c r="C75" s="63" t="str">
        <x:f>IF($A75="","",SUMIFS('Histórico de Gastos'!$W$6:$W$205,'Histórico de Gastos'!$B$6:$B$205,$A75))</x:f>
      </x:c>
      <x:c r="D75" s="63" t="str">
        <x:f>IF($A75="","",SUMIFS('Histórico de Gastos'!$X$6:$X$205,'Histórico de Gastos'!$B$6:$B$205,$A75))</x:f>
      </x:c>
      <x:c r="E75" s="63" t="str">
        <x:f>IF($A75="","",SUMIFS('Histórico de Gastos'!$U$6:$U$205,'Histórico de Gastos'!$B$6:$B$205,$A75))</x:f>
      </x:c>
      <x:c r="F75" s="63" t="str">
        <x:f>IF($A75="","",SUMIFS('Histórico de Gastos'!$V$6:$V$205,'Histórico de Gastos'!$B$6:$B$205,$A75))</x:f>
      </x:c>
      <x:c r="G75" s="63" t="str">
        <x:f>IF($A75="","",$C75-$E75)</x:f>
      </x:c>
      <x:c r="H75" s="63" t="str">
        <x:f>IF($A75="","",$D75-$F75)</x:f>
      </x:c>
      <x:c r="I75" s="67" t="str">
        <x:f>IF($A75="","",IF(ABS($G75)&lt;0.01,"Tudo certo, ninguém deve nada",IF($G75&gt;0,"Camilly deve pagar para Pedro","Pedro deve pagar para Camilly")))</x:f>
      </x:c>
      <x:c r="J75" s="63" t="str">
        <x:f>IF($A75="","",ABS($G75))</x:f>
      </x:c>
      <x:c r="K75" s="67" t="str">
        <x:f>IF($A75="","",IF(ABS($G75)&lt;0.01,"-",IF($G75&gt;0,"Camilly Queiroz","Pedro Américo Paletot")))</x:f>
      </x:c>
      <x:c r="L75" s="67" t="str">
        <x:f>IF($A75="","",IF(ABS($G75)&lt;0.01,"-",IF($G75&gt;0,"Pedro Américo Paletot","Camilly Queiroz")))</x:f>
      </x:c>
      <x:c r="M75" s="36"/>
      <x:c r="N75" s="59"/>
      <x:c r="O75" s="36"/>
      <x:c r="P75" s="36"/>
    </x:row>
    <x:row r="76">
      <x:c r="A76" s="36"/>
      <x:c r="B76" s="67" t="str">
        <x:f>IF($A76="","",IFERROR(INDEX('Planejamento de Viagens'!$B$6:$B$205,MATCH($A76,'Planejamento de Viagens'!$A$6:$A$205,0)),""))</x:f>
      </x:c>
      <x:c r="C76" s="63" t="str">
        <x:f>IF($A76="","",SUMIFS('Histórico de Gastos'!$W$6:$W$205,'Histórico de Gastos'!$B$6:$B$205,$A76))</x:f>
      </x:c>
      <x:c r="D76" s="63" t="str">
        <x:f>IF($A76="","",SUMIFS('Histórico de Gastos'!$X$6:$X$205,'Histórico de Gastos'!$B$6:$B$205,$A76))</x:f>
      </x:c>
      <x:c r="E76" s="63" t="str">
        <x:f>IF($A76="","",SUMIFS('Histórico de Gastos'!$U$6:$U$205,'Histórico de Gastos'!$B$6:$B$205,$A76))</x:f>
      </x:c>
      <x:c r="F76" s="63" t="str">
        <x:f>IF($A76="","",SUMIFS('Histórico de Gastos'!$V$6:$V$205,'Histórico de Gastos'!$B$6:$B$205,$A76))</x:f>
      </x:c>
      <x:c r="G76" s="63" t="str">
        <x:f>IF($A76="","",$C76-$E76)</x:f>
      </x:c>
      <x:c r="H76" s="63" t="str">
        <x:f>IF($A76="","",$D76-$F76)</x:f>
      </x:c>
      <x:c r="I76" s="67" t="str">
        <x:f>IF($A76="","",IF(ABS($G76)&lt;0.01,"Tudo certo, ninguém deve nada",IF($G76&gt;0,"Camilly deve pagar para Pedro","Pedro deve pagar para Camilly")))</x:f>
      </x:c>
      <x:c r="J76" s="63" t="str">
        <x:f>IF($A76="","",ABS($G76))</x:f>
      </x:c>
      <x:c r="K76" s="67" t="str">
        <x:f>IF($A76="","",IF(ABS($G76)&lt;0.01,"-",IF($G76&gt;0,"Camilly Queiroz","Pedro Américo Paletot")))</x:f>
      </x:c>
      <x:c r="L76" s="67" t="str">
        <x:f>IF($A76="","",IF(ABS($G76)&lt;0.01,"-",IF($G76&gt;0,"Pedro Américo Paletot","Camilly Queiroz")))</x:f>
      </x:c>
      <x:c r="M76" s="36"/>
      <x:c r="N76" s="59"/>
      <x:c r="O76" s="36"/>
      <x:c r="P76" s="36"/>
    </x:row>
    <x:row r="77">
      <x:c r="A77" s="36"/>
      <x:c r="B77" s="67" t="str">
        <x:f>IF($A77="","",IFERROR(INDEX('Planejamento de Viagens'!$B$6:$B$205,MATCH($A77,'Planejamento de Viagens'!$A$6:$A$205,0)),""))</x:f>
      </x:c>
      <x:c r="C77" s="63" t="str">
        <x:f>IF($A77="","",SUMIFS('Histórico de Gastos'!$W$6:$W$205,'Histórico de Gastos'!$B$6:$B$205,$A77))</x:f>
      </x:c>
      <x:c r="D77" s="63" t="str">
        <x:f>IF($A77="","",SUMIFS('Histórico de Gastos'!$X$6:$X$205,'Histórico de Gastos'!$B$6:$B$205,$A77))</x:f>
      </x:c>
      <x:c r="E77" s="63" t="str">
        <x:f>IF($A77="","",SUMIFS('Histórico de Gastos'!$U$6:$U$205,'Histórico de Gastos'!$B$6:$B$205,$A77))</x:f>
      </x:c>
      <x:c r="F77" s="63" t="str">
        <x:f>IF($A77="","",SUMIFS('Histórico de Gastos'!$V$6:$V$205,'Histórico de Gastos'!$B$6:$B$205,$A77))</x:f>
      </x:c>
      <x:c r="G77" s="63" t="str">
        <x:f>IF($A77="","",$C77-$E77)</x:f>
      </x:c>
      <x:c r="H77" s="63" t="str">
        <x:f>IF($A77="","",$D77-$F77)</x:f>
      </x:c>
      <x:c r="I77" s="67" t="str">
        <x:f>IF($A77="","",IF(ABS($G77)&lt;0.01,"Tudo certo, ninguém deve nada",IF($G77&gt;0,"Camilly deve pagar para Pedro","Pedro deve pagar para Camilly")))</x:f>
      </x:c>
      <x:c r="J77" s="63" t="str">
        <x:f>IF($A77="","",ABS($G77))</x:f>
      </x:c>
      <x:c r="K77" s="67" t="str">
        <x:f>IF($A77="","",IF(ABS($G77)&lt;0.01,"-",IF($G77&gt;0,"Camilly Queiroz","Pedro Américo Paletot")))</x:f>
      </x:c>
      <x:c r="L77" s="67" t="str">
        <x:f>IF($A77="","",IF(ABS($G77)&lt;0.01,"-",IF($G77&gt;0,"Pedro Américo Paletot","Camilly Queiroz")))</x:f>
      </x:c>
      <x:c r="M77" s="36"/>
      <x:c r="N77" s="59"/>
      <x:c r="O77" s="36"/>
      <x:c r="P77" s="36"/>
    </x:row>
    <x:row r="78">
      <x:c r="A78" s="36"/>
      <x:c r="B78" s="67" t="str">
        <x:f>IF($A78="","",IFERROR(INDEX('Planejamento de Viagens'!$B$6:$B$205,MATCH($A78,'Planejamento de Viagens'!$A$6:$A$205,0)),""))</x:f>
      </x:c>
      <x:c r="C78" s="63" t="str">
        <x:f>IF($A78="","",SUMIFS('Histórico de Gastos'!$W$6:$W$205,'Histórico de Gastos'!$B$6:$B$205,$A78))</x:f>
      </x:c>
      <x:c r="D78" s="63" t="str">
        <x:f>IF($A78="","",SUMIFS('Histórico de Gastos'!$X$6:$X$205,'Histórico de Gastos'!$B$6:$B$205,$A78))</x:f>
      </x:c>
      <x:c r="E78" s="63" t="str">
        <x:f>IF($A78="","",SUMIFS('Histórico de Gastos'!$U$6:$U$205,'Histórico de Gastos'!$B$6:$B$205,$A78))</x:f>
      </x:c>
      <x:c r="F78" s="63" t="str">
        <x:f>IF($A78="","",SUMIFS('Histórico de Gastos'!$V$6:$V$205,'Histórico de Gastos'!$B$6:$B$205,$A78))</x:f>
      </x:c>
      <x:c r="G78" s="63" t="str">
        <x:f>IF($A78="","",$C78-$E78)</x:f>
      </x:c>
      <x:c r="H78" s="63" t="str">
        <x:f>IF($A78="","",$D78-$F78)</x:f>
      </x:c>
      <x:c r="I78" s="67" t="str">
        <x:f>IF($A78="","",IF(ABS($G78)&lt;0.01,"Tudo certo, ninguém deve nada",IF($G78&gt;0,"Camilly deve pagar para Pedro","Pedro deve pagar para Camilly")))</x:f>
      </x:c>
      <x:c r="J78" s="63" t="str">
        <x:f>IF($A78="","",ABS($G78))</x:f>
      </x:c>
      <x:c r="K78" s="67" t="str">
        <x:f>IF($A78="","",IF(ABS($G78)&lt;0.01,"-",IF($G78&gt;0,"Camilly Queiroz","Pedro Américo Paletot")))</x:f>
      </x:c>
      <x:c r="L78" s="67" t="str">
        <x:f>IF($A78="","",IF(ABS($G78)&lt;0.01,"-",IF($G78&gt;0,"Pedro Américo Paletot","Camilly Queiroz")))</x:f>
      </x:c>
      <x:c r="M78" s="36"/>
      <x:c r="N78" s="59"/>
      <x:c r="O78" s="36"/>
      <x:c r="P78" s="36"/>
    </x:row>
    <x:row r="79">
      <x:c r="A79" s="36"/>
      <x:c r="B79" s="67" t="str">
        <x:f>IF($A79="","",IFERROR(INDEX('Planejamento de Viagens'!$B$6:$B$205,MATCH($A79,'Planejamento de Viagens'!$A$6:$A$205,0)),""))</x:f>
      </x:c>
      <x:c r="C79" s="63" t="str">
        <x:f>IF($A79="","",SUMIFS('Histórico de Gastos'!$W$6:$W$205,'Histórico de Gastos'!$B$6:$B$205,$A79))</x:f>
      </x:c>
      <x:c r="D79" s="63" t="str">
        <x:f>IF($A79="","",SUMIFS('Histórico de Gastos'!$X$6:$X$205,'Histórico de Gastos'!$B$6:$B$205,$A79))</x:f>
      </x:c>
      <x:c r="E79" s="63" t="str">
        <x:f>IF($A79="","",SUMIFS('Histórico de Gastos'!$U$6:$U$205,'Histórico de Gastos'!$B$6:$B$205,$A79))</x:f>
      </x:c>
      <x:c r="F79" s="63" t="str">
        <x:f>IF($A79="","",SUMIFS('Histórico de Gastos'!$V$6:$V$205,'Histórico de Gastos'!$B$6:$B$205,$A79))</x:f>
      </x:c>
      <x:c r="G79" s="63" t="str">
        <x:f>IF($A79="","",$C79-$E79)</x:f>
      </x:c>
      <x:c r="H79" s="63" t="str">
        <x:f>IF($A79="","",$D79-$F79)</x:f>
      </x:c>
      <x:c r="I79" s="67" t="str">
        <x:f>IF($A79="","",IF(ABS($G79)&lt;0.01,"Tudo certo, ninguém deve nada",IF($G79&gt;0,"Camilly deve pagar para Pedro","Pedro deve pagar para Camilly")))</x:f>
      </x:c>
      <x:c r="J79" s="63" t="str">
        <x:f>IF($A79="","",ABS($G79))</x:f>
      </x:c>
      <x:c r="K79" s="67" t="str">
        <x:f>IF($A79="","",IF(ABS($G79)&lt;0.01,"-",IF($G79&gt;0,"Camilly Queiroz","Pedro Américo Paletot")))</x:f>
      </x:c>
      <x:c r="L79" s="67" t="str">
        <x:f>IF($A79="","",IF(ABS($G79)&lt;0.01,"-",IF($G79&gt;0,"Pedro Américo Paletot","Camilly Queiroz")))</x:f>
      </x:c>
      <x:c r="M79" s="36"/>
      <x:c r="N79" s="59"/>
      <x:c r="O79" s="36"/>
      <x:c r="P79" s="36"/>
    </x:row>
    <x:row r="80">
      <x:c r="A80" s="36"/>
      <x:c r="B80" s="67" t="str">
        <x:f>IF($A80="","",IFERROR(INDEX('Planejamento de Viagens'!$B$6:$B$205,MATCH($A80,'Planejamento de Viagens'!$A$6:$A$205,0)),""))</x:f>
      </x:c>
      <x:c r="C80" s="63" t="str">
        <x:f>IF($A80="","",SUMIFS('Histórico de Gastos'!$W$6:$W$205,'Histórico de Gastos'!$B$6:$B$205,$A80))</x:f>
      </x:c>
      <x:c r="D80" s="63" t="str">
        <x:f>IF($A80="","",SUMIFS('Histórico de Gastos'!$X$6:$X$205,'Histórico de Gastos'!$B$6:$B$205,$A80))</x:f>
      </x:c>
      <x:c r="E80" s="63" t="str">
        <x:f>IF($A80="","",SUMIFS('Histórico de Gastos'!$U$6:$U$205,'Histórico de Gastos'!$B$6:$B$205,$A80))</x:f>
      </x:c>
      <x:c r="F80" s="63" t="str">
        <x:f>IF($A80="","",SUMIFS('Histórico de Gastos'!$V$6:$V$205,'Histórico de Gastos'!$B$6:$B$205,$A80))</x:f>
      </x:c>
      <x:c r="G80" s="63" t="str">
        <x:f>IF($A80="","",$C80-$E80)</x:f>
      </x:c>
      <x:c r="H80" s="63" t="str">
        <x:f>IF($A80="","",$D80-$F80)</x:f>
      </x:c>
      <x:c r="I80" s="67" t="str">
        <x:f>IF($A80="","",IF(ABS($G80)&lt;0.01,"Tudo certo, ninguém deve nada",IF($G80&gt;0,"Camilly deve pagar para Pedro","Pedro deve pagar para Camilly")))</x:f>
      </x:c>
      <x:c r="J80" s="63" t="str">
        <x:f>IF($A80="","",ABS($G80))</x:f>
      </x:c>
      <x:c r="K80" s="67" t="str">
        <x:f>IF($A80="","",IF(ABS($G80)&lt;0.01,"-",IF($G80&gt;0,"Camilly Queiroz","Pedro Américo Paletot")))</x:f>
      </x:c>
      <x:c r="L80" s="67" t="str">
        <x:f>IF($A80="","",IF(ABS($G80)&lt;0.01,"-",IF($G80&gt;0,"Pedro Américo Paletot","Camilly Queiroz")))</x:f>
      </x:c>
      <x:c r="M80" s="36"/>
      <x:c r="N80" s="59"/>
      <x:c r="O80" s="36"/>
      <x:c r="P80" s="36"/>
    </x:row>
    <x:row r="81">
      <x:c r="A81" s="36"/>
      <x:c r="B81" s="67" t="str">
        <x:f>IF($A81="","",IFERROR(INDEX('Planejamento de Viagens'!$B$6:$B$205,MATCH($A81,'Planejamento de Viagens'!$A$6:$A$205,0)),""))</x:f>
      </x:c>
      <x:c r="C81" s="63" t="str">
        <x:f>IF($A81="","",SUMIFS('Histórico de Gastos'!$W$6:$W$205,'Histórico de Gastos'!$B$6:$B$205,$A81))</x:f>
      </x:c>
      <x:c r="D81" s="63" t="str">
        <x:f>IF($A81="","",SUMIFS('Histórico de Gastos'!$X$6:$X$205,'Histórico de Gastos'!$B$6:$B$205,$A81))</x:f>
      </x:c>
      <x:c r="E81" s="63" t="str">
        <x:f>IF($A81="","",SUMIFS('Histórico de Gastos'!$U$6:$U$205,'Histórico de Gastos'!$B$6:$B$205,$A81))</x:f>
      </x:c>
      <x:c r="F81" s="63" t="str">
        <x:f>IF($A81="","",SUMIFS('Histórico de Gastos'!$V$6:$V$205,'Histórico de Gastos'!$B$6:$B$205,$A81))</x:f>
      </x:c>
      <x:c r="G81" s="63" t="str">
        <x:f>IF($A81="","",$C81-$E81)</x:f>
      </x:c>
      <x:c r="H81" s="63" t="str">
        <x:f>IF($A81="","",$D81-$F81)</x:f>
      </x:c>
      <x:c r="I81" s="67" t="str">
        <x:f>IF($A81="","",IF(ABS($G81)&lt;0.01,"Tudo certo, ninguém deve nada",IF($G81&gt;0,"Camilly deve pagar para Pedro","Pedro deve pagar para Camilly")))</x:f>
      </x:c>
      <x:c r="J81" s="63" t="str">
        <x:f>IF($A81="","",ABS($G81))</x:f>
      </x:c>
      <x:c r="K81" s="67" t="str">
        <x:f>IF($A81="","",IF(ABS($G81)&lt;0.01,"-",IF($G81&gt;0,"Camilly Queiroz","Pedro Américo Paletot")))</x:f>
      </x:c>
      <x:c r="L81" s="67" t="str">
        <x:f>IF($A81="","",IF(ABS($G81)&lt;0.01,"-",IF($G81&gt;0,"Pedro Américo Paletot","Camilly Queiroz")))</x:f>
      </x:c>
      <x:c r="M81" s="36"/>
      <x:c r="N81" s="59"/>
      <x:c r="O81" s="36"/>
      <x:c r="P81" s="36"/>
    </x:row>
    <x:row r="82">
      <x:c r="A82" s="36"/>
      <x:c r="B82" s="67" t="str">
        <x:f>IF($A82="","",IFERROR(INDEX('Planejamento de Viagens'!$B$6:$B$205,MATCH($A82,'Planejamento de Viagens'!$A$6:$A$205,0)),""))</x:f>
      </x:c>
      <x:c r="C82" s="63" t="str">
        <x:f>IF($A82="","",SUMIFS('Histórico de Gastos'!$W$6:$W$205,'Histórico de Gastos'!$B$6:$B$205,$A82))</x:f>
      </x:c>
      <x:c r="D82" s="63" t="str">
        <x:f>IF($A82="","",SUMIFS('Histórico de Gastos'!$X$6:$X$205,'Histórico de Gastos'!$B$6:$B$205,$A82))</x:f>
      </x:c>
      <x:c r="E82" s="63" t="str">
        <x:f>IF($A82="","",SUMIFS('Histórico de Gastos'!$U$6:$U$205,'Histórico de Gastos'!$B$6:$B$205,$A82))</x:f>
      </x:c>
      <x:c r="F82" s="63" t="str">
        <x:f>IF($A82="","",SUMIFS('Histórico de Gastos'!$V$6:$V$205,'Histórico de Gastos'!$B$6:$B$205,$A82))</x:f>
      </x:c>
      <x:c r="G82" s="63" t="str">
        <x:f>IF($A82="","",$C82-$E82)</x:f>
      </x:c>
      <x:c r="H82" s="63" t="str">
        <x:f>IF($A82="","",$D82-$F82)</x:f>
      </x:c>
      <x:c r="I82" s="67" t="str">
        <x:f>IF($A82="","",IF(ABS($G82)&lt;0.01,"Tudo certo, ninguém deve nada",IF($G82&gt;0,"Camilly deve pagar para Pedro","Pedro deve pagar para Camilly")))</x:f>
      </x:c>
      <x:c r="J82" s="63" t="str">
        <x:f>IF($A82="","",ABS($G82))</x:f>
      </x:c>
      <x:c r="K82" s="67" t="str">
        <x:f>IF($A82="","",IF(ABS($G82)&lt;0.01,"-",IF($G82&gt;0,"Camilly Queiroz","Pedro Américo Paletot")))</x:f>
      </x:c>
      <x:c r="L82" s="67" t="str">
        <x:f>IF($A82="","",IF(ABS($G82)&lt;0.01,"-",IF($G82&gt;0,"Pedro Américo Paletot","Camilly Queiroz")))</x:f>
      </x:c>
      <x:c r="M82" s="36"/>
      <x:c r="N82" s="59"/>
      <x:c r="O82" s="36"/>
      <x:c r="P82" s="36"/>
    </x:row>
    <x:row r="83">
      <x:c r="A83" s="36"/>
      <x:c r="B83" s="67" t="str">
        <x:f>IF($A83="","",IFERROR(INDEX('Planejamento de Viagens'!$B$6:$B$205,MATCH($A83,'Planejamento de Viagens'!$A$6:$A$205,0)),""))</x:f>
      </x:c>
      <x:c r="C83" s="63" t="str">
        <x:f>IF($A83="","",SUMIFS('Histórico de Gastos'!$W$6:$W$205,'Histórico de Gastos'!$B$6:$B$205,$A83))</x:f>
      </x:c>
      <x:c r="D83" s="63" t="str">
        <x:f>IF($A83="","",SUMIFS('Histórico de Gastos'!$X$6:$X$205,'Histórico de Gastos'!$B$6:$B$205,$A83))</x:f>
      </x:c>
      <x:c r="E83" s="63" t="str">
        <x:f>IF($A83="","",SUMIFS('Histórico de Gastos'!$U$6:$U$205,'Histórico de Gastos'!$B$6:$B$205,$A83))</x:f>
      </x:c>
      <x:c r="F83" s="63" t="str">
        <x:f>IF($A83="","",SUMIFS('Histórico de Gastos'!$V$6:$V$205,'Histórico de Gastos'!$B$6:$B$205,$A83))</x:f>
      </x:c>
      <x:c r="G83" s="63" t="str">
        <x:f>IF($A83="","",$C83-$E83)</x:f>
      </x:c>
      <x:c r="H83" s="63" t="str">
        <x:f>IF($A83="","",$D83-$F83)</x:f>
      </x:c>
      <x:c r="I83" s="67" t="str">
        <x:f>IF($A83="","",IF(ABS($G83)&lt;0.01,"Tudo certo, ninguém deve nada",IF($G83&gt;0,"Camilly deve pagar para Pedro","Pedro deve pagar para Camilly")))</x:f>
      </x:c>
      <x:c r="J83" s="63" t="str">
        <x:f>IF($A83="","",ABS($G83))</x:f>
      </x:c>
      <x:c r="K83" s="67" t="str">
        <x:f>IF($A83="","",IF(ABS($G83)&lt;0.01,"-",IF($G83&gt;0,"Camilly Queiroz","Pedro Américo Paletot")))</x:f>
      </x:c>
      <x:c r="L83" s="67" t="str">
        <x:f>IF($A83="","",IF(ABS($G83)&lt;0.01,"-",IF($G83&gt;0,"Pedro Américo Paletot","Camilly Queiroz")))</x:f>
      </x:c>
      <x:c r="M83" s="36"/>
      <x:c r="N83" s="59"/>
      <x:c r="O83" s="36"/>
      <x:c r="P83" s="36"/>
    </x:row>
    <x:row r="84">
      <x:c r="A84" s="36"/>
      <x:c r="B84" s="67" t="str">
        <x:f>IF($A84="","",IFERROR(INDEX('Planejamento de Viagens'!$B$6:$B$205,MATCH($A84,'Planejamento de Viagens'!$A$6:$A$205,0)),""))</x:f>
      </x:c>
      <x:c r="C84" s="63" t="str">
        <x:f>IF($A84="","",SUMIFS('Histórico de Gastos'!$W$6:$W$205,'Histórico de Gastos'!$B$6:$B$205,$A84))</x:f>
      </x:c>
      <x:c r="D84" s="63" t="str">
        <x:f>IF($A84="","",SUMIFS('Histórico de Gastos'!$X$6:$X$205,'Histórico de Gastos'!$B$6:$B$205,$A84))</x:f>
      </x:c>
      <x:c r="E84" s="63" t="str">
        <x:f>IF($A84="","",SUMIFS('Histórico de Gastos'!$U$6:$U$205,'Histórico de Gastos'!$B$6:$B$205,$A84))</x:f>
      </x:c>
      <x:c r="F84" s="63" t="str">
        <x:f>IF($A84="","",SUMIFS('Histórico de Gastos'!$V$6:$V$205,'Histórico de Gastos'!$B$6:$B$205,$A84))</x:f>
      </x:c>
      <x:c r="G84" s="63" t="str">
        <x:f>IF($A84="","",$C84-$E84)</x:f>
      </x:c>
      <x:c r="H84" s="63" t="str">
        <x:f>IF($A84="","",$D84-$F84)</x:f>
      </x:c>
      <x:c r="I84" s="67" t="str">
        <x:f>IF($A84="","",IF(ABS($G84)&lt;0.01,"Tudo certo, ninguém deve nada",IF($G84&gt;0,"Camilly deve pagar para Pedro","Pedro deve pagar para Camilly")))</x:f>
      </x:c>
      <x:c r="J84" s="63" t="str">
        <x:f>IF($A84="","",ABS($G84))</x:f>
      </x:c>
      <x:c r="K84" s="67" t="str">
        <x:f>IF($A84="","",IF(ABS($G84)&lt;0.01,"-",IF($G84&gt;0,"Camilly Queiroz","Pedro Américo Paletot")))</x:f>
      </x:c>
      <x:c r="L84" s="67" t="str">
        <x:f>IF($A84="","",IF(ABS($G84)&lt;0.01,"-",IF($G84&gt;0,"Pedro Américo Paletot","Camilly Queiroz")))</x:f>
      </x:c>
      <x:c r="M84" s="36"/>
      <x:c r="N84" s="59"/>
      <x:c r="O84" s="36"/>
      <x:c r="P84" s="36"/>
    </x:row>
    <x:row r="85">
      <x:c r="A85" s="36"/>
      <x:c r="B85" s="67" t="str">
        <x:f>IF($A85="","",IFERROR(INDEX('Planejamento de Viagens'!$B$6:$B$205,MATCH($A85,'Planejamento de Viagens'!$A$6:$A$205,0)),""))</x:f>
      </x:c>
      <x:c r="C85" s="63" t="str">
        <x:f>IF($A85="","",SUMIFS('Histórico de Gastos'!$W$6:$W$205,'Histórico de Gastos'!$B$6:$B$205,$A85))</x:f>
      </x:c>
      <x:c r="D85" s="63" t="str">
        <x:f>IF($A85="","",SUMIFS('Histórico de Gastos'!$X$6:$X$205,'Histórico de Gastos'!$B$6:$B$205,$A85))</x:f>
      </x:c>
      <x:c r="E85" s="63" t="str">
        <x:f>IF($A85="","",SUMIFS('Histórico de Gastos'!$U$6:$U$205,'Histórico de Gastos'!$B$6:$B$205,$A85))</x:f>
      </x:c>
      <x:c r="F85" s="63" t="str">
        <x:f>IF($A85="","",SUMIFS('Histórico de Gastos'!$V$6:$V$205,'Histórico de Gastos'!$B$6:$B$205,$A85))</x:f>
      </x:c>
      <x:c r="G85" s="63" t="str">
        <x:f>IF($A85="","",$C85-$E85)</x:f>
      </x:c>
      <x:c r="H85" s="63" t="str">
        <x:f>IF($A85="","",$D85-$F85)</x:f>
      </x:c>
      <x:c r="I85" s="67" t="str">
        <x:f>IF($A85="","",IF(ABS($G85)&lt;0.01,"Tudo certo, ninguém deve nada",IF($G85&gt;0,"Camilly deve pagar para Pedro","Pedro deve pagar para Camilly")))</x:f>
      </x:c>
      <x:c r="J85" s="63" t="str">
        <x:f>IF($A85="","",ABS($G85))</x:f>
      </x:c>
      <x:c r="K85" s="67" t="str">
        <x:f>IF($A85="","",IF(ABS($G85)&lt;0.01,"-",IF($G85&gt;0,"Camilly Queiroz","Pedro Américo Paletot")))</x:f>
      </x:c>
      <x:c r="L85" s="67" t="str">
        <x:f>IF($A85="","",IF(ABS($G85)&lt;0.01,"-",IF($G85&gt;0,"Pedro Américo Paletot","Camilly Queiroz")))</x:f>
      </x:c>
      <x:c r="M85" s="36"/>
      <x:c r="N85" s="59"/>
      <x:c r="O85" s="36"/>
      <x:c r="P85" s="36"/>
    </x:row>
    <x:row r="86">
      <x:c r="A86" s="36"/>
      <x:c r="B86" s="67" t="str">
        <x:f>IF($A86="","",IFERROR(INDEX('Planejamento de Viagens'!$B$6:$B$205,MATCH($A86,'Planejamento de Viagens'!$A$6:$A$205,0)),""))</x:f>
      </x:c>
      <x:c r="C86" s="63" t="str">
        <x:f>IF($A86="","",SUMIFS('Histórico de Gastos'!$W$6:$W$205,'Histórico de Gastos'!$B$6:$B$205,$A86))</x:f>
      </x:c>
      <x:c r="D86" s="63" t="str">
        <x:f>IF($A86="","",SUMIFS('Histórico de Gastos'!$X$6:$X$205,'Histórico de Gastos'!$B$6:$B$205,$A86))</x:f>
      </x:c>
      <x:c r="E86" s="63" t="str">
        <x:f>IF($A86="","",SUMIFS('Histórico de Gastos'!$U$6:$U$205,'Histórico de Gastos'!$B$6:$B$205,$A86))</x:f>
      </x:c>
      <x:c r="F86" s="63" t="str">
        <x:f>IF($A86="","",SUMIFS('Histórico de Gastos'!$V$6:$V$205,'Histórico de Gastos'!$B$6:$B$205,$A86))</x:f>
      </x:c>
      <x:c r="G86" s="63" t="str">
        <x:f>IF($A86="","",$C86-$E86)</x:f>
      </x:c>
      <x:c r="H86" s="63" t="str">
        <x:f>IF($A86="","",$D86-$F86)</x:f>
      </x:c>
      <x:c r="I86" s="67" t="str">
        <x:f>IF($A86="","",IF(ABS($G86)&lt;0.01,"Tudo certo, ninguém deve nada",IF($G86&gt;0,"Camilly deve pagar para Pedro","Pedro deve pagar para Camilly")))</x:f>
      </x:c>
      <x:c r="J86" s="63" t="str">
        <x:f>IF($A86="","",ABS($G86))</x:f>
      </x:c>
      <x:c r="K86" s="67" t="str">
        <x:f>IF($A86="","",IF(ABS($G86)&lt;0.01,"-",IF($G86&gt;0,"Camilly Queiroz","Pedro Américo Paletot")))</x:f>
      </x:c>
      <x:c r="L86" s="67" t="str">
        <x:f>IF($A86="","",IF(ABS($G86)&lt;0.01,"-",IF($G86&gt;0,"Pedro Américo Paletot","Camilly Queiroz")))</x:f>
      </x:c>
      <x:c r="M86" s="36"/>
      <x:c r="N86" s="59"/>
      <x:c r="O86" s="36"/>
      <x:c r="P86" s="36"/>
    </x:row>
    <x:row r="87">
      <x:c r="A87" s="36"/>
      <x:c r="B87" s="67" t="str">
        <x:f>IF($A87="","",IFERROR(INDEX('Planejamento de Viagens'!$B$6:$B$205,MATCH($A87,'Planejamento de Viagens'!$A$6:$A$205,0)),""))</x:f>
      </x:c>
      <x:c r="C87" s="63" t="str">
        <x:f>IF($A87="","",SUMIFS('Histórico de Gastos'!$W$6:$W$205,'Histórico de Gastos'!$B$6:$B$205,$A87))</x:f>
      </x:c>
      <x:c r="D87" s="63" t="str">
        <x:f>IF($A87="","",SUMIFS('Histórico de Gastos'!$X$6:$X$205,'Histórico de Gastos'!$B$6:$B$205,$A87))</x:f>
      </x:c>
      <x:c r="E87" s="63" t="str">
        <x:f>IF($A87="","",SUMIFS('Histórico de Gastos'!$U$6:$U$205,'Histórico de Gastos'!$B$6:$B$205,$A87))</x:f>
      </x:c>
      <x:c r="F87" s="63" t="str">
        <x:f>IF($A87="","",SUMIFS('Histórico de Gastos'!$V$6:$V$205,'Histórico de Gastos'!$B$6:$B$205,$A87))</x:f>
      </x:c>
      <x:c r="G87" s="63" t="str">
        <x:f>IF($A87="","",$C87-$E87)</x:f>
      </x:c>
      <x:c r="H87" s="63" t="str">
        <x:f>IF($A87="","",$D87-$F87)</x:f>
      </x:c>
      <x:c r="I87" s="67" t="str">
        <x:f>IF($A87="","",IF(ABS($G87)&lt;0.01,"Tudo certo, ninguém deve nada",IF($G87&gt;0,"Camilly deve pagar para Pedro","Pedro deve pagar para Camilly")))</x:f>
      </x:c>
      <x:c r="J87" s="63" t="str">
        <x:f>IF($A87="","",ABS($G87))</x:f>
      </x:c>
      <x:c r="K87" s="67" t="str">
        <x:f>IF($A87="","",IF(ABS($G87)&lt;0.01,"-",IF($G87&gt;0,"Camilly Queiroz","Pedro Américo Paletot")))</x:f>
      </x:c>
      <x:c r="L87" s="67" t="str">
        <x:f>IF($A87="","",IF(ABS($G87)&lt;0.01,"-",IF($G87&gt;0,"Pedro Américo Paletot","Camilly Queiroz")))</x:f>
      </x:c>
      <x:c r="M87" s="36"/>
      <x:c r="N87" s="59"/>
      <x:c r="O87" s="36"/>
      <x:c r="P87" s="36"/>
    </x:row>
    <x:row r="88">
      <x:c r="A88" s="36"/>
      <x:c r="B88" s="67" t="str">
        <x:f>IF($A88="","",IFERROR(INDEX('Planejamento de Viagens'!$B$6:$B$205,MATCH($A88,'Planejamento de Viagens'!$A$6:$A$205,0)),""))</x:f>
      </x:c>
      <x:c r="C88" s="63" t="str">
        <x:f>IF($A88="","",SUMIFS('Histórico de Gastos'!$W$6:$W$205,'Histórico de Gastos'!$B$6:$B$205,$A88))</x:f>
      </x:c>
      <x:c r="D88" s="63" t="str">
        <x:f>IF($A88="","",SUMIFS('Histórico de Gastos'!$X$6:$X$205,'Histórico de Gastos'!$B$6:$B$205,$A88))</x:f>
      </x:c>
      <x:c r="E88" s="63" t="str">
        <x:f>IF($A88="","",SUMIFS('Histórico de Gastos'!$U$6:$U$205,'Histórico de Gastos'!$B$6:$B$205,$A88))</x:f>
      </x:c>
      <x:c r="F88" s="63" t="str">
        <x:f>IF($A88="","",SUMIFS('Histórico de Gastos'!$V$6:$V$205,'Histórico de Gastos'!$B$6:$B$205,$A88))</x:f>
      </x:c>
      <x:c r="G88" s="63" t="str">
        <x:f>IF($A88="","",$C88-$E88)</x:f>
      </x:c>
      <x:c r="H88" s="63" t="str">
        <x:f>IF($A88="","",$D88-$F88)</x:f>
      </x:c>
      <x:c r="I88" s="67" t="str">
        <x:f>IF($A88="","",IF(ABS($G88)&lt;0.01,"Tudo certo, ninguém deve nada",IF($G88&gt;0,"Camilly deve pagar para Pedro","Pedro deve pagar para Camilly")))</x:f>
      </x:c>
      <x:c r="J88" s="63" t="str">
        <x:f>IF($A88="","",ABS($G88))</x:f>
      </x:c>
      <x:c r="K88" s="67" t="str">
        <x:f>IF($A88="","",IF(ABS($G88)&lt;0.01,"-",IF($G88&gt;0,"Camilly Queiroz","Pedro Américo Paletot")))</x:f>
      </x:c>
      <x:c r="L88" s="67" t="str">
        <x:f>IF($A88="","",IF(ABS($G88)&lt;0.01,"-",IF($G88&gt;0,"Pedro Américo Paletot","Camilly Queiroz")))</x:f>
      </x:c>
      <x:c r="M88" s="36"/>
      <x:c r="N88" s="59"/>
      <x:c r="O88" s="36"/>
      <x:c r="P88" s="36"/>
    </x:row>
    <x:row r="89">
      <x:c r="A89" s="36"/>
      <x:c r="B89" s="67" t="str">
        <x:f>IF($A89="","",IFERROR(INDEX('Planejamento de Viagens'!$B$6:$B$205,MATCH($A89,'Planejamento de Viagens'!$A$6:$A$205,0)),""))</x:f>
      </x:c>
      <x:c r="C89" s="63" t="str">
        <x:f>IF($A89="","",SUMIFS('Histórico de Gastos'!$W$6:$W$205,'Histórico de Gastos'!$B$6:$B$205,$A89))</x:f>
      </x:c>
      <x:c r="D89" s="63" t="str">
        <x:f>IF($A89="","",SUMIFS('Histórico de Gastos'!$X$6:$X$205,'Histórico de Gastos'!$B$6:$B$205,$A89))</x:f>
      </x:c>
      <x:c r="E89" s="63" t="str">
        <x:f>IF($A89="","",SUMIFS('Histórico de Gastos'!$U$6:$U$205,'Histórico de Gastos'!$B$6:$B$205,$A89))</x:f>
      </x:c>
      <x:c r="F89" s="63" t="str">
        <x:f>IF($A89="","",SUMIFS('Histórico de Gastos'!$V$6:$V$205,'Histórico de Gastos'!$B$6:$B$205,$A89))</x:f>
      </x:c>
      <x:c r="G89" s="63" t="str">
        <x:f>IF($A89="","",$C89-$E89)</x:f>
      </x:c>
      <x:c r="H89" s="63" t="str">
        <x:f>IF($A89="","",$D89-$F89)</x:f>
      </x:c>
      <x:c r="I89" s="67" t="str">
        <x:f>IF($A89="","",IF(ABS($G89)&lt;0.01,"Tudo certo, ninguém deve nada",IF($G89&gt;0,"Camilly deve pagar para Pedro","Pedro deve pagar para Camilly")))</x:f>
      </x:c>
      <x:c r="J89" s="63" t="str">
        <x:f>IF($A89="","",ABS($G89))</x:f>
      </x:c>
      <x:c r="K89" s="67" t="str">
        <x:f>IF($A89="","",IF(ABS($G89)&lt;0.01,"-",IF($G89&gt;0,"Camilly Queiroz","Pedro Américo Paletot")))</x:f>
      </x:c>
      <x:c r="L89" s="67" t="str">
        <x:f>IF($A89="","",IF(ABS($G89)&lt;0.01,"-",IF($G89&gt;0,"Pedro Américo Paletot","Camilly Queiroz")))</x:f>
      </x:c>
      <x:c r="M89" s="36"/>
      <x:c r="N89" s="59"/>
      <x:c r="O89" s="36"/>
      <x:c r="P89" s="36"/>
    </x:row>
    <x:row r="90">
      <x:c r="A90" s="36"/>
      <x:c r="B90" s="67" t="str">
        <x:f>IF($A90="","",IFERROR(INDEX('Planejamento de Viagens'!$B$6:$B$205,MATCH($A90,'Planejamento de Viagens'!$A$6:$A$205,0)),""))</x:f>
      </x:c>
      <x:c r="C90" s="63" t="str">
        <x:f>IF($A90="","",SUMIFS('Histórico de Gastos'!$W$6:$W$205,'Histórico de Gastos'!$B$6:$B$205,$A90))</x:f>
      </x:c>
      <x:c r="D90" s="63" t="str">
        <x:f>IF($A90="","",SUMIFS('Histórico de Gastos'!$X$6:$X$205,'Histórico de Gastos'!$B$6:$B$205,$A90))</x:f>
      </x:c>
      <x:c r="E90" s="63" t="str">
        <x:f>IF($A90="","",SUMIFS('Histórico de Gastos'!$U$6:$U$205,'Histórico de Gastos'!$B$6:$B$205,$A90))</x:f>
      </x:c>
      <x:c r="F90" s="63" t="str">
        <x:f>IF($A90="","",SUMIFS('Histórico de Gastos'!$V$6:$V$205,'Histórico de Gastos'!$B$6:$B$205,$A90))</x:f>
      </x:c>
      <x:c r="G90" s="63" t="str">
        <x:f>IF($A90="","",$C90-$E90)</x:f>
      </x:c>
      <x:c r="H90" s="63" t="str">
        <x:f>IF($A90="","",$D90-$F90)</x:f>
      </x:c>
      <x:c r="I90" s="67" t="str">
        <x:f>IF($A90="","",IF(ABS($G90)&lt;0.01,"Tudo certo, ninguém deve nada",IF($G90&gt;0,"Camilly deve pagar para Pedro","Pedro deve pagar para Camilly")))</x:f>
      </x:c>
      <x:c r="J90" s="63" t="str">
        <x:f>IF($A90="","",ABS($G90))</x:f>
      </x:c>
      <x:c r="K90" s="67" t="str">
        <x:f>IF($A90="","",IF(ABS($G90)&lt;0.01,"-",IF($G90&gt;0,"Camilly Queiroz","Pedro Américo Paletot")))</x:f>
      </x:c>
      <x:c r="L90" s="67" t="str">
        <x:f>IF($A90="","",IF(ABS($G90)&lt;0.01,"-",IF($G90&gt;0,"Pedro Américo Paletot","Camilly Queiroz")))</x:f>
      </x:c>
      <x:c r="M90" s="36"/>
      <x:c r="N90" s="59"/>
      <x:c r="O90" s="36"/>
      <x:c r="P90" s="36"/>
    </x:row>
    <x:row r="91">
      <x:c r="A91" s="36"/>
      <x:c r="B91" s="67" t="str">
        <x:f>IF($A91="","",IFERROR(INDEX('Planejamento de Viagens'!$B$6:$B$205,MATCH($A91,'Planejamento de Viagens'!$A$6:$A$205,0)),""))</x:f>
      </x:c>
      <x:c r="C91" s="63" t="str">
        <x:f>IF($A91="","",SUMIFS('Histórico de Gastos'!$W$6:$W$205,'Histórico de Gastos'!$B$6:$B$205,$A91))</x:f>
      </x:c>
      <x:c r="D91" s="63" t="str">
        <x:f>IF($A91="","",SUMIFS('Histórico de Gastos'!$X$6:$X$205,'Histórico de Gastos'!$B$6:$B$205,$A91))</x:f>
      </x:c>
      <x:c r="E91" s="63" t="str">
        <x:f>IF($A91="","",SUMIFS('Histórico de Gastos'!$U$6:$U$205,'Histórico de Gastos'!$B$6:$B$205,$A91))</x:f>
      </x:c>
      <x:c r="F91" s="63" t="str">
        <x:f>IF($A91="","",SUMIFS('Histórico de Gastos'!$V$6:$V$205,'Histórico de Gastos'!$B$6:$B$205,$A91))</x:f>
      </x:c>
      <x:c r="G91" s="63" t="str">
        <x:f>IF($A91="","",$C91-$E91)</x:f>
      </x:c>
      <x:c r="H91" s="63" t="str">
        <x:f>IF($A91="","",$D91-$F91)</x:f>
      </x:c>
      <x:c r="I91" s="67" t="str">
        <x:f>IF($A91="","",IF(ABS($G91)&lt;0.01,"Tudo certo, ninguém deve nada",IF($G91&gt;0,"Camilly deve pagar para Pedro","Pedro deve pagar para Camilly")))</x:f>
      </x:c>
      <x:c r="J91" s="63" t="str">
        <x:f>IF($A91="","",ABS($G91))</x:f>
      </x:c>
      <x:c r="K91" s="67" t="str">
        <x:f>IF($A91="","",IF(ABS($G91)&lt;0.01,"-",IF($G91&gt;0,"Camilly Queiroz","Pedro Américo Paletot")))</x:f>
      </x:c>
      <x:c r="L91" s="67" t="str">
        <x:f>IF($A91="","",IF(ABS($G91)&lt;0.01,"-",IF($G91&gt;0,"Pedro Américo Paletot","Camilly Queiroz")))</x:f>
      </x:c>
      <x:c r="M91" s="36"/>
      <x:c r="N91" s="59"/>
      <x:c r="O91" s="36"/>
      <x:c r="P91" s="36"/>
    </x:row>
    <x:row r="92">
      <x:c r="A92" s="36"/>
      <x:c r="B92" s="67" t="str">
        <x:f>IF($A92="","",IFERROR(INDEX('Planejamento de Viagens'!$B$6:$B$205,MATCH($A92,'Planejamento de Viagens'!$A$6:$A$205,0)),""))</x:f>
      </x:c>
      <x:c r="C92" s="63" t="str">
        <x:f>IF($A92="","",SUMIFS('Histórico de Gastos'!$W$6:$W$205,'Histórico de Gastos'!$B$6:$B$205,$A92))</x:f>
      </x:c>
      <x:c r="D92" s="63" t="str">
        <x:f>IF($A92="","",SUMIFS('Histórico de Gastos'!$X$6:$X$205,'Histórico de Gastos'!$B$6:$B$205,$A92))</x:f>
      </x:c>
      <x:c r="E92" s="63" t="str">
        <x:f>IF($A92="","",SUMIFS('Histórico de Gastos'!$U$6:$U$205,'Histórico de Gastos'!$B$6:$B$205,$A92))</x:f>
      </x:c>
      <x:c r="F92" s="63" t="str">
        <x:f>IF($A92="","",SUMIFS('Histórico de Gastos'!$V$6:$V$205,'Histórico de Gastos'!$B$6:$B$205,$A92))</x:f>
      </x:c>
      <x:c r="G92" s="63" t="str">
        <x:f>IF($A92="","",$C92-$E92)</x:f>
      </x:c>
      <x:c r="H92" s="63" t="str">
        <x:f>IF($A92="","",$D92-$F92)</x:f>
      </x:c>
      <x:c r="I92" s="67" t="str">
        <x:f>IF($A92="","",IF(ABS($G92)&lt;0.01,"Tudo certo, ninguém deve nada",IF($G92&gt;0,"Camilly deve pagar para Pedro","Pedro deve pagar para Camilly")))</x:f>
      </x:c>
      <x:c r="J92" s="63" t="str">
        <x:f>IF($A92="","",ABS($G92))</x:f>
      </x:c>
      <x:c r="K92" s="67" t="str">
        <x:f>IF($A92="","",IF(ABS($G92)&lt;0.01,"-",IF($G92&gt;0,"Camilly Queiroz","Pedro Américo Paletot")))</x:f>
      </x:c>
      <x:c r="L92" s="67" t="str">
        <x:f>IF($A92="","",IF(ABS($G92)&lt;0.01,"-",IF($G92&gt;0,"Pedro Américo Paletot","Camilly Queiroz")))</x:f>
      </x:c>
      <x:c r="M92" s="36"/>
      <x:c r="N92" s="59"/>
      <x:c r="O92" s="36"/>
      <x:c r="P92" s="36"/>
    </x:row>
    <x:row r="93">
      <x:c r="A93" s="36"/>
      <x:c r="B93" s="67" t="str">
        <x:f>IF($A93="","",IFERROR(INDEX('Planejamento de Viagens'!$B$6:$B$205,MATCH($A93,'Planejamento de Viagens'!$A$6:$A$205,0)),""))</x:f>
      </x:c>
      <x:c r="C93" s="63" t="str">
        <x:f>IF($A93="","",SUMIFS('Histórico de Gastos'!$W$6:$W$205,'Histórico de Gastos'!$B$6:$B$205,$A93))</x:f>
      </x:c>
      <x:c r="D93" s="63" t="str">
        <x:f>IF($A93="","",SUMIFS('Histórico de Gastos'!$X$6:$X$205,'Histórico de Gastos'!$B$6:$B$205,$A93))</x:f>
      </x:c>
      <x:c r="E93" s="63" t="str">
        <x:f>IF($A93="","",SUMIFS('Histórico de Gastos'!$U$6:$U$205,'Histórico de Gastos'!$B$6:$B$205,$A93))</x:f>
      </x:c>
      <x:c r="F93" s="63" t="str">
        <x:f>IF($A93="","",SUMIFS('Histórico de Gastos'!$V$6:$V$205,'Histórico de Gastos'!$B$6:$B$205,$A93))</x:f>
      </x:c>
      <x:c r="G93" s="63" t="str">
        <x:f>IF($A93="","",$C93-$E93)</x:f>
      </x:c>
      <x:c r="H93" s="63" t="str">
        <x:f>IF($A93="","",$D93-$F93)</x:f>
      </x:c>
      <x:c r="I93" s="67" t="str">
        <x:f>IF($A93="","",IF(ABS($G93)&lt;0.01,"Tudo certo, ninguém deve nada",IF($G93&gt;0,"Camilly deve pagar para Pedro","Pedro deve pagar para Camilly")))</x:f>
      </x:c>
      <x:c r="J93" s="63" t="str">
        <x:f>IF($A93="","",ABS($G93))</x:f>
      </x:c>
      <x:c r="K93" s="67" t="str">
        <x:f>IF($A93="","",IF(ABS($G93)&lt;0.01,"-",IF($G93&gt;0,"Camilly Queiroz","Pedro Américo Paletot")))</x:f>
      </x:c>
      <x:c r="L93" s="67" t="str">
        <x:f>IF($A93="","",IF(ABS($G93)&lt;0.01,"-",IF($G93&gt;0,"Pedro Américo Paletot","Camilly Queiroz")))</x:f>
      </x:c>
      <x:c r="M93" s="36"/>
      <x:c r="N93" s="59"/>
      <x:c r="O93" s="36"/>
      <x:c r="P93" s="36"/>
    </x:row>
    <x:row r="94">
      <x:c r="A94" s="36"/>
      <x:c r="B94" s="67" t="str">
        <x:f>IF($A94="","",IFERROR(INDEX('Planejamento de Viagens'!$B$6:$B$205,MATCH($A94,'Planejamento de Viagens'!$A$6:$A$205,0)),""))</x:f>
      </x:c>
      <x:c r="C94" s="63" t="str">
        <x:f>IF($A94="","",SUMIFS('Histórico de Gastos'!$W$6:$W$205,'Histórico de Gastos'!$B$6:$B$205,$A94))</x:f>
      </x:c>
      <x:c r="D94" s="63" t="str">
        <x:f>IF($A94="","",SUMIFS('Histórico de Gastos'!$X$6:$X$205,'Histórico de Gastos'!$B$6:$B$205,$A94))</x:f>
      </x:c>
      <x:c r="E94" s="63" t="str">
        <x:f>IF($A94="","",SUMIFS('Histórico de Gastos'!$U$6:$U$205,'Histórico de Gastos'!$B$6:$B$205,$A94))</x:f>
      </x:c>
      <x:c r="F94" s="63" t="str">
        <x:f>IF($A94="","",SUMIFS('Histórico de Gastos'!$V$6:$V$205,'Histórico de Gastos'!$B$6:$B$205,$A94))</x:f>
      </x:c>
      <x:c r="G94" s="63" t="str">
        <x:f>IF($A94="","",$C94-$E94)</x:f>
      </x:c>
      <x:c r="H94" s="63" t="str">
        <x:f>IF($A94="","",$D94-$F94)</x:f>
      </x:c>
      <x:c r="I94" s="67" t="str">
        <x:f>IF($A94="","",IF(ABS($G94)&lt;0.01,"Tudo certo, ninguém deve nada",IF($G94&gt;0,"Camilly deve pagar para Pedro","Pedro deve pagar para Camilly")))</x:f>
      </x:c>
      <x:c r="J94" s="63" t="str">
        <x:f>IF($A94="","",ABS($G94))</x:f>
      </x:c>
      <x:c r="K94" s="67" t="str">
        <x:f>IF($A94="","",IF(ABS($G94)&lt;0.01,"-",IF($G94&gt;0,"Camilly Queiroz","Pedro Américo Paletot")))</x:f>
      </x:c>
      <x:c r="L94" s="67" t="str">
        <x:f>IF($A94="","",IF(ABS($G94)&lt;0.01,"-",IF($G94&gt;0,"Pedro Américo Paletot","Camilly Queiroz")))</x:f>
      </x:c>
      <x:c r="M94" s="36"/>
      <x:c r="N94" s="59"/>
      <x:c r="O94" s="36"/>
      <x:c r="P94" s="36"/>
    </x:row>
    <x:row r="95">
      <x:c r="A95" s="36"/>
      <x:c r="B95" s="67" t="str">
        <x:f>IF($A95="","",IFERROR(INDEX('Planejamento de Viagens'!$B$6:$B$205,MATCH($A95,'Planejamento de Viagens'!$A$6:$A$205,0)),""))</x:f>
      </x:c>
      <x:c r="C95" s="63" t="str">
        <x:f>IF($A95="","",SUMIFS('Histórico de Gastos'!$W$6:$W$205,'Histórico de Gastos'!$B$6:$B$205,$A95))</x:f>
      </x:c>
      <x:c r="D95" s="63" t="str">
        <x:f>IF($A95="","",SUMIFS('Histórico de Gastos'!$X$6:$X$205,'Histórico de Gastos'!$B$6:$B$205,$A95))</x:f>
      </x:c>
      <x:c r="E95" s="63" t="str">
        <x:f>IF($A95="","",SUMIFS('Histórico de Gastos'!$U$6:$U$205,'Histórico de Gastos'!$B$6:$B$205,$A95))</x:f>
      </x:c>
      <x:c r="F95" s="63" t="str">
        <x:f>IF($A95="","",SUMIFS('Histórico de Gastos'!$V$6:$V$205,'Histórico de Gastos'!$B$6:$B$205,$A95))</x:f>
      </x:c>
      <x:c r="G95" s="63" t="str">
        <x:f>IF($A95="","",$C95-$E95)</x:f>
      </x:c>
      <x:c r="H95" s="63" t="str">
        <x:f>IF($A95="","",$D95-$F95)</x:f>
      </x:c>
      <x:c r="I95" s="67" t="str">
        <x:f>IF($A95="","",IF(ABS($G95)&lt;0.01,"Tudo certo, ninguém deve nada",IF($G95&gt;0,"Camilly deve pagar para Pedro","Pedro deve pagar para Camilly")))</x:f>
      </x:c>
      <x:c r="J95" s="63" t="str">
        <x:f>IF($A95="","",ABS($G95))</x:f>
      </x:c>
      <x:c r="K95" s="67" t="str">
        <x:f>IF($A95="","",IF(ABS($G95)&lt;0.01,"-",IF($G95&gt;0,"Camilly Queiroz","Pedro Américo Paletot")))</x:f>
      </x:c>
      <x:c r="L95" s="67" t="str">
        <x:f>IF($A95="","",IF(ABS($G95)&lt;0.01,"-",IF($G95&gt;0,"Pedro Américo Paletot","Camilly Queiroz")))</x:f>
      </x:c>
      <x:c r="M95" s="36"/>
      <x:c r="N95" s="59"/>
      <x:c r="O95" s="36"/>
      <x:c r="P95" s="36"/>
    </x:row>
    <x:row r="96">
      <x:c r="A96" s="36"/>
      <x:c r="B96" s="67" t="str">
        <x:f>IF($A96="","",IFERROR(INDEX('Planejamento de Viagens'!$B$6:$B$205,MATCH($A96,'Planejamento de Viagens'!$A$6:$A$205,0)),""))</x:f>
      </x:c>
      <x:c r="C96" s="63" t="str">
        <x:f>IF($A96="","",SUMIFS('Histórico de Gastos'!$W$6:$W$205,'Histórico de Gastos'!$B$6:$B$205,$A96))</x:f>
      </x:c>
      <x:c r="D96" s="63" t="str">
        <x:f>IF($A96="","",SUMIFS('Histórico de Gastos'!$X$6:$X$205,'Histórico de Gastos'!$B$6:$B$205,$A96))</x:f>
      </x:c>
      <x:c r="E96" s="63" t="str">
        <x:f>IF($A96="","",SUMIFS('Histórico de Gastos'!$U$6:$U$205,'Histórico de Gastos'!$B$6:$B$205,$A96))</x:f>
      </x:c>
      <x:c r="F96" s="63" t="str">
        <x:f>IF($A96="","",SUMIFS('Histórico de Gastos'!$V$6:$V$205,'Histórico de Gastos'!$B$6:$B$205,$A96))</x:f>
      </x:c>
      <x:c r="G96" s="63" t="str">
        <x:f>IF($A96="","",$C96-$E96)</x:f>
      </x:c>
      <x:c r="H96" s="63" t="str">
        <x:f>IF($A96="","",$D96-$F96)</x:f>
      </x:c>
      <x:c r="I96" s="67" t="str">
        <x:f>IF($A96="","",IF(ABS($G96)&lt;0.01,"Tudo certo, ninguém deve nada",IF($G96&gt;0,"Camilly deve pagar para Pedro","Pedro deve pagar para Camilly")))</x:f>
      </x:c>
      <x:c r="J96" s="63" t="str">
        <x:f>IF($A96="","",ABS($G96))</x:f>
      </x:c>
      <x:c r="K96" s="67" t="str">
        <x:f>IF($A96="","",IF(ABS($G96)&lt;0.01,"-",IF($G96&gt;0,"Camilly Queiroz","Pedro Américo Paletot")))</x:f>
      </x:c>
      <x:c r="L96" s="67" t="str">
        <x:f>IF($A96="","",IF(ABS($G96)&lt;0.01,"-",IF($G96&gt;0,"Pedro Américo Paletot","Camilly Queiroz")))</x:f>
      </x:c>
      <x:c r="M96" s="36"/>
      <x:c r="N96" s="59"/>
      <x:c r="O96" s="36"/>
      <x:c r="P96" s="36"/>
    </x:row>
    <x:row r="97">
      <x:c r="A97" s="36"/>
      <x:c r="B97" s="67" t="str">
        <x:f>IF($A97="","",IFERROR(INDEX('Planejamento de Viagens'!$B$6:$B$205,MATCH($A97,'Planejamento de Viagens'!$A$6:$A$205,0)),""))</x:f>
      </x:c>
      <x:c r="C97" s="63" t="str">
        <x:f>IF($A97="","",SUMIFS('Histórico de Gastos'!$W$6:$W$205,'Histórico de Gastos'!$B$6:$B$205,$A97))</x:f>
      </x:c>
      <x:c r="D97" s="63" t="str">
        <x:f>IF($A97="","",SUMIFS('Histórico de Gastos'!$X$6:$X$205,'Histórico de Gastos'!$B$6:$B$205,$A97))</x:f>
      </x:c>
      <x:c r="E97" s="63" t="str">
        <x:f>IF($A97="","",SUMIFS('Histórico de Gastos'!$U$6:$U$205,'Histórico de Gastos'!$B$6:$B$205,$A97))</x:f>
      </x:c>
      <x:c r="F97" s="63" t="str">
        <x:f>IF($A97="","",SUMIFS('Histórico de Gastos'!$V$6:$V$205,'Histórico de Gastos'!$B$6:$B$205,$A97))</x:f>
      </x:c>
      <x:c r="G97" s="63" t="str">
        <x:f>IF($A97="","",$C97-$E97)</x:f>
      </x:c>
      <x:c r="H97" s="63" t="str">
        <x:f>IF($A97="","",$D97-$F97)</x:f>
      </x:c>
      <x:c r="I97" s="67" t="str">
        <x:f>IF($A97="","",IF(ABS($G97)&lt;0.01,"Tudo certo, ninguém deve nada",IF($G97&gt;0,"Camilly deve pagar para Pedro","Pedro deve pagar para Camilly")))</x:f>
      </x:c>
      <x:c r="J97" s="63" t="str">
        <x:f>IF($A97="","",ABS($G97))</x:f>
      </x:c>
      <x:c r="K97" s="67" t="str">
        <x:f>IF($A97="","",IF(ABS($G97)&lt;0.01,"-",IF($G97&gt;0,"Camilly Queiroz","Pedro Américo Paletot")))</x:f>
      </x:c>
      <x:c r="L97" s="67" t="str">
        <x:f>IF($A97="","",IF(ABS($G97)&lt;0.01,"-",IF($G97&gt;0,"Pedro Américo Paletot","Camilly Queiroz")))</x:f>
      </x:c>
      <x:c r="M97" s="36"/>
      <x:c r="N97" s="59"/>
      <x:c r="O97" s="36"/>
      <x:c r="P97" s="36"/>
    </x:row>
    <x:row r="98">
      <x:c r="A98" s="36"/>
      <x:c r="B98" s="67" t="str">
        <x:f>IF($A98="","",IFERROR(INDEX('Planejamento de Viagens'!$B$6:$B$205,MATCH($A98,'Planejamento de Viagens'!$A$6:$A$205,0)),""))</x:f>
      </x:c>
      <x:c r="C98" s="63" t="str">
        <x:f>IF($A98="","",SUMIFS('Histórico de Gastos'!$W$6:$W$205,'Histórico de Gastos'!$B$6:$B$205,$A98))</x:f>
      </x:c>
      <x:c r="D98" s="63" t="str">
        <x:f>IF($A98="","",SUMIFS('Histórico de Gastos'!$X$6:$X$205,'Histórico de Gastos'!$B$6:$B$205,$A98))</x:f>
      </x:c>
      <x:c r="E98" s="63" t="str">
        <x:f>IF($A98="","",SUMIFS('Histórico de Gastos'!$U$6:$U$205,'Histórico de Gastos'!$B$6:$B$205,$A98))</x:f>
      </x:c>
      <x:c r="F98" s="63" t="str">
        <x:f>IF($A98="","",SUMIFS('Histórico de Gastos'!$V$6:$V$205,'Histórico de Gastos'!$B$6:$B$205,$A98))</x:f>
      </x:c>
      <x:c r="G98" s="63" t="str">
        <x:f>IF($A98="","",$C98-$E98)</x:f>
      </x:c>
      <x:c r="H98" s="63" t="str">
        <x:f>IF($A98="","",$D98-$F98)</x:f>
      </x:c>
      <x:c r="I98" s="67" t="str">
        <x:f>IF($A98="","",IF(ABS($G98)&lt;0.01,"Tudo certo, ninguém deve nada",IF($G98&gt;0,"Camilly deve pagar para Pedro","Pedro deve pagar para Camilly")))</x:f>
      </x:c>
      <x:c r="J98" s="63" t="str">
        <x:f>IF($A98="","",ABS($G98))</x:f>
      </x:c>
      <x:c r="K98" s="67" t="str">
        <x:f>IF($A98="","",IF(ABS($G98)&lt;0.01,"-",IF($G98&gt;0,"Camilly Queiroz","Pedro Américo Paletot")))</x:f>
      </x:c>
      <x:c r="L98" s="67" t="str">
        <x:f>IF($A98="","",IF(ABS($G98)&lt;0.01,"-",IF($G98&gt;0,"Pedro Américo Paletot","Camilly Queiroz")))</x:f>
      </x:c>
      <x:c r="M98" s="36"/>
      <x:c r="N98" s="59"/>
      <x:c r="O98" s="36"/>
      <x:c r="P98" s="36"/>
    </x:row>
    <x:row r="99">
      <x:c r="A99" s="36"/>
      <x:c r="B99" s="67" t="str">
        <x:f>IF($A99="","",IFERROR(INDEX('Planejamento de Viagens'!$B$6:$B$205,MATCH($A99,'Planejamento de Viagens'!$A$6:$A$205,0)),""))</x:f>
      </x:c>
      <x:c r="C99" s="63" t="str">
        <x:f>IF($A99="","",SUMIFS('Histórico de Gastos'!$W$6:$W$205,'Histórico de Gastos'!$B$6:$B$205,$A99))</x:f>
      </x:c>
      <x:c r="D99" s="63" t="str">
        <x:f>IF($A99="","",SUMIFS('Histórico de Gastos'!$X$6:$X$205,'Histórico de Gastos'!$B$6:$B$205,$A99))</x:f>
      </x:c>
      <x:c r="E99" s="63" t="str">
        <x:f>IF($A99="","",SUMIFS('Histórico de Gastos'!$U$6:$U$205,'Histórico de Gastos'!$B$6:$B$205,$A99))</x:f>
      </x:c>
      <x:c r="F99" s="63" t="str">
        <x:f>IF($A99="","",SUMIFS('Histórico de Gastos'!$V$6:$V$205,'Histórico de Gastos'!$B$6:$B$205,$A99))</x:f>
      </x:c>
      <x:c r="G99" s="63" t="str">
        <x:f>IF($A99="","",$C99-$E99)</x:f>
      </x:c>
      <x:c r="H99" s="63" t="str">
        <x:f>IF($A99="","",$D99-$F99)</x:f>
      </x:c>
      <x:c r="I99" s="67" t="str">
        <x:f>IF($A99="","",IF(ABS($G99)&lt;0.01,"Tudo certo, ninguém deve nada",IF($G99&gt;0,"Camilly deve pagar para Pedro","Pedro deve pagar para Camilly")))</x:f>
      </x:c>
      <x:c r="J99" s="63" t="str">
        <x:f>IF($A99="","",ABS($G99))</x:f>
      </x:c>
      <x:c r="K99" s="67" t="str">
        <x:f>IF($A99="","",IF(ABS($G99)&lt;0.01,"-",IF($G99&gt;0,"Camilly Queiroz","Pedro Américo Paletot")))</x:f>
      </x:c>
      <x:c r="L99" s="67" t="str">
        <x:f>IF($A99="","",IF(ABS($G99)&lt;0.01,"-",IF($G99&gt;0,"Pedro Américo Paletot","Camilly Queiroz")))</x:f>
      </x:c>
      <x:c r="M99" s="36"/>
      <x:c r="N99" s="59"/>
      <x:c r="O99" s="36"/>
      <x:c r="P99" s="36"/>
    </x:row>
    <x:row r="100">
      <x:c r="A100" s="36"/>
      <x:c r="B100" s="67" t="str">
        <x:f>IF($A100="","",IFERROR(INDEX('Planejamento de Viagens'!$B$6:$B$205,MATCH($A100,'Planejamento de Viagens'!$A$6:$A$205,0)),""))</x:f>
      </x:c>
      <x:c r="C100" s="63" t="str">
        <x:f>IF($A100="","",SUMIFS('Histórico de Gastos'!$W$6:$W$205,'Histórico de Gastos'!$B$6:$B$205,$A100))</x:f>
      </x:c>
      <x:c r="D100" s="63" t="str">
        <x:f>IF($A100="","",SUMIFS('Histórico de Gastos'!$X$6:$X$205,'Histórico de Gastos'!$B$6:$B$205,$A100))</x:f>
      </x:c>
      <x:c r="E100" s="63" t="str">
        <x:f>IF($A100="","",SUMIFS('Histórico de Gastos'!$U$6:$U$205,'Histórico de Gastos'!$B$6:$B$205,$A100))</x:f>
      </x:c>
      <x:c r="F100" s="63" t="str">
        <x:f>IF($A100="","",SUMIFS('Histórico de Gastos'!$V$6:$V$205,'Histórico de Gastos'!$B$6:$B$205,$A100))</x:f>
      </x:c>
      <x:c r="G100" s="63" t="str">
        <x:f>IF($A100="","",$C100-$E100)</x:f>
      </x:c>
      <x:c r="H100" s="63" t="str">
        <x:f>IF($A100="","",$D100-$F100)</x:f>
      </x:c>
      <x:c r="I100" s="67" t="str">
        <x:f>IF($A100="","",IF(ABS($G100)&lt;0.01,"Tudo certo, ninguém deve nada",IF($G100&gt;0,"Camilly deve pagar para Pedro","Pedro deve pagar para Camilly")))</x:f>
      </x:c>
      <x:c r="J100" s="63" t="str">
        <x:f>IF($A100="","",ABS($G100))</x:f>
      </x:c>
      <x:c r="K100" s="67" t="str">
        <x:f>IF($A100="","",IF(ABS($G100)&lt;0.01,"-",IF($G100&gt;0,"Camilly Queiroz","Pedro Américo Paletot")))</x:f>
      </x:c>
      <x:c r="L100" s="67" t="str">
        <x:f>IF($A100="","",IF(ABS($G100)&lt;0.01,"-",IF($G100&gt;0,"Pedro Américo Paletot","Camilly Queiroz")))</x:f>
      </x:c>
      <x:c r="M100" s="36"/>
      <x:c r="N100" s="59"/>
      <x:c r="O100" s="36"/>
      <x:c r="P100" s="36"/>
    </x:row>
    <x:row r="101">
      <x:c r="A101" s="36"/>
      <x:c r="B101" s="67" t="str">
        <x:f>IF($A101="","",IFERROR(INDEX('Planejamento de Viagens'!$B$6:$B$205,MATCH($A101,'Planejamento de Viagens'!$A$6:$A$205,0)),""))</x:f>
      </x:c>
      <x:c r="C101" s="63" t="str">
        <x:f>IF($A101="","",SUMIFS('Histórico de Gastos'!$W$6:$W$205,'Histórico de Gastos'!$B$6:$B$205,$A101))</x:f>
      </x:c>
      <x:c r="D101" s="63" t="str">
        <x:f>IF($A101="","",SUMIFS('Histórico de Gastos'!$X$6:$X$205,'Histórico de Gastos'!$B$6:$B$205,$A101))</x:f>
      </x:c>
      <x:c r="E101" s="63" t="str">
        <x:f>IF($A101="","",SUMIFS('Histórico de Gastos'!$U$6:$U$205,'Histórico de Gastos'!$B$6:$B$205,$A101))</x:f>
      </x:c>
      <x:c r="F101" s="63" t="str">
        <x:f>IF($A101="","",SUMIFS('Histórico de Gastos'!$V$6:$V$205,'Histórico de Gastos'!$B$6:$B$205,$A101))</x:f>
      </x:c>
      <x:c r="G101" s="63" t="str">
        <x:f>IF($A101="","",$C101-$E101)</x:f>
      </x:c>
      <x:c r="H101" s="63" t="str">
        <x:f>IF($A101="","",$D101-$F101)</x:f>
      </x:c>
      <x:c r="I101" s="67" t="str">
        <x:f>IF($A101="","",IF(ABS($G101)&lt;0.01,"Tudo certo, ninguém deve nada",IF($G101&gt;0,"Camilly deve pagar para Pedro","Pedro deve pagar para Camilly")))</x:f>
      </x:c>
      <x:c r="J101" s="63" t="str">
        <x:f>IF($A101="","",ABS($G101))</x:f>
      </x:c>
      <x:c r="K101" s="67" t="str">
        <x:f>IF($A101="","",IF(ABS($G101)&lt;0.01,"-",IF($G101&gt;0,"Camilly Queiroz","Pedro Américo Paletot")))</x:f>
      </x:c>
      <x:c r="L101" s="67" t="str">
        <x:f>IF($A101="","",IF(ABS($G101)&lt;0.01,"-",IF($G101&gt;0,"Pedro Américo Paletot","Camilly Queiroz")))</x:f>
      </x:c>
      <x:c r="M101" s="36"/>
      <x:c r="N101" s="59"/>
      <x:c r="O101" s="36"/>
      <x:c r="P101" s="36"/>
    </x:row>
    <x:row r="102">
      <x:c r="A102" s="36"/>
      <x:c r="B102" s="67" t="str">
        <x:f>IF($A102="","",IFERROR(INDEX('Planejamento de Viagens'!$B$6:$B$205,MATCH($A102,'Planejamento de Viagens'!$A$6:$A$205,0)),""))</x:f>
      </x:c>
      <x:c r="C102" s="63" t="str">
        <x:f>IF($A102="","",SUMIFS('Histórico de Gastos'!$W$6:$W$205,'Histórico de Gastos'!$B$6:$B$205,$A102))</x:f>
      </x:c>
      <x:c r="D102" s="63" t="str">
        <x:f>IF($A102="","",SUMIFS('Histórico de Gastos'!$X$6:$X$205,'Histórico de Gastos'!$B$6:$B$205,$A102))</x:f>
      </x:c>
      <x:c r="E102" s="63" t="str">
        <x:f>IF($A102="","",SUMIFS('Histórico de Gastos'!$U$6:$U$205,'Histórico de Gastos'!$B$6:$B$205,$A102))</x:f>
      </x:c>
      <x:c r="F102" s="63" t="str">
        <x:f>IF($A102="","",SUMIFS('Histórico de Gastos'!$V$6:$V$205,'Histórico de Gastos'!$B$6:$B$205,$A102))</x:f>
      </x:c>
      <x:c r="G102" s="63" t="str">
        <x:f>IF($A102="","",$C102-$E102)</x:f>
      </x:c>
      <x:c r="H102" s="63" t="str">
        <x:f>IF($A102="","",$D102-$F102)</x:f>
      </x:c>
      <x:c r="I102" s="67" t="str">
        <x:f>IF($A102="","",IF(ABS($G102)&lt;0.01,"Tudo certo, ninguém deve nada",IF($G102&gt;0,"Camilly deve pagar para Pedro","Pedro deve pagar para Camilly")))</x:f>
      </x:c>
      <x:c r="J102" s="63" t="str">
        <x:f>IF($A102="","",ABS($G102))</x:f>
      </x:c>
      <x:c r="K102" s="67" t="str">
        <x:f>IF($A102="","",IF(ABS($G102)&lt;0.01,"-",IF($G102&gt;0,"Camilly Queiroz","Pedro Américo Paletot")))</x:f>
      </x:c>
      <x:c r="L102" s="67" t="str">
        <x:f>IF($A102="","",IF(ABS($G102)&lt;0.01,"-",IF($G102&gt;0,"Pedro Américo Paletot","Camilly Queiroz")))</x:f>
      </x:c>
      <x:c r="M102" s="36"/>
      <x:c r="N102" s="59"/>
      <x:c r="O102" s="36"/>
      <x:c r="P102" s="36"/>
    </x:row>
    <x:row r="103">
      <x:c r="A103" s="36"/>
      <x:c r="B103" s="67" t="str">
        <x:f>IF($A103="","",IFERROR(INDEX('Planejamento de Viagens'!$B$6:$B$205,MATCH($A103,'Planejamento de Viagens'!$A$6:$A$205,0)),""))</x:f>
      </x:c>
      <x:c r="C103" s="63" t="str">
        <x:f>IF($A103="","",SUMIFS('Histórico de Gastos'!$W$6:$W$205,'Histórico de Gastos'!$B$6:$B$205,$A103))</x:f>
      </x:c>
      <x:c r="D103" s="63" t="str">
        <x:f>IF($A103="","",SUMIFS('Histórico de Gastos'!$X$6:$X$205,'Histórico de Gastos'!$B$6:$B$205,$A103))</x:f>
      </x:c>
      <x:c r="E103" s="63" t="str">
        <x:f>IF($A103="","",SUMIFS('Histórico de Gastos'!$U$6:$U$205,'Histórico de Gastos'!$B$6:$B$205,$A103))</x:f>
      </x:c>
      <x:c r="F103" s="63" t="str">
        <x:f>IF($A103="","",SUMIFS('Histórico de Gastos'!$V$6:$V$205,'Histórico de Gastos'!$B$6:$B$205,$A103))</x:f>
      </x:c>
      <x:c r="G103" s="63" t="str">
        <x:f>IF($A103="","",$C103-$E103)</x:f>
      </x:c>
      <x:c r="H103" s="63" t="str">
        <x:f>IF($A103="","",$D103-$F103)</x:f>
      </x:c>
      <x:c r="I103" s="67" t="str">
        <x:f>IF($A103="","",IF(ABS($G103)&lt;0.01,"Tudo certo, ninguém deve nada",IF($G103&gt;0,"Camilly deve pagar para Pedro","Pedro deve pagar para Camilly")))</x:f>
      </x:c>
      <x:c r="J103" s="63" t="str">
        <x:f>IF($A103="","",ABS($G103))</x:f>
      </x:c>
      <x:c r="K103" s="67" t="str">
        <x:f>IF($A103="","",IF(ABS($G103)&lt;0.01,"-",IF($G103&gt;0,"Camilly Queiroz","Pedro Américo Paletot")))</x:f>
      </x:c>
      <x:c r="L103" s="67" t="str">
        <x:f>IF($A103="","",IF(ABS($G103)&lt;0.01,"-",IF($G103&gt;0,"Pedro Américo Paletot","Camilly Queiroz")))</x:f>
      </x:c>
      <x:c r="M103" s="36"/>
      <x:c r="N103" s="59"/>
      <x:c r="O103" s="36"/>
      <x:c r="P103" s="36"/>
    </x:row>
    <x:row r="104">
      <x:c r="A104" s="36"/>
      <x:c r="B104" s="67" t="str">
        <x:f>IF($A104="","",IFERROR(INDEX('Planejamento de Viagens'!$B$6:$B$205,MATCH($A104,'Planejamento de Viagens'!$A$6:$A$205,0)),""))</x:f>
      </x:c>
      <x:c r="C104" s="63" t="str">
        <x:f>IF($A104="","",SUMIFS('Histórico de Gastos'!$W$6:$W$205,'Histórico de Gastos'!$B$6:$B$205,$A104))</x:f>
      </x:c>
      <x:c r="D104" s="63" t="str">
        <x:f>IF($A104="","",SUMIFS('Histórico de Gastos'!$X$6:$X$205,'Histórico de Gastos'!$B$6:$B$205,$A104))</x:f>
      </x:c>
      <x:c r="E104" s="63" t="str">
        <x:f>IF($A104="","",SUMIFS('Histórico de Gastos'!$U$6:$U$205,'Histórico de Gastos'!$B$6:$B$205,$A104))</x:f>
      </x:c>
      <x:c r="F104" s="63" t="str">
        <x:f>IF($A104="","",SUMIFS('Histórico de Gastos'!$V$6:$V$205,'Histórico de Gastos'!$B$6:$B$205,$A104))</x:f>
      </x:c>
      <x:c r="G104" s="63" t="str">
        <x:f>IF($A104="","",$C104-$E104)</x:f>
      </x:c>
      <x:c r="H104" s="63" t="str">
        <x:f>IF($A104="","",$D104-$F104)</x:f>
      </x:c>
      <x:c r="I104" s="67" t="str">
        <x:f>IF($A104="","",IF(ABS($G104)&lt;0.01,"Tudo certo, ninguém deve nada",IF($G104&gt;0,"Camilly deve pagar para Pedro","Pedro deve pagar para Camilly")))</x:f>
      </x:c>
      <x:c r="J104" s="63" t="str">
        <x:f>IF($A104="","",ABS($G104))</x:f>
      </x:c>
      <x:c r="K104" s="67" t="str">
        <x:f>IF($A104="","",IF(ABS($G104)&lt;0.01,"-",IF($G104&gt;0,"Camilly Queiroz","Pedro Américo Paletot")))</x:f>
      </x:c>
      <x:c r="L104" s="67" t="str">
        <x:f>IF($A104="","",IF(ABS($G104)&lt;0.01,"-",IF($G104&gt;0,"Pedro Américo Paletot","Camilly Queiroz")))</x:f>
      </x:c>
      <x:c r="M104" s="36"/>
      <x:c r="N104" s="59"/>
      <x:c r="O104" s="36"/>
      <x:c r="P104" s="36"/>
    </x:row>
    <x:row r="105">
      <x:c r="A105" s="36"/>
      <x:c r="B105" s="67" t="str">
        <x:f>IF($A105="","",IFERROR(INDEX('Planejamento de Viagens'!$B$6:$B$205,MATCH($A105,'Planejamento de Viagens'!$A$6:$A$205,0)),""))</x:f>
      </x:c>
      <x:c r="C105" s="63" t="str">
        <x:f>IF($A105="","",SUMIFS('Histórico de Gastos'!$W$6:$W$205,'Histórico de Gastos'!$B$6:$B$205,$A105))</x:f>
      </x:c>
      <x:c r="D105" s="63" t="str">
        <x:f>IF($A105="","",SUMIFS('Histórico de Gastos'!$X$6:$X$205,'Histórico de Gastos'!$B$6:$B$205,$A105))</x:f>
      </x:c>
      <x:c r="E105" s="63" t="str">
        <x:f>IF($A105="","",SUMIFS('Histórico de Gastos'!$U$6:$U$205,'Histórico de Gastos'!$B$6:$B$205,$A105))</x:f>
      </x:c>
      <x:c r="F105" s="63" t="str">
        <x:f>IF($A105="","",SUMIFS('Histórico de Gastos'!$V$6:$V$205,'Histórico de Gastos'!$B$6:$B$205,$A105))</x:f>
      </x:c>
      <x:c r="G105" s="63" t="str">
        <x:f>IF($A105="","",$C105-$E105)</x:f>
      </x:c>
      <x:c r="H105" s="63" t="str">
        <x:f>IF($A105="","",$D105-$F105)</x:f>
      </x:c>
      <x:c r="I105" s="67" t="str">
        <x:f>IF($A105="","",IF(ABS($G105)&lt;0.01,"Tudo certo, ninguém deve nada",IF($G105&gt;0,"Camilly deve pagar para Pedro","Pedro deve pagar para Camilly")))</x:f>
      </x:c>
      <x:c r="J105" s="63" t="str">
        <x:f>IF($A105="","",ABS($G105))</x:f>
      </x:c>
      <x:c r="K105" s="67" t="str">
        <x:f>IF($A105="","",IF(ABS($G105)&lt;0.01,"-",IF($G105&gt;0,"Camilly Queiroz","Pedro Américo Paletot")))</x:f>
      </x:c>
      <x:c r="L105" s="67" t="str">
        <x:f>IF($A105="","",IF(ABS($G105)&lt;0.01,"-",IF($G105&gt;0,"Pedro Américo Paletot","Camilly Queiroz")))</x:f>
      </x:c>
      <x:c r="M105" s="36"/>
      <x:c r="N105" s="59"/>
      <x:c r="O105" s="36"/>
      <x:c r="P105" s="36"/>
    </x:row>
    <x:row r="106">
      <x:c r="A106" s="36"/>
      <x:c r="B106" s="67" t="str">
        <x:f>IF($A106="","",IFERROR(INDEX('Planejamento de Viagens'!$B$6:$B$205,MATCH($A106,'Planejamento de Viagens'!$A$6:$A$205,0)),""))</x:f>
      </x:c>
      <x:c r="C106" s="63" t="str">
        <x:f>IF($A106="","",SUMIFS('Histórico de Gastos'!$W$6:$W$205,'Histórico de Gastos'!$B$6:$B$205,$A106))</x:f>
      </x:c>
      <x:c r="D106" s="63" t="str">
        <x:f>IF($A106="","",SUMIFS('Histórico de Gastos'!$X$6:$X$205,'Histórico de Gastos'!$B$6:$B$205,$A106))</x:f>
      </x:c>
      <x:c r="E106" s="63" t="str">
        <x:f>IF($A106="","",SUMIFS('Histórico de Gastos'!$U$6:$U$205,'Histórico de Gastos'!$B$6:$B$205,$A106))</x:f>
      </x:c>
      <x:c r="F106" s="63" t="str">
        <x:f>IF($A106="","",SUMIFS('Histórico de Gastos'!$V$6:$V$205,'Histórico de Gastos'!$B$6:$B$205,$A106))</x:f>
      </x:c>
      <x:c r="G106" s="63" t="str">
        <x:f>IF($A106="","",$C106-$E106)</x:f>
      </x:c>
      <x:c r="H106" s="63" t="str">
        <x:f>IF($A106="","",$D106-$F106)</x:f>
      </x:c>
      <x:c r="I106" s="67" t="str">
        <x:f>IF($A106="","",IF(ABS($G106)&lt;0.01,"Tudo certo, ninguém deve nada",IF($G106&gt;0,"Camilly deve pagar para Pedro","Pedro deve pagar para Camilly")))</x:f>
      </x:c>
      <x:c r="J106" s="63" t="str">
        <x:f>IF($A106="","",ABS($G106))</x:f>
      </x:c>
      <x:c r="K106" s="67" t="str">
        <x:f>IF($A106="","",IF(ABS($G106)&lt;0.01,"-",IF($G106&gt;0,"Camilly Queiroz","Pedro Américo Paletot")))</x:f>
      </x:c>
      <x:c r="L106" s="67" t="str">
        <x:f>IF($A106="","",IF(ABS($G106)&lt;0.01,"-",IF($G106&gt;0,"Pedro Américo Paletot","Camilly Queiroz")))</x:f>
      </x:c>
      <x:c r="M106" s="36"/>
      <x:c r="N106" s="59"/>
      <x:c r="O106" s="36"/>
      <x:c r="P106" s="36"/>
    </x:row>
    <x:row r="107">
      <x:c r="A107" s="36"/>
      <x:c r="B107" s="67" t="str">
        <x:f>IF($A107="","",IFERROR(INDEX('Planejamento de Viagens'!$B$6:$B$205,MATCH($A107,'Planejamento de Viagens'!$A$6:$A$205,0)),""))</x:f>
      </x:c>
      <x:c r="C107" s="63" t="str">
        <x:f>IF($A107="","",SUMIFS('Histórico de Gastos'!$W$6:$W$205,'Histórico de Gastos'!$B$6:$B$205,$A107))</x:f>
      </x:c>
      <x:c r="D107" s="63" t="str">
        <x:f>IF($A107="","",SUMIFS('Histórico de Gastos'!$X$6:$X$205,'Histórico de Gastos'!$B$6:$B$205,$A107))</x:f>
      </x:c>
      <x:c r="E107" s="63" t="str">
        <x:f>IF($A107="","",SUMIFS('Histórico de Gastos'!$U$6:$U$205,'Histórico de Gastos'!$B$6:$B$205,$A107))</x:f>
      </x:c>
      <x:c r="F107" s="63" t="str">
        <x:f>IF($A107="","",SUMIFS('Histórico de Gastos'!$V$6:$V$205,'Histórico de Gastos'!$B$6:$B$205,$A107))</x:f>
      </x:c>
      <x:c r="G107" s="63" t="str">
        <x:f>IF($A107="","",$C107-$E107)</x:f>
      </x:c>
      <x:c r="H107" s="63" t="str">
        <x:f>IF($A107="","",$D107-$F107)</x:f>
      </x:c>
      <x:c r="I107" s="67" t="str">
        <x:f>IF($A107="","",IF(ABS($G107)&lt;0.01,"Tudo certo, ninguém deve nada",IF($G107&gt;0,"Camilly deve pagar para Pedro","Pedro deve pagar para Camilly")))</x:f>
      </x:c>
      <x:c r="J107" s="63" t="str">
        <x:f>IF($A107="","",ABS($G107))</x:f>
      </x:c>
      <x:c r="K107" s="67" t="str">
        <x:f>IF($A107="","",IF(ABS($G107)&lt;0.01,"-",IF($G107&gt;0,"Camilly Queiroz","Pedro Américo Paletot")))</x:f>
      </x:c>
      <x:c r="L107" s="67" t="str">
        <x:f>IF($A107="","",IF(ABS($G107)&lt;0.01,"-",IF($G107&gt;0,"Pedro Américo Paletot","Camilly Queiroz")))</x:f>
      </x:c>
      <x:c r="M107" s="36"/>
      <x:c r="N107" s="59"/>
      <x:c r="O107" s="36"/>
      <x:c r="P107" s="36"/>
    </x:row>
    <x:row r="108">
      <x:c r="A108" s="36"/>
      <x:c r="B108" s="67" t="str">
        <x:f>IF($A108="","",IFERROR(INDEX('Planejamento de Viagens'!$B$6:$B$205,MATCH($A108,'Planejamento de Viagens'!$A$6:$A$205,0)),""))</x:f>
      </x:c>
      <x:c r="C108" s="63" t="str">
        <x:f>IF($A108="","",SUMIFS('Histórico de Gastos'!$W$6:$W$205,'Histórico de Gastos'!$B$6:$B$205,$A108))</x:f>
      </x:c>
      <x:c r="D108" s="63" t="str">
        <x:f>IF($A108="","",SUMIFS('Histórico de Gastos'!$X$6:$X$205,'Histórico de Gastos'!$B$6:$B$205,$A108))</x:f>
      </x:c>
      <x:c r="E108" s="63" t="str">
        <x:f>IF($A108="","",SUMIFS('Histórico de Gastos'!$U$6:$U$205,'Histórico de Gastos'!$B$6:$B$205,$A108))</x:f>
      </x:c>
      <x:c r="F108" s="63" t="str">
        <x:f>IF($A108="","",SUMIFS('Histórico de Gastos'!$V$6:$V$205,'Histórico de Gastos'!$B$6:$B$205,$A108))</x:f>
      </x:c>
      <x:c r="G108" s="63" t="str">
        <x:f>IF($A108="","",$C108-$E108)</x:f>
      </x:c>
      <x:c r="H108" s="63" t="str">
        <x:f>IF($A108="","",$D108-$F108)</x:f>
      </x:c>
      <x:c r="I108" s="67" t="str">
        <x:f>IF($A108="","",IF(ABS($G108)&lt;0.01,"Tudo certo, ninguém deve nada",IF($G108&gt;0,"Camilly deve pagar para Pedro","Pedro deve pagar para Camilly")))</x:f>
      </x:c>
      <x:c r="J108" s="63" t="str">
        <x:f>IF($A108="","",ABS($G108))</x:f>
      </x:c>
      <x:c r="K108" s="67" t="str">
        <x:f>IF($A108="","",IF(ABS($G108)&lt;0.01,"-",IF($G108&gt;0,"Camilly Queiroz","Pedro Américo Paletot")))</x:f>
      </x:c>
      <x:c r="L108" s="67" t="str">
        <x:f>IF($A108="","",IF(ABS($G108)&lt;0.01,"-",IF($G108&gt;0,"Pedro Américo Paletot","Camilly Queiroz")))</x:f>
      </x:c>
      <x:c r="M108" s="36"/>
      <x:c r="N108" s="59"/>
      <x:c r="O108" s="36"/>
      <x:c r="P108" s="36"/>
    </x:row>
    <x:row r="109">
      <x:c r="A109" s="36"/>
      <x:c r="B109" s="67" t="str">
        <x:f>IF($A109="","",IFERROR(INDEX('Planejamento de Viagens'!$B$6:$B$205,MATCH($A109,'Planejamento de Viagens'!$A$6:$A$205,0)),""))</x:f>
      </x:c>
      <x:c r="C109" s="63" t="str">
        <x:f>IF($A109="","",SUMIFS('Histórico de Gastos'!$W$6:$W$205,'Histórico de Gastos'!$B$6:$B$205,$A109))</x:f>
      </x:c>
      <x:c r="D109" s="63" t="str">
        <x:f>IF($A109="","",SUMIFS('Histórico de Gastos'!$X$6:$X$205,'Histórico de Gastos'!$B$6:$B$205,$A109))</x:f>
      </x:c>
      <x:c r="E109" s="63" t="str">
        <x:f>IF($A109="","",SUMIFS('Histórico de Gastos'!$U$6:$U$205,'Histórico de Gastos'!$B$6:$B$205,$A109))</x:f>
      </x:c>
      <x:c r="F109" s="63" t="str">
        <x:f>IF($A109="","",SUMIFS('Histórico de Gastos'!$V$6:$V$205,'Histórico de Gastos'!$B$6:$B$205,$A109))</x:f>
      </x:c>
      <x:c r="G109" s="63" t="str">
        <x:f>IF($A109="","",$C109-$E109)</x:f>
      </x:c>
      <x:c r="H109" s="63" t="str">
        <x:f>IF($A109="","",$D109-$F109)</x:f>
      </x:c>
      <x:c r="I109" s="67" t="str">
        <x:f>IF($A109="","",IF(ABS($G109)&lt;0.01,"Tudo certo, ninguém deve nada",IF($G109&gt;0,"Camilly deve pagar para Pedro","Pedro deve pagar para Camilly")))</x:f>
      </x:c>
      <x:c r="J109" s="63" t="str">
        <x:f>IF($A109="","",ABS($G109))</x:f>
      </x:c>
      <x:c r="K109" s="67" t="str">
        <x:f>IF($A109="","",IF(ABS($G109)&lt;0.01,"-",IF($G109&gt;0,"Camilly Queiroz","Pedro Américo Paletot")))</x:f>
      </x:c>
      <x:c r="L109" s="67" t="str">
        <x:f>IF($A109="","",IF(ABS($G109)&lt;0.01,"-",IF($G109&gt;0,"Pedro Américo Paletot","Camilly Queiroz")))</x:f>
      </x:c>
      <x:c r="M109" s="36"/>
      <x:c r="N109" s="59"/>
      <x:c r="O109" s="36"/>
      <x:c r="P109" s="36"/>
    </x:row>
    <x:row r="110">
      <x:c r="A110" s="36"/>
      <x:c r="B110" s="67" t="str">
        <x:f>IF($A110="","",IFERROR(INDEX('Planejamento de Viagens'!$B$6:$B$205,MATCH($A110,'Planejamento de Viagens'!$A$6:$A$205,0)),""))</x:f>
      </x:c>
      <x:c r="C110" s="63" t="str">
        <x:f>IF($A110="","",SUMIFS('Histórico de Gastos'!$W$6:$W$205,'Histórico de Gastos'!$B$6:$B$205,$A110))</x:f>
      </x:c>
      <x:c r="D110" s="63" t="str">
        <x:f>IF($A110="","",SUMIFS('Histórico de Gastos'!$X$6:$X$205,'Histórico de Gastos'!$B$6:$B$205,$A110))</x:f>
      </x:c>
      <x:c r="E110" s="63" t="str">
        <x:f>IF($A110="","",SUMIFS('Histórico de Gastos'!$U$6:$U$205,'Histórico de Gastos'!$B$6:$B$205,$A110))</x:f>
      </x:c>
      <x:c r="F110" s="63" t="str">
        <x:f>IF($A110="","",SUMIFS('Histórico de Gastos'!$V$6:$V$205,'Histórico de Gastos'!$B$6:$B$205,$A110))</x:f>
      </x:c>
      <x:c r="G110" s="63" t="str">
        <x:f>IF($A110="","",$C110-$E110)</x:f>
      </x:c>
      <x:c r="H110" s="63" t="str">
        <x:f>IF($A110="","",$D110-$F110)</x:f>
      </x:c>
      <x:c r="I110" s="67" t="str">
        <x:f>IF($A110="","",IF(ABS($G110)&lt;0.01,"Tudo certo, ninguém deve nada",IF($G110&gt;0,"Camilly deve pagar para Pedro","Pedro deve pagar para Camilly")))</x:f>
      </x:c>
      <x:c r="J110" s="63" t="str">
        <x:f>IF($A110="","",ABS($G110))</x:f>
      </x:c>
      <x:c r="K110" s="67" t="str">
        <x:f>IF($A110="","",IF(ABS($G110)&lt;0.01,"-",IF($G110&gt;0,"Camilly Queiroz","Pedro Américo Paletot")))</x:f>
      </x:c>
      <x:c r="L110" s="67" t="str">
        <x:f>IF($A110="","",IF(ABS($G110)&lt;0.01,"-",IF($G110&gt;0,"Pedro Américo Paletot","Camilly Queiroz")))</x:f>
      </x:c>
      <x:c r="M110" s="36"/>
      <x:c r="N110" s="59"/>
      <x:c r="O110" s="36"/>
      <x:c r="P110" s="36"/>
    </x:row>
    <x:row r="111">
      <x:c r="A111" s="36"/>
      <x:c r="B111" s="67" t="str">
        <x:f>IF($A111="","",IFERROR(INDEX('Planejamento de Viagens'!$B$6:$B$205,MATCH($A111,'Planejamento de Viagens'!$A$6:$A$205,0)),""))</x:f>
      </x:c>
      <x:c r="C111" s="63" t="str">
        <x:f>IF($A111="","",SUMIFS('Histórico de Gastos'!$W$6:$W$205,'Histórico de Gastos'!$B$6:$B$205,$A111))</x:f>
      </x:c>
      <x:c r="D111" s="63" t="str">
        <x:f>IF($A111="","",SUMIFS('Histórico de Gastos'!$X$6:$X$205,'Histórico de Gastos'!$B$6:$B$205,$A111))</x:f>
      </x:c>
      <x:c r="E111" s="63" t="str">
        <x:f>IF($A111="","",SUMIFS('Histórico de Gastos'!$U$6:$U$205,'Histórico de Gastos'!$B$6:$B$205,$A111))</x:f>
      </x:c>
      <x:c r="F111" s="63" t="str">
        <x:f>IF($A111="","",SUMIFS('Histórico de Gastos'!$V$6:$V$205,'Histórico de Gastos'!$B$6:$B$205,$A111))</x:f>
      </x:c>
      <x:c r="G111" s="63" t="str">
        <x:f>IF($A111="","",$C111-$E111)</x:f>
      </x:c>
      <x:c r="H111" s="63" t="str">
        <x:f>IF($A111="","",$D111-$F111)</x:f>
      </x:c>
      <x:c r="I111" s="67" t="str">
        <x:f>IF($A111="","",IF(ABS($G111)&lt;0.01,"Tudo certo, ninguém deve nada",IF($G111&gt;0,"Camilly deve pagar para Pedro","Pedro deve pagar para Camilly")))</x:f>
      </x:c>
      <x:c r="J111" s="63" t="str">
        <x:f>IF($A111="","",ABS($G111))</x:f>
      </x:c>
      <x:c r="K111" s="67" t="str">
        <x:f>IF($A111="","",IF(ABS($G111)&lt;0.01,"-",IF($G111&gt;0,"Camilly Queiroz","Pedro Américo Paletot")))</x:f>
      </x:c>
      <x:c r="L111" s="67" t="str">
        <x:f>IF($A111="","",IF(ABS($G111)&lt;0.01,"-",IF($G111&gt;0,"Pedro Américo Paletot","Camilly Queiroz")))</x:f>
      </x:c>
      <x:c r="M111" s="36"/>
      <x:c r="N111" s="59"/>
      <x:c r="O111" s="36"/>
      <x:c r="P111" s="36"/>
    </x:row>
    <x:row r="112">
      <x:c r="A112" s="36"/>
      <x:c r="B112" s="67" t="str">
        <x:f>IF($A112="","",IFERROR(INDEX('Planejamento de Viagens'!$B$6:$B$205,MATCH($A112,'Planejamento de Viagens'!$A$6:$A$205,0)),""))</x:f>
      </x:c>
      <x:c r="C112" s="63" t="str">
        <x:f>IF($A112="","",SUMIFS('Histórico de Gastos'!$W$6:$W$205,'Histórico de Gastos'!$B$6:$B$205,$A112))</x:f>
      </x:c>
      <x:c r="D112" s="63" t="str">
        <x:f>IF($A112="","",SUMIFS('Histórico de Gastos'!$X$6:$X$205,'Histórico de Gastos'!$B$6:$B$205,$A112))</x:f>
      </x:c>
      <x:c r="E112" s="63" t="str">
        <x:f>IF($A112="","",SUMIFS('Histórico de Gastos'!$U$6:$U$205,'Histórico de Gastos'!$B$6:$B$205,$A112))</x:f>
      </x:c>
      <x:c r="F112" s="63" t="str">
        <x:f>IF($A112="","",SUMIFS('Histórico de Gastos'!$V$6:$V$205,'Histórico de Gastos'!$B$6:$B$205,$A112))</x:f>
      </x:c>
      <x:c r="G112" s="63" t="str">
        <x:f>IF($A112="","",$C112-$E112)</x:f>
      </x:c>
      <x:c r="H112" s="63" t="str">
        <x:f>IF($A112="","",$D112-$F112)</x:f>
      </x:c>
      <x:c r="I112" s="67" t="str">
        <x:f>IF($A112="","",IF(ABS($G112)&lt;0.01,"Tudo certo, ninguém deve nada",IF($G112&gt;0,"Camilly deve pagar para Pedro","Pedro deve pagar para Camilly")))</x:f>
      </x:c>
      <x:c r="J112" s="63" t="str">
        <x:f>IF($A112="","",ABS($G112))</x:f>
      </x:c>
      <x:c r="K112" s="67" t="str">
        <x:f>IF($A112="","",IF(ABS($G112)&lt;0.01,"-",IF($G112&gt;0,"Camilly Queiroz","Pedro Américo Paletot")))</x:f>
      </x:c>
      <x:c r="L112" s="67" t="str">
        <x:f>IF($A112="","",IF(ABS($G112)&lt;0.01,"-",IF($G112&gt;0,"Pedro Américo Paletot","Camilly Queiroz")))</x:f>
      </x:c>
      <x:c r="M112" s="36"/>
      <x:c r="N112" s="59"/>
      <x:c r="O112" s="36"/>
      <x:c r="P112" s="36"/>
    </x:row>
    <x:row r="113">
      <x:c r="A113" s="36"/>
      <x:c r="B113" s="67" t="str">
        <x:f>IF($A113="","",IFERROR(INDEX('Planejamento de Viagens'!$B$6:$B$205,MATCH($A113,'Planejamento de Viagens'!$A$6:$A$205,0)),""))</x:f>
      </x:c>
      <x:c r="C113" s="63" t="str">
        <x:f>IF($A113="","",SUMIFS('Histórico de Gastos'!$W$6:$W$205,'Histórico de Gastos'!$B$6:$B$205,$A113))</x:f>
      </x:c>
      <x:c r="D113" s="63" t="str">
        <x:f>IF($A113="","",SUMIFS('Histórico de Gastos'!$X$6:$X$205,'Histórico de Gastos'!$B$6:$B$205,$A113))</x:f>
      </x:c>
      <x:c r="E113" s="63" t="str">
        <x:f>IF($A113="","",SUMIFS('Histórico de Gastos'!$U$6:$U$205,'Histórico de Gastos'!$B$6:$B$205,$A113))</x:f>
      </x:c>
      <x:c r="F113" s="63" t="str">
        <x:f>IF($A113="","",SUMIFS('Histórico de Gastos'!$V$6:$V$205,'Histórico de Gastos'!$B$6:$B$205,$A113))</x:f>
      </x:c>
      <x:c r="G113" s="63" t="str">
        <x:f>IF($A113="","",$C113-$E113)</x:f>
      </x:c>
      <x:c r="H113" s="63" t="str">
        <x:f>IF($A113="","",$D113-$F113)</x:f>
      </x:c>
      <x:c r="I113" s="67" t="str">
        <x:f>IF($A113="","",IF(ABS($G113)&lt;0.01,"Tudo certo, ninguém deve nada",IF($G113&gt;0,"Camilly deve pagar para Pedro","Pedro deve pagar para Camilly")))</x:f>
      </x:c>
      <x:c r="J113" s="63" t="str">
        <x:f>IF($A113="","",ABS($G113))</x:f>
      </x:c>
      <x:c r="K113" s="67" t="str">
        <x:f>IF($A113="","",IF(ABS($G113)&lt;0.01,"-",IF($G113&gt;0,"Camilly Queiroz","Pedro Américo Paletot")))</x:f>
      </x:c>
      <x:c r="L113" s="67" t="str">
        <x:f>IF($A113="","",IF(ABS($G113)&lt;0.01,"-",IF($G113&gt;0,"Pedro Américo Paletot","Camilly Queiroz")))</x:f>
      </x:c>
      <x:c r="M113" s="36"/>
      <x:c r="N113" s="59"/>
      <x:c r="O113" s="36"/>
      <x:c r="P113" s="36"/>
    </x:row>
    <x:row r="114">
      <x:c r="A114" s="36"/>
      <x:c r="B114" s="67" t="str">
        <x:f>IF($A114="","",IFERROR(INDEX('Planejamento de Viagens'!$B$6:$B$205,MATCH($A114,'Planejamento de Viagens'!$A$6:$A$205,0)),""))</x:f>
      </x:c>
      <x:c r="C114" s="63" t="str">
        <x:f>IF($A114="","",SUMIFS('Histórico de Gastos'!$W$6:$W$205,'Histórico de Gastos'!$B$6:$B$205,$A114))</x:f>
      </x:c>
      <x:c r="D114" s="63" t="str">
        <x:f>IF($A114="","",SUMIFS('Histórico de Gastos'!$X$6:$X$205,'Histórico de Gastos'!$B$6:$B$205,$A114))</x:f>
      </x:c>
      <x:c r="E114" s="63" t="str">
        <x:f>IF($A114="","",SUMIFS('Histórico de Gastos'!$U$6:$U$205,'Histórico de Gastos'!$B$6:$B$205,$A114))</x:f>
      </x:c>
      <x:c r="F114" s="63" t="str">
        <x:f>IF($A114="","",SUMIFS('Histórico de Gastos'!$V$6:$V$205,'Histórico de Gastos'!$B$6:$B$205,$A114))</x:f>
      </x:c>
      <x:c r="G114" s="63" t="str">
        <x:f>IF($A114="","",$C114-$E114)</x:f>
      </x:c>
      <x:c r="H114" s="63" t="str">
        <x:f>IF($A114="","",$D114-$F114)</x:f>
      </x:c>
      <x:c r="I114" s="67" t="str">
        <x:f>IF($A114="","",IF(ABS($G114)&lt;0.01,"Tudo certo, ninguém deve nada",IF($G114&gt;0,"Camilly deve pagar para Pedro","Pedro deve pagar para Camilly")))</x:f>
      </x:c>
      <x:c r="J114" s="63" t="str">
        <x:f>IF($A114="","",ABS($G114))</x:f>
      </x:c>
      <x:c r="K114" s="67" t="str">
        <x:f>IF($A114="","",IF(ABS($G114)&lt;0.01,"-",IF($G114&gt;0,"Camilly Queiroz","Pedro Américo Paletot")))</x:f>
      </x:c>
      <x:c r="L114" s="67" t="str">
        <x:f>IF($A114="","",IF(ABS($G114)&lt;0.01,"-",IF($G114&gt;0,"Pedro Américo Paletot","Camilly Queiroz")))</x:f>
      </x:c>
      <x:c r="M114" s="36"/>
      <x:c r="N114" s="59"/>
      <x:c r="O114" s="36"/>
      <x:c r="P114" s="36"/>
    </x:row>
    <x:row r="115">
      <x:c r="A115" s="36"/>
      <x:c r="B115" s="67" t="str">
        <x:f>IF($A115="","",IFERROR(INDEX('Planejamento de Viagens'!$B$6:$B$205,MATCH($A115,'Planejamento de Viagens'!$A$6:$A$205,0)),""))</x:f>
      </x:c>
      <x:c r="C115" s="63" t="str">
        <x:f>IF($A115="","",SUMIFS('Histórico de Gastos'!$W$6:$W$205,'Histórico de Gastos'!$B$6:$B$205,$A115))</x:f>
      </x:c>
      <x:c r="D115" s="63" t="str">
        <x:f>IF($A115="","",SUMIFS('Histórico de Gastos'!$X$6:$X$205,'Histórico de Gastos'!$B$6:$B$205,$A115))</x:f>
      </x:c>
      <x:c r="E115" s="63" t="str">
        <x:f>IF($A115="","",SUMIFS('Histórico de Gastos'!$U$6:$U$205,'Histórico de Gastos'!$B$6:$B$205,$A115))</x:f>
      </x:c>
      <x:c r="F115" s="63" t="str">
        <x:f>IF($A115="","",SUMIFS('Histórico de Gastos'!$V$6:$V$205,'Histórico de Gastos'!$B$6:$B$205,$A115))</x:f>
      </x:c>
      <x:c r="G115" s="63" t="str">
        <x:f>IF($A115="","",$C115-$E115)</x:f>
      </x:c>
      <x:c r="H115" s="63" t="str">
        <x:f>IF($A115="","",$D115-$F115)</x:f>
      </x:c>
      <x:c r="I115" s="67" t="str">
        <x:f>IF($A115="","",IF(ABS($G115)&lt;0.01,"Tudo certo, ninguém deve nada",IF($G115&gt;0,"Camilly deve pagar para Pedro","Pedro deve pagar para Camilly")))</x:f>
      </x:c>
      <x:c r="J115" s="63" t="str">
        <x:f>IF($A115="","",ABS($G115))</x:f>
      </x:c>
      <x:c r="K115" s="67" t="str">
        <x:f>IF($A115="","",IF(ABS($G115)&lt;0.01,"-",IF($G115&gt;0,"Camilly Queiroz","Pedro Américo Paletot")))</x:f>
      </x:c>
      <x:c r="L115" s="67" t="str">
        <x:f>IF($A115="","",IF(ABS($G115)&lt;0.01,"-",IF($G115&gt;0,"Pedro Américo Paletot","Camilly Queiroz")))</x:f>
      </x:c>
      <x:c r="M115" s="36"/>
      <x:c r="N115" s="59"/>
      <x:c r="O115" s="36"/>
      <x:c r="P115" s="36"/>
    </x:row>
    <x:row r="116">
      <x:c r="A116" s="36"/>
      <x:c r="B116" s="67" t="str">
        <x:f>IF($A116="","",IFERROR(INDEX('Planejamento de Viagens'!$B$6:$B$205,MATCH($A116,'Planejamento de Viagens'!$A$6:$A$205,0)),""))</x:f>
      </x:c>
      <x:c r="C116" s="63" t="str">
        <x:f>IF($A116="","",SUMIFS('Histórico de Gastos'!$W$6:$W$205,'Histórico de Gastos'!$B$6:$B$205,$A116))</x:f>
      </x:c>
      <x:c r="D116" s="63" t="str">
        <x:f>IF($A116="","",SUMIFS('Histórico de Gastos'!$X$6:$X$205,'Histórico de Gastos'!$B$6:$B$205,$A116))</x:f>
      </x:c>
      <x:c r="E116" s="63" t="str">
        <x:f>IF($A116="","",SUMIFS('Histórico de Gastos'!$U$6:$U$205,'Histórico de Gastos'!$B$6:$B$205,$A116))</x:f>
      </x:c>
      <x:c r="F116" s="63" t="str">
        <x:f>IF($A116="","",SUMIFS('Histórico de Gastos'!$V$6:$V$205,'Histórico de Gastos'!$B$6:$B$205,$A116))</x:f>
      </x:c>
      <x:c r="G116" s="63" t="str">
        <x:f>IF($A116="","",$C116-$E116)</x:f>
      </x:c>
      <x:c r="H116" s="63" t="str">
        <x:f>IF($A116="","",$D116-$F116)</x:f>
      </x:c>
      <x:c r="I116" s="67" t="str">
        <x:f>IF($A116="","",IF(ABS($G116)&lt;0.01,"Tudo certo, ninguém deve nada",IF($G116&gt;0,"Camilly deve pagar para Pedro","Pedro deve pagar para Camilly")))</x:f>
      </x:c>
      <x:c r="J116" s="63" t="str">
        <x:f>IF($A116="","",ABS($G116))</x:f>
      </x:c>
      <x:c r="K116" s="67" t="str">
        <x:f>IF($A116="","",IF(ABS($G116)&lt;0.01,"-",IF($G116&gt;0,"Camilly Queiroz","Pedro Américo Paletot")))</x:f>
      </x:c>
      <x:c r="L116" s="67" t="str">
        <x:f>IF($A116="","",IF(ABS($G116)&lt;0.01,"-",IF($G116&gt;0,"Pedro Américo Paletot","Camilly Queiroz")))</x:f>
      </x:c>
      <x:c r="M116" s="36"/>
      <x:c r="N116" s="59"/>
      <x:c r="O116" s="36"/>
      <x:c r="P116" s="36"/>
    </x:row>
    <x:row r="117">
      <x:c r="A117" s="36"/>
      <x:c r="B117" s="67" t="str">
        <x:f>IF($A117="","",IFERROR(INDEX('Planejamento de Viagens'!$B$6:$B$205,MATCH($A117,'Planejamento de Viagens'!$A$6:$A$205,0)),""))</x:f>
      </x:c>
      <x:c r="C117" s="63" t="str">
        <x:f>IF($A117="","",SUMIFS('Histórico de Gastos'!$W$6:$W$205,'Histórico de Gastos'!$B$6:$B$205,$A117))</x:f>
      </x:c>
      <x:c r="D117" s="63" t="str">
        <x:f>IF($A117="","",SUMIFS('Histórico de Gastos'!$X$6:$X$205,'Histórico de Gastos'!$B$6:$B$205,$A117))</x:f>
      </x:c>
      <x:c r="E117" s="63" t="str">
        <x:f>IF($A117="","",SUMIFS('Histórico de Gastos'!$U$6:$U$205,'Histórico de Gastos'!$B$6:$B$205,$A117))</x:f>
      </x:c>
      <x:c r="F117" s="63" t="str">
        <x:f>IF($A117="","",SUMIFS('Histórico de Gastos'!$V$6:$V$205,'Histórico de Gastos'!$B$6:$B$205,$A117))</x:f>
      </x:c>
      <x:c r="G117" s="63" t="str">
        <x:f>IF($A117="","",$C117-$E117)</x:f>
      </x:c>
      <x:c r="H117" s="63" t="str">
        <x:f>IF($A117="","",$D117-$F117)</x:f>
      </x:c>
      <x:c r="I117" s="67" t="str">
        <x:f>IF($A117="","",IF(ABS($G117)&lt;0.01,"Tudo certo, ninguém deve nada",IF($G117&gt;0,"Camilly deve pagar para Pedro","Pedro deve pagar para Camilly")))</x:f>
      </x:c>
      <x:c r="J117" s="63" t="str">
        <x:f>IF($A117="","",ABS($G117))</x:f>
      </x:c>
      <x:c r="K117" s="67" t="str">
        <x:f>IF($A117="","",IF(ABS($G117)&lt;0.01,"-",IF($G117&gt;0,"Camilly Queiroz","Pedro Américo Paletot")))</x:f>
      </x:c>
      <x:c r="L117" s="67" t="str">
        <x:f>IF($A117="","",IF(ABS($G117)&lt;0.01,"-",IF($G117&gt;0,"Pedro Américo Paletot","Camilly Queiroz")))</x:f>
      </x:c>
      <x:c r="M117" s="36"/>
      <x:c r="N117" s="59"/>
      <x:c r="O117" s="36"/>
      <x:c r="P117" s="36"/>
    </x:row>
    <x:row r="118">
      <x:c r="A118" s="36"/>
      <x:c r="B118" s="67" t="str">
        <x:f>IF($A118="","",IFERROR(INDEX('Planejamento de Viagens'!$B$6:$B$205,MATCH($A118,'Planejamento de Viagens'!$A$6:$A$205,0)),""))</x:f>
      </x:c>
      <x:c r="C118" s="63" t="str">
        <x:f>IF($A118="","",SUMIFS('Histórico de Gastos'!$W$6:$W$205,'Histórico de Gastos'!$B$6:$B$205,$A118))</x:f>
      </x:c>
      <x:c r="D118" s="63" t="str">
        <x:f>IF($A118="","",SUMIFS('Histórico de Gastos'!$X$6:$X$205,'Histórico de Gastos'!$B$6:$B$205,$A118))</x:f>
      </x:c>
      <x:c r="E118" s="63" t="str">
        <x:f>IF($A118="","",SUMIFS('Histórico de Gastos'!$U$6:$U$205,'Histórico de Gastos'!$B$6:$B$205,$A118))</x:f>
      </x:c>
      <x:c r="F118" s="63" t="str">
        <x:f>IF($A118="","",SUMIFS('Histórico de Gastos'!$V$6:$V$205,'Histórico de Gastos'!$B$6:$B$205,$A118))</x:f>
      </x:c>
      <x:c r="G118" s="63" t="str">
        <x:f>IF($A118="","",$C118-$E118)</x:f>
      </x:c>
      <x:c r="H118" s="63" t="str">
        <x:f>IF($A118="","",$D118-$F118)</x:f>
      </x:c>
      <x:c r="I118" s="67" t="str">
        <x:f>IF($A118="","",IF(ABS($G118)&lt;0.01,"Tudo certo, ninguém deve nada",IF($G118&gt;0,"Camilly deve pagar para Pedro","Pedro deve pagar para Camilly")))</x:f>
      </x:c>
      <x:c r="J118" s="63" t="str">
        <x:f>IF($A118="","",ABS($G118))</x:f>
      </x:c>
      <x:c r="K118" s="67" t="str">
        <x:f>IF($A118="","",IF(ABS($G118)&lt;0.01,"-",IF($G118&gt;0,"Camilly Queiroz","Pedro Américo Paletot")))</x:f>
      </x:c>
      <x:c r="L118" s="67" t="str">
        <x:f>IF($A118="","",IF(ABS($G118)&lt;0.01,"-",IF($G118&gt;0,"Pedro Américo Paletot","Camilly Queiroz")))</x:f>
      </x:c>
      <x:c r="M118" s="36"/>
      <x:c r="N118" s="59"/>
      <x:c r="O118" s="36"/>
      <x:c r="P118" s="36"/>
    </x:row>
    <x:row r="119">
      <x:c r="A119" s="36"/>
      <x:c r="B119" s="67" t="str">
        <x:f>IF($A119="","",IFERROR(INDEX('Planejamento de Viagens'!$B$6:$B$205,MATCH($A119,'Planejamento de Viagens'!$A$6:$A$205,0)),""))</x:f>
      </x:c>
      <x:c r="C119" s="63" t="str">
        <x:f>IF($A119="","",SUMIFS('Histórico de Gastos'!$W$6:$W$205,'Histórico de Gastos'!$B$6:$B$205,$A119))</x:f>
      </x:c>
      <x:c r="D119" s="63" t="str">
        <x:f>IF($A119="","",SUMIFS('Histórico de Gastos'!$X$6:$X$205,'Histórico de Gastos'!$B$6:$B$205,$A119))</x:f>
      </x:c>
      <x:c r="E119" s="63" t="str">
        <x:f>IF($A119="","",SUMIFS('Histórico de Gastos'!$U$6:$U$205,'Histórico de Gastos'!$B$6:$B$205,$A119))</x:f>
      </x:c>
      <x:c r="F119" s="63" t="str">
        <x:f>IF($A119="","",SUMIFS('Histórico de Gastos'!$V$6:$V$205,'Histórico de Gastos'!$B$6:$B$205,$A119))</x:f>
      </x:c>
      <x:c r="G119" s="63" t="str">
        <x:f>IF($A119="","",$C119-$E119)</x:f>
      </x:c>
      <x:c r="H119" s="63" t="str">
        <x:f>IF($A119="","",$D119-$F119)</x:f>
      </x:c>
      <x:c r="I119" s="67" t="str">
        <x:f>IF($A119="","",IF(ABS($G119)&lt;0.01,"Tudo certo, ninguém deve nada",IF($G119&gt;0,"Camilly deve pagar para Pedro","Pedro deve pagar para Camilly")))</x:f>
      </x:c>
      <x:c r="J119" s="63" t="str">
        <x:f>IF($A119="","",ABS($G119))</x:f>
      </x:c>
      <x:c r="K119" s="67" t="str">
        <x:f>IF($A119="","",IF(ABS($G119)&lt;0.01,"-",IF($G119&gt;0,"Camilly Queiroz","Pedro Américo Paletot")))</x:f>
      </x:c>
      <x:c r="L119" s="67" t="str">
        <x:f>IF($A119="","",IF(ABS($G119)&lt;0.01,"-",IF($G119&gt;0,"Pedro Américo Paletot","Camilly Queiroz")))</x:f>
      </x:c>
      <x:c r="M119" s="36"/>
      <x:c r="N119" s="59"/>
      <x:c r="O119" s="36"/>
      <x:c r="P119" s="36"/>
    </x:row>
    <x:row r="120">
      <x:c r="A120" s="36"/>
      <x:c r="B120" s="67" t="str">
        <x:f>IF($A120="","",IFERROR(INDEX('Planejamento de Viagens'!$B$6:$B$205,MATCH($A120,'Planejamento de Viagens'!$A$6:$A$205,0)),""))</x:f>
      </x:c>
      <x:c r="C120" s="63" t="str">
        <x:f>IF($A120="","",SUMIFS('Histórico de Gastos'!$W$6:$W$205,'Histórico de Gastos'!$B$6:$B$205,$A120))</x:f>
      </x:c>
      <x:c r="D120" s="63" t="str">
        <x:f>IF($A120="","",SUMIFS('Histórico de Gastos'!$X$6:$X$205,'Histórico de Gastos'!$B$6:$B$205,$A120))</x:f>
      </x:c>
      <x:c r="E120" s="63" t="str">
        <x:f>IF($A120="","",SUMIFS('Histórico de Gastos'!$U$6:$U$205,'Histórico de Gastos'!$B$6:$B$205,$A120))</x:f>
      </x:c>
      <x:c r="F120" s="63" t="str">
        <x:f>IF($A120="","",SUMIFS('Histórico de Gastos'!$V$6:$V$205,'Histórico de Gastos'!$B$6:$B$205,$A120))</x:f>
      </x:c>
      <x:c r="G120" s="63" t="str">
        <x:f>IF($A120="","",$C120-$E120)</x:f>
      </x:c>
      <x:c r="H120" s="63" t="str">
        <x:f>IF($A120="","",$D120-$F120)</x:f>
      </x:c>
      <x:c r="I120" s="67" t="str">
        <x:f>IF($A120="","",IF(ABS($G120)&lt;0.01,"Tudo certo, ninguém deve nada",IF($G120&gt;0,"Camilly deve pagar para Pedro","Pedro deve pagar para Camilly")))</x:f>
      </x:c>
      <x:c r="J120" s="63" t="str">
        <x:f>IF($A120="","",ABS($G120))</x:f>
      </x:c>
      <x:c r="K120" s="67" t="str">
        <x:f>IF($A120="","",IF(ABS($G120)&lt;0.01,"-",IF($G120&gt;0,"Camilly Queiroz","Pedro Américo Paletot")))</x:f>
      </x:c>
      <x:c r="L120" s="67" t="str">
        <x:f>IF($A120="","",IF(ABS($G120)&lt;0.01,"-",IF($G120&gt;0,"Pedro Américo Paletot","Camilly Queiroz")))</x:f>
      </x:c>
      <x:c r="M120" s="36"/>
      <x:c r="N120" s="59"/>
      <x:c r="O120" s="36"/>
      <x:c r="P120" s="36"/>
    </x:row>
    <x:row r="121">
      <x:c r="A121" s="36"/>
      <x:c r="B121" s="67" t="str">
        <x:f>IF($A121="","",IFERROR(INDEX('Planejamento de Viagens'!$B$6:$B$205,MATCH($A121,'Planejamento de Viagens'!$A$6:$A$205,0)),""))</x:f>
      </x:c>
      <x:c r="C121" s="63" t="str">
        <x:f>IF($A121="","",SUMIFS('Histórico de Gastos'!$W$6:$W$205,'Histórico de Gastos'!$B$6:$B$205,$A121))</x:f>
      </x:c>
      <x:c r="D121" s="63" t="str">
        <x:f>IF($A121="","",SUMIFS('Histórico de Gastos'!$X$6:$X$205,'Histórico de Gastos'!$B$6:$B$205,$A121))</x:f>
      </x:c>
      <x:c r="E121" s="63" t="str">
        <x:f>IF($A121="","",SUMIFS('Histórico de Gastos'!$U$6:$U$205,'Histórico de Gastos'!$B$6:$B$205,$A121))</x:f>
      </x:c>
      <x:c r="F121" s="63" t="str">
        <x:f>IF($A121="","",SUMIFS('Histórico de Gastos'!$V$6:$V$205,'Histórico de Gastos'!$B$6:$B$205,$A121))</x:f>
      </x:c>
      <x:c r="G121" s="63" t="str">
        <x:f>IF($A121="","",$C121-$E121)</x:f>
      </x:c>
      <x:c r="H121" s="63" t="str">
        <x:f>IF($A121="","",$D121-$F121)</x:f>
      </x:c>
      <x:c r="I121" s="67" t="str">
        <x:f>IF($A121="","",IF(ABS($G121)&lt;0.01,"Tudo certo, ninguém deve nada",IF($G121&gt;0,"Camilly deve pagar para Pedro","Pedro deve pagar para Camilly")))</x:f>
      </x:c>
      <x:c r="J121" s="63" t="str">
        <x:f>IF($A121="","",ABS($G121))</x:f>
      </x:c>
      <x:c r="K121" s="67" t="str">
        <x:f>IF($A121="","",IF(ABS($G121)&lt;0.01,"-",IF($G121&gt;0,"Camilly Queiroz","Pedro Américo Paletot")))</x:f>
      </x:c>
      <x:c r="L121" s="67" t="str">
        <x:f>IF($A121="","",IF(ABS($G121)&lt;0.01,"-",IF($G121&gt;0,"Pedro Américo Paletot","Camilly Queiroz")))</x:f>
      </x:c>
      <x:c r="M121" s="36"/>
      <x:c r="N121" s="59"/>
      <x:c r="O121" s="36"/>
      <x:c r="P121" s="36"/>
    </x:row>
    <x:row r="122">
      <x:c r="A122" s="36"/>
      <x:c r="B122" s="67" t="str">
        <x:f>IF($A122="","",IFERROR(INDEX('Planejamento de Viagens'!$B$6:$B$205,MATCH($A122,'Planejamento de Viagens'!$A$6:$A$205,0)),""))</x:f>
      </x:c>
      <x:c r="C122" s="63" t="str">
        <x:f>IF($A122="","",SUMIFS('Histórico de Gastos'!$W$6:$W$205,'Histórico de Gastos'!$B$6:$B$205,$A122))</x:f>
      </x:c>
      <x:c r="D122" s="63" t="str">
        <x:f>IF($A122="","",SUMIFS('Histórico de Gastos'!$X$6:$X$205,'Histórico de Gastos'!$B$6:$B$205,$A122))</x:f>
      </x:c>
      <x:c r="E122" s="63" t="str">
        <x:f>IF($A122="","",SUMIFS('Histórico de Gastos'!$U$6:$U$205,'Histórico de Gastos'!$B$6:$B$205,$A122))</x:f>
      </x:c>
      <x:c r="F122" s="63" t="str">
        <x:f>IF($A122="","",SUMIFS('Histórico de Gastos'!$V$6:$V$205,'Histórico de Gastos'!$B$6:$B$205,$A122))</x:f>
      </x:c>
      <x:c r="G122" s="63" t="str">
        <x:f>IF($A122="","",$C122-$E122)</x:f>
      </x:c>
      <x:c r="H122" s="63" t="str">
        <x:f>IF($A122="","",$D122-$F122)</x:f>
      </x:c>
      <x:c r="I122" s="67" t="str">
        <x:f>IF($A122="","",IF(ABS($G122)&lt;0.01,"Tudo certo, ninguém deve nada",IF($G122&gt;0,"Camilly deve pagar para Pedro","Pedro deve pagar para Camilly")))</x:f>
      </x:c>
      <x:c r="J122" s="63" t="str">
        <x:f>IF($A122="","",ABS($G122))</x:f>
      </x:c>
      <x:c r="K122" s="67" t="str">
        <x:f>IF($A122="","",IF(ABS($G122)&lt;0.01,"-",IF($G122&gt;0,"Camilly Queiroz","Pedro Américo Paletot")))</x:f>
      </x:c>
      <x:c r="L122" s="67" t="str">
        <x:f>IF($A122="","",IF(ABS($G122)&lt;0.01,"-",IF($G122&gt;0,"Pedro Américo Paletot","Camilly Queiroz")))</x:f>
      </x:c>
      <x:c r="M122" s="36"/>
      <x:c r="N122" s="59"/>
      <x:c r="O122" s="36"/>
      <x:c r="P122" s="36"/>
    </x:row>
    <x:row r="123">
      <x:c r="A123" s="36"/>
      <x:c r="B123" s="67" t="str">
        <x:f>IF($A123="","",IFERROR(INDEX('Planejamento de Viagens'!$B$6:$B$205,MATCH($A123,'Planejamento de Viagens'!$A$6:$A$205,0)),""))</x:f>
      </x:c>
      <x:c r="C123" s="63" t="str">
        <x:f>IF($A123="","",SUMIFS('Histórico de Gastos'!$W$6:$W$205,'Histórico de Gastos'!$B$6:$B$205,$A123))</x:f>
      </x:c>
      <x:c r="D123" s="63" t="str">
        <x:f>IF($A123="","",SUMIFS('Histórico de Gastos'!$X$6:$X$205,'Histórico de Gastos'!$B$6:$B$205,$A123))</x:f>
      </x:c>
      <x:c r="E123" s="63" t="str">
        <x:f>IF($A123="","",SUMIFS('Histórico de Gastos'!$U$6:$U$205,'Histórico de Gastos'!$B$6:$B$205,$A123))</x:f>
      </x:c>
      <x:c r="F123" s="63" t="str">
        <x:f>IF($A123="","",SUMIFS('Histórico de Gastos'!$V$6:$V$205,'Histórico de Gastos'!$B$6:$B$205,$A123))</x:f>
      </x:c>
      <x:c r="G123" s="63" t="str">
        <x:f>IF($A123="","",$C123-$E123)</x:f>
      </x:c>
      <x:c r="H123" s="63" t="str">
        <x:f>IF($A123="","",$D123-$F123)</x:f>
      </x:c>
      <x:c r="I123" s="67" t="str">
        <x:f>IF($A123="","",IF(ABS($G123)&lt;0.01,"Tudo certo, ninguém deve nada",IF($G123&gt;0,"Camilly deve pagar para Pedro","Pedro deve pagar para Camilly")))</x:f>
      </x:c>
      <x:c r="J123" s="63" t="str">
        <x:f>IF($A123="","",ABS($G123))</x:f>
      </x:c>
      <x:c r="K123" s="67" t="str">
        <x:f>IF($A123="","",IF(ABS($G123)&lt;0.01,"-",IF($G123&gt;0,"Camilly Queiroz","Pedro Américo Paletot")))</x:f>
      </x:c>
      <x:c r="L123" s="67" t="str">
        <x:f>IF($A123="","",IF(ABS($G123)&lt;0.01,"-",IF($G123&gt;0,"Pedro Américo Paletot","Camilly Queiroz")))</x:f>
      </x:c>
      <x:c r="M123" s="36"/>
      <x:c r="N123" s="59"/>
      <x:c r="O123" s="36"/>
      <x:c r="P123" s="36"/>
    </x:row>
    <x:row r="124">
      <x:c r="A124" s="36"/>
      <x:c r="B124" s="67" t="str">
        <x:f>IF($A124="","",IFERROR(INDEX('Planejamento de Viagens'!$B$6:$B$205,MATCH($A124,'Planejamento de Viagens'!$A$6:$A$205,0)),""))</x:f>
      </x:c>
      <x:c r="C124" s="63" t="str">
        <x:f>IF($A124="","",SUMIFS('Histórico de Gastos'!$W$6:$W$205,'Histórico de Gastos'!$B$6:$B$205,$A124))</x:f>
      </x:c>
      <x:c r="D124" s="63" t="str">
        <x:f>IF($A124="","",SUMIFS('Histórico de Gastos'!$X$6:$X$205,'Histórico de Gastos'!$B$6:$B$205,$A124))</x:f>
      </x:c>
      <x:c r="E124" s="63" t="str">
        <x:f>IF($A124="","",SUMIFS('Histórico de Gastos'!$U$6:$U$205,'Histórico de Gastos'!$B$6:$B$205,$A124))</x:f>
      </x:c>
      <x:c r="F124" s="63" t="str">
        <x:f>IF($A124="","",SUMIFS('Histórico de Gastos'!$V$6:$V$205,'Histórico de Gastos'!$B$6:$B$205,$A124))</x:f>
      </x:c>
      <x:c r="G124" s="63" t="str">
        <x:f>IF($A124="","",$C124-$E124)</x:f>
      </x:c>
      <x:c r="H124" s="63" t="str">
        <x:f>IF($A124="","",$D124-$F124)</x:f>
      </x:c>
      <x:c r="I124" s="67" t="str">
        <x:f>IF($A124="","",IF(ABS($G124)&lt;0.01,"Tudo certo, ninguém deve nada",IF($G124&gt;0,"Camilly deve pagar para Pedro","Pedro deve pagar para Camilly")))</x:f>
      </x:c>
      <x:c r="J124" s="63" t="str">
        <x:f>IF($A124="","",ABS($G124))</x:f>
      </x:c>
      <x:c r="K124" s="67" t="str">
        <x:f>IF($A124="","",IF(ABS($G124)&lt;0.01,"-",IF($G124&gt;0,"Camilly Queiroz","Pedro Américo Paletot")))</x:f>
      </x:c>
      <x:c r="L124" s="67" t="str">
        <x:f>IF($A124="","",IF(ABS($G124)&lt;0.01,"-",IF($G124&gt;0,"Pedro Américo Paletot","Camilly Queiroz")))</x:f>
      </x:c>
      <x:c r="M124" s="36"/>
      <x:c r="N124" s="59"/>
      <x:c r="O124" s="36"/>
      <x:c r="P124" s="36"/>
    </x:row>
    <x:row r="125">
      <x:c r="A125" s="36"/>
      <x:c r="B125" s="67" t="str">
        <x:f>IF($A125="","",IFERROR(INDEX('Planejamento de Viagens'!$B$6:$B$205,MATCH($A125,'Planejamento de Viagens'!$A$6:$A$205,0)),""))</x:f>
      </x:c>
      <x:c r="C125" s="63" t="str">
        <x:f>IF($A125="","",SUMIFS('Histórico de Gastos'!$W$6:$W$205,'Histórico de Gastos'!$B$6:$B$205,$A125))</x:f>
      </x:c>
      <x:c r="D125" s="63" t="str">
        <x:f>IF($A125="","",SUMIFS('Histórico de Gastos'!$X$6:$X$205,'Histórico de Gastos'!$B$6:$B$205,$A125))</x:f>
      </x:c>
      <x:c r="E125" s="63" t="str">
        <x:f>IF($A125="","",SUMIFS('Histórico de Gastos'!$U$6:$U$205,'Histórico de Gastos'!$B$6:$B$205,$A125))</x:f>
      </x:c>
      <x:c r="F125" s="63" t="str">
        <x:f>IF($A125="","",SUMIFS('Histórico de Gastos'!$V$6:$V$205,'Histórico de Gastos'!$B$6:$B$205,$A125))</x:f>
      </x:c>
      <x:c r="G125" s="63" t="str">
        <x:f>IF($A125="","",$C125-$E125)</x:f>
      </x:c>
      <x:c r="H125" s="63" t="str">
        <x:f>IF($A125="","",$D125-$F125)</x:f>
      </x:c>
      <x:c r="I125" s="67" t="str">
        <x:f>IF($A125="","",IF(ABS($G125)&lt;0.01,"Tudo certo, ninguém deve nada",IF($G125&gt;0,"Camilly deve pagar para Pedro","Pedro deve pagar para Camilly")))</x:f>
      </x:c>
      <x:c r="J125" s="63" t="str">
        <x:f>IF($A125="","",ABS($G125))</x:f>
      </x:c>
      <x:c r="K125" s="67" t="str">
        <x:f>IF($A125="","",IF(ABS($G125)&lt;0.01,"-",IF($G125&gt;0,"Camilly Queiroz","Pedro Américo Paletot")))</x:f>
      </x:c>
      <x:c r="L125" s="67" t="str">
        <x:f>IF($A125="","",IF(ABS($G125)&lt;0.01,"-",IF($G125&gt;0,"Pedro Américo Paletot","Camilly Queiroz")))</x:f>
      </x:c>
      <x:c r="M125" s="36"/>
      <x:c r="N125" s="59"/>
      <x:c r="O125" s="36"/>
      <x:c r="P125" s="36"/>
    </x:row>
    <x:row r="126">
      <x:c r="A126" s="36"/>
      <x:c r="B126" s="67" t="str">
        <x:f>IF($A126="","",IFERROR(INDEX('Planejamento de Viagens'!$B$6:$B$205,MATCH($A126,'Planejamento de Viagens'!$A$6:$A$205,0)),""))</x:f>
      </x:c>
      <x:c r="C126" s="63" t="str">
        <x:f>IF($A126="","",SUMIFS('Histórico de Gastos'!$W$6:$W$205,'Histórico de Gastos'!$B$6:$B$205,$A126))</x:f>
      </x:c>
      <x:c r="D126" s="63" t="str">
        <x:f>IF($A126="","",SUMIFS('Histórico de Gastos'!$X$6:$X$205,'Histórico de Gastos'!$B$6:$B$205,$A126))</x:f>
      </x:c>
      <x:c r="E126" s="63" t="str">
        <x:f>IF($A126="","",SUMIFS('Histórico de Gastos'!$U$6:$U$205,'Histórico de Gastos'!$B$6:$B$205,$A126))</x:f>
      </x:c>
      <x:c r="F126" s="63" t="str">
        <x:f>IF($A126="","",SUMIFS('Histórico de Gastos'!$V$6:$V$205,'Histórico de Gastos'!$B$6:$B$205,$A126))</x:f>
      </x:c>
      <x:c r="G126" s="63" t="str">
        <x:f>IF($A126="","",$C126-$E126)</x:f>
      </x:c>
      <x:c r="H126" s="63" t="str">
        <x:f>IF($A126="","",$D126-$F126)</x:f>
      </x:c>
      <x:c r="I126" s="67" t="str">
        <x:f>IF($A126="","",IF(ABS($G126)&lt;0.01,"Tudo certo, ninguém deve nada",IF($G126&gt;0,"Camilly deve pagar para Pedro","Pedro deve pagar para Camilly")))</x:f>
      </x:c>
      <x:c r="J126" s="63" t="str">
        <x:f>IF($A126="","",ABS($G126))</x:f>
      </x:c>
      <x:c r="K126" s="67" t="str">
        <x:f>IF($A126="","",IF(ABS($G126)&lt;0.01,"-",IF($G126&gt;0,"Camilly Queiroz","Pedro Américo Paletot")))</x:f>
      </x:c>
      <x:c r="L126" s="67" t="str">
        <x:f>IF($A126="","",IF(ABS($G126)&lt;0.01,"-",IF($G126&gt;0,"Pedro Américo Paletot","Camilly Queiroz")))</x:f>
      </x:c>
      <x:c r="M126" s="36"/>
      <x:c r="N126" s="59"/>
      <x:c r="O126" s="36"/>
      <x:c r="P126" s="36"/>
    </x:row>
    <x:row r="127">
      <x:c r="A127" s="36"/>
      <x:c r="B127" s="67" t="str">
        <x:f>IF($A127="","",IFERROR(INDEX('Planejamento de Viagens'!$B$6:$B$205,MATCH($A127,'Planejamento de Viagens'!$A$6:$A$205,0)),""))</x:f>
      </x:c>
      <x:c r="C127" s="63" t="str">
        <x:f>IF($A127="","",SUMIFS('Histórico de Gastos'!$W$6:$W$205,'Histórico de Gastos'!$B$6:$B$205,$A127))</x:f>
      </x:c>
      <x:c r="D127" s="63" t="str">
        <x:f>IF($A127="","",SUMIFS('Histórico de Gastos'!$X$6:$X$205,'Histórico de Gastos'!$B$6:$B$205,$A127))</x:f>
      </x:c>
      <x:c r="E127" s="63" t="str">
        <x:f>IF($A127="","",SUMIFS('Histórico de Gastos'!$U$6:$U$205,'Histórico de Gastos'!$B$6:$B$205,$A127))</x:f>
      </x:c>
      <x:c r="F127" s="63" t="str">
        <x:f>IF($A127="","",SUMIFS('Histórico de Gastos'!$V$6:$V$205,'Histórico de Gastos'!$B$6:$B$205,$A127))</x:f>
      </x:c>
      <x:c r="G127" s="63" t="str">
        <x:f>IF($A127="","",$C127-$E127)</x:f>
      </x:c>
      <x:c r="H127" s="63" t="str">
        <x:f>IF($A127="","",$D127-$F127)</x:f>
      </x:c>
      <x:c r="I127" s="67" t="str">
        <x:f>IF($A127="","",IF(ABS($G127)&lt;0.01,"Tudo certo, ninguém deve nada",IF($G127&gt;0,"Camilly deve pagar para Pedro","Pedro deve pagar para Camilly")))</x:f>
      </x:c>
      <x:c r="J127" s="63" t="str">
        <x:f>IF($A127="","",ABS($G127))</x:f>
      </x:c>
      <x:c r="K127" s="67" t="str">
        <x:f>IF($A127="","",IF(ABS($G127)&lt;0.01,"-",IF($G127&gt;0,"Camilly Queiroz","Pedro Américo Paletot")))</x:f>
      </x:c>
      <x:c r="L127" s="67" t="str">
        <x:f>IF($A127="","",IF(ABS($G127)&lt;0.01,"-",IF($G127&gt;0,"Pedro Américo Paletot","Camilly Queiroz")))</x:f>
      </x:c>
      <x:c r="M127" s="36"/>
      <x:c r="N127" s="59"/>
      <x:c r="O127" s="36"/>
      <x:c r="P127" s="36"/>
    </x:row>
    <x:row r="128">
      <x:c r="A128" s="36"/>
      <x:c r="B128" s="67" t="str">
        <x:f>IF($A128="","",IFERROR(INDEX('Planejamento de Viagens'!$B$6:$B$205,MATCH($A128,'Planejamento de Viagens'!$A$6:$A$205,0)),""))</x:f>
      </x:c>
      <x:c r="C128" s="63" t="str">
        <x:f>IF($A128="","",SUMIFS('Histórico de Gastos'!$W$6:$W$205,'Histórico de Gastos'!$B$6:$B$205,$A128))</x:f>
      </x:c>
      <x:c r="D128" s="63" t="str">
        <x:f>IF($A128="","",SUMIFS('Histórico de Gastos'!$X$6:$X$205,'Histórico de Gastos'!$B$6:$B$205,$A128))</x:f>
      </x:c>
      <x:c r="E128" s="63" t="str">
        <x:f>IF($A128="","",SUMIFS('Histórico de Gastos'!$U$6:$U$205,'Histórico de Gastos'!$B$6:$B$205,$A128))</x:f>
      </x:c>
      <x:c r="F128" s="63" t="str">
        <x:f>IF($A128="","",SUMIFS('Histórico de Gastos'!$V$6:$V$205,'Histórico de Gastos'!$B$6:$B$205,$A128))</x:f>
      </x:c>
      <x:c r="G128" s="63" t="str">
        <x:f>IF($A128="","",$C128-$E128)</x:f>
      </x:c>
      <x:c r="H128" s="63" t="str">
        <x:f>IF($A128="","",$D128-$F128)</x:f>
      </x:c>
      <x:c r="I128" s="67" t="str">
        <x:f>IF($A128="","",IF(ABS($G128)&lt;0.01,"Tudo certo, ninguém deve nada",IF($G128&gt;0,"Camilly deve pagar para Pedro","Pedro deve pagar para Camilly")))</x:f>
      </x:c>
      <x:c r="J128" s="63" t="str">
        <x:f>IF($A128="","",ABS($G128))</x:f>
      </x:c>
      <x:c r="K128" s="67" t="str">
        <x:f>IF($A128="","",IF(ABS($G128)&lt;0.01,"-",IF($G128&gt;0,"Camilly Queiroz","Pedro Américo Paletot")))</x:f>
      </x:c>
      <x:c r="L128" s="67" t="str">
        <x:f>IF($A128="","",IF(ABS($G128)&lt;0.01,"-",IF($G128&gt;0,"Pedro Américo Paletot","Camilly Queiroz")))</x:f>
      </x:c>
      <x:c r="M128" s="36"/>
      <x:c r="N128" s="59"/>
      <x:c r="O128" s="36"/>
      <x:c r="P128" s="36"/>
    </x:row>
    <x:row r="129">
      <x:c r="A129" s="36"/>
      <x:c r="B129" s="67" t="str">
        <x:f>IF($A129="","",IFERROR(INDEX('Planejamento de Viagens'!$B$6:$B$205,MATCH($A129,'Planejamento de Viagens'!$A$6:$A$205,0)),""))</x:f>
      </x:c>
      <x:c r="C129" s="63" t="str">
        <x:f>IF($A129="","",SUMIFS('Histórico de Gastos'!$W$6:$W$205,'Histórico de Gastos'!$B$6:$B$205,$A129))</x:f>
      </x:c>
      <x:c r="D129" s="63" t="str">
        <x:f>IF($A129="","",SUMIFS('Histórico de Gastos'!$X$6:$X$205,'Histórico de Gastos'!$B$6:$B$205,$A129))</x:f>
      </x:c>
      <x:c r="E129" s="63" t="str">
        <x:f>IF($A129="","",SUMIFS('Histórico de Gastos'!$U$6:$U$205,'Histórico de Gastos'!$B$6:$B$205,$A129))</x:f>
      </x:c>
      <x:c r="F129" s="63" t="str">
        <x:f>IF($A129="","",SUMIFS('Histórico de Gastos'!$V$6:$V$205,'Histórico de Gastos'!$B$6:$B$205,$A129))</x:f>
      </x:c>
      <x:c r="G129" s="63" t="str">
        <x:f>IF($A129="","",$C129-$E129)</x:f>
      </x:c>
      <x:c r="H129" s="63" t="str">
        <x:f>IF($A129="","",$D129-$F129)</x:f>
      </x:c>
      <x:c r="I129" s="67" t="str">
        <x:f>IF($A129="","",IF(ABS($G129)&lt;0.01,"Tudo certo, ninguém deve nada",IF($G129&gt;0,"Camilly deve pagar para Pedro","Pedro deve pagar para Camilly")))</x:f>
      </x:c>
      <x:c r="J129" s="63" t="str">
        <x:f>IF($A129="","",ABS($G129))</x:f>
      </x:c>
      <x:c r="K129" s="67" t="str">
        <x:f>IF($A129="","",IF(ABS($G129)&lt;0.01,"-",IF($G129&gt;0,"Camilly Queiroz","Pedro Américo Paletot")))</x:f>
      </x:c>
      <x:c r="L129" s="67" t="str">
        <x:f>IF($A129="","",IF(ABS($G129)&lt;0.01,"-",IF($G129&gt;0,"Pedro Américo Paletot","Camilly Queiroz")))</x:f>
      </x:c>
      <x:c r="M129" s="36"/>
      <x:c r="N129" s="59"/>
      <x:c r="O129" s="36"/>
      <x:c r="P129" s="36"/>
    </x:row>
    <x:row r="130">
      <x:c r="A130" s="36"/>
      <x:c r="B130" s="67" t="str">
        <x:f>IF($A130="","",IFERROR(INDEX('Planejamento de Viagens'!$B$6:$B$205,MATCH($A130,'Planejamento de Viagens'!$A$6:$A$205,0)),""))</x:f>
      </x:c>
      <x:c r="C130" s="63" t="str">
        <x:f>IF($A130="","",SUMIFS('Histórico de Gastos'!$W$6:$W$205,'Histórico de Gastos'!$B$6:$B$205,$A130))</x:f>
      </x:c>
      <x:c r="D130" s="63" t="str">
        <x:f>IF($A130="","",SUMIFS('Histórico de Gastos'!$X$6:$X$205,'Histórico de Gastos'!$B$6:$B$205,$A130))</x:f>
      </x:c>
      <x:c r="E130" s="63" t="str">
        <x:f>IF($A130="","",SUMIFS('Histórico de Gastos'!$U$6:$U$205,'Histórico de Gastos'!$B$6:$B$205,$A130))</x:f>
      </x:c>
      <x:c r="F130" s="63" t="str">
        <x:f>IF($A130="","",SUMIFS('Histórico de Gastos'!$V$6:$V$205,'Histórico de Gastos'!$B$6:$B$205,$A130))</x:f>
      </x:c>
      <x:c r="G130" s="63" t="str">
        <x:f>IF($A130="","",$C130-$E130)</x:f>
      </x:c>
      <x:c r="H130" s="63" t="str">
        <x:f>IF($A130="","",$D130-$F130)</x:f>
      </x:c>
      <x:c r="I130" s="67" t="str">
        <x:f>IF($A130="","",IF(ABS($G130)&lt;0.01,"Tudo certo, ninguém deve nada",IF($G130&gt;0,"Camilly deve pagar para Pedro","Pedro deve pagar para Camilly")))</x:f>
      </x:c>
      <x:c r="J130" s="63" t="str">
        <x:f>IF($A130="","",ABS($G130))</x:f>
      </x:c>
      <x:c r="K130" s="67" t="str">
        <x:f>IF($A130="","",IF(ABS($G130)&lt;0.01,"-",IF($G130&gt;0,"Camilly Queiroz","Pedro Américo Paletot")))</x:f>
      </x:c>
      <x:c r="L130" s="67" t="str">
        <x:f>IF($A130="","",IF(ABS($G130)&lt;0.01,"-",IF($G130&gt;0,"Pedro Américo Paletot","Camilly Queiroz")))</x:f>
      </x:c>
      <x:c r="M130" s="36"/>
      <x:c r="N130" s="59"/>
      <x:c r="O130" s="36"/>
      <x:c r="P130" s="36"/>
    </x:row>
    <x:row r="131">
      <x:c r="A131" s="36"/>
      <x:c r="B131" s="67" t="str">
        <x:f>IF($A131="","",IFERROR(INDEX('Planejamento de Viagens'!$B$6:$B$205,MATCH($A131,'Planejamento de Viagens'!$A$6:$A$205,0)),""))</x:f>
      </x:c>
      <x:c r="C131" s="63" t="str">
        <x:f>IF($A131="","",SUMIFS('Histórico de Gastos'!$W$6:$W$205,'Histórico de Gastos'!$B$6:$B$205,$A131))</x:f>
      </x:c>
      <x:c r="D131" s="63" t="str">
        <x:f>IF($A131="","",SUMIFS('Histórico de Gastos'!$X$6:$X$205,'Histórico de Gastos'!$B$6:$B$205,$A131))</x:f>
      </x:c>
      <x:c r="E131" s="63" t="str">
        <x:f>IF($A131="","",SUMIFS('Histórico de Gastos'!$U$6:$U$205,'Histórico de Gastos'!$B$6:$B$205,$A131))</x:f>
      </x:c>
      <x:c r="F131" s="63" t="str">
        <x:f>IF($A131="","",SUMIFS('Histórico de Gastos'!$V$6:$V$205,'Histórico de Gastos'!$B$6:$B$205,$A131))</x:f>
      </x:c>
      <x:c r="G131" s="63" t="str">
        <x:f>IF($A131="","",$C131-$E131)</x:f>
      </x:c>
      <x:c r="H131" s="63" t="str">
        <x:f>IF($A131="","",$D131-$F131)</x:f>
      </x:c>
      <x:c r="I131" s="67" t="str">
        <x:f>IF($A131="","",IF(ABS($G131)&lt;0.01,"Tudo certo, ninguém deve nada",IF($G131&gt;0,"Camilly deve pagar para Pedro","Pedro deve pagar para Camilly")))</x:f>
      </x:c>
      <x:c r="J131" s="63" t="str">
        <x:f>IF($A131="","",ABS($G131))</x:f>
      </x:c>
      <x:c r="K131" s="67" t="str">
        <x:f>IF($A131="","",IF(ABS($G131)&lt;0.01,"-",IF($G131&gt;0,"Camilly Queiroz","Pedro Américo Paletot")))</x:f>
      </x:c>
      <x:c r="L131" s="67" t="str">
        <x:f>IF($A131="","",IF(ABS($G131)&lt;0.01,"-",IF($G131&gt;0,"Pedro Américo Paletot","Camilly Queiroz")))</x:f>
      </x:c>
      <x:c r="M131" s="36"/>
      <x:c r="N131" s="59"/>
      <x:c r="O131" s="36"/>
      <x:c r="P131" s="36"/>
    </x:row>
    <x:row r="132">
      <x:c r="A132" s="36"/>
      <x:c r="B132" s="67" t="str">
        <x:f>IF($A132="","",IFERROR(INDEX('Planejamento de Viagens'!$B$6:$B$205,MATCH($A132,'Planejamento de Viagens'!$A$6:$A$205,0)),""))</x:f>
      </x:c>
      <x:c r="C132" s="63" t="str">
        <x:f>IF($A132="","",SUMIFS('Histórico de Gastos'!$W$6:$W$205,'Histórico de Gastos'!$B$6:$B$205,$A132))</x:f>
      </x:c>
      <x:c r="D132" s="63" t="str">
        <x:f>IF($A132="","",SUMIFS('Histórico de Gastos'!$X$6:$X$205,'Histórico de Gastos'!$B$6:$B$205,$A132))</x:f>
      </x:c>
      <x:c r="E132" s="63" t="str">
        <x:f>IF($A132="","",SUMIFS('Histórico de Gastos'!$U$6:$U$205,'Histórico de Gastos'!$B$6:$B$205,$A132))</x:f>
      </x:c>
      <x:c r="F132" s="63" t="str">
        <x:f>IF($A132="","",SUMIFS('Histórico de Gastos'!$V$6:$V$205,'Histórico de Gastos'!$B$6:$B$205,$A132))</x:f>
      </x:c>
      <x:c r="G132" s="63" t="str">
        <x:f>IF($A132="","",$C132-$E132)</x:f>
      </x:c>
      <x:c r="H132" s="63" t="str">
        <x:f>IF($A132="","",$D132-$F132)</x:f>
      </x:c>
      <x:c r="I132" s="67" t="str">
        <x:f>IF($A132="","",IF(ABS($G132)&lt;0.01,"Tudo certo, ninguém deve nada",IF($G132&gt;0,"Camilly deve pagar para Pedro","Pedro deve pagar para Camilly")))</x:f>
      </x:c>
      <x:c r="J132" s="63" t="str">
        <x:f>IF($A132="","",ABS($G132))</x:f>
      </x:c>
      <x:c r="K132" s="67" t="str">
        <x:f>IF($A132="","",IF(ABS($G132)&lt;0.01,"-",IF($G132&gt;0,"Camilly Queiroz","Pedro Américo Paletot")))</x:f>
      </x:c>
      <x:c r="L132" s="67" t="str">
        <x:f>IF($A132="","",IF(ABS($G132)&lt;0.01,"-",IF($G132&gt;0,"Pedro Américo Paletot","Camilly Queiroz")))</x:f>
      </x:c>
      <x:c r="M132" s="36"/>
      <x:c r="N132" s="59"/>
      <x:c r="O132" s="36"/>
      <x:c r="P132" s="36"/>
    </x:row>
    <x:row r="133">
      <x:c r="A133" s="36"/>
      <x:c r="B133" s="67" t="str">
        <x:f>IF($A133="","",IFERROR(INDEX('Planejamento de Viagens'!$B$6:$B$205,MATCH($A133,'Planejamento de Viagens'!$A$6:$A$205,0)),""))</x:f>
      </x:c>
      <x:c r="C133" s="63" t="str">
        <x:f>IF($A133="","",SUMIFS('Histórico de Gastos'!$W$6:$W$205,'Histórico de Gastos'!$B$6:$B$205,$A133))</x:f>
      </x:c>
      <x:c r="D133" s="63" t="str">
        <x:f>IF($A133="","",SUMIFS('Histórico de Gastos'!$X$6:$X$205,'Histórico de Gastos'!$B$6:$B$205,$A133))</x:f>
      </x:c>
      <x:c r="E133" s="63" t="str">
        <x:f>IF($A133="","",SUMIFS('Histórico de Gastos'!$U$6:$U$205,'Histórico de Gastos'!$B$6:$B$205,$A133))</x:f>
      </x:c>
      <x:c r="F133" s="63" t="str">
        <x:f>IF($A133="","",SUMIFS('Histórico de Gastos'!$V$6:$V$205,'Histórico de Gastos'!$B$6:$B$205,$A133))</x:f>
      </x:c>
      <x:c r="G133" s="63" t="str">
        <x:f>IF($A133="","",$C133-$E133)</x:f>
      </x:c>
      <x:c r="H133" s="63" t="str">
        <x:f>IF($A133="","",$D133-$F133)</x:f>
      </x:c>
      <x:c r="I133" s="67" t="str">
        <x:f>IF($A133="","",IF(ABS($G133)&lt;0.01,"Tudo certo, ninguém deve nada",IF($G133&gt;0,"Camilly deve pagar para Pedro","Pedro deve pagar para Camilly")))</x:f>
      </x:c>
      <x:c r="J133" s="63" t="str">
        <x:f>IF($A133="","",ABS($G133))</x:f>
      </x:c>
      <x:c r="K133" s="67" t="str">
        <x:f>IF($A133="","",IF(ABS($G133)&lt;0.01,"-",IF($G133&gt;0,"Camilly Queiroz","Pedro Américo Paletot")))</x:f>
      </x:c>
      <x:c r="L133" s="67" t="str">
        <x:f>IF($A133="","",IF(ABS($G133)&lt;0.01,"-",IF($G133&gt;0,"Pedro Américo Paletot","Camilly Queiroz")))</x:f>
      </x:c>
      <x:c r="M133" s="36"/>
      <x:c r="N133" s="59"/>
      <x:c r="O133" s="36"/>
      <x:c r="P133" s="36"/>
    </x:row>
    <x:row r="134">
      <x:c r="A134" s="36"/>
      <x:c r="B134" s="67" t="str">
        <x:f>IF($A134="","",IFERROR(INDEX('Planejamento de Viagens'!$B$6:$B$205,MATCH($A134,'Planejamento de Viagens'!$A$6:$A$205,0)),""))</x:f>
      </x:c>
      <x:c r="C134" s="63" t="str">
        <x:f>IF($A134="","",SUMIFS('Histórico de Gastos'!$W$6:$W$205,'Histórico de Gastos'!$B$6:$B$205,$A134))</x:f>
      </x:c>
      <x:c r="D134" s="63" t="str">
        <x:f>IF($A134="","",SUMIFS('Histórico de Gastos'!$X$6:$X$205,'Histórico de Gastos'!$B$6:$B$205,$A134))</x:f>
      </x:c>
      <x:c r="E134" s="63" t="str">
        <x:f>IF($A134="","",SUMIFS('Histórico de Gastos'!$U$6:$U$205,'Histórico de Gastos'!$B$6:$B$205,$A134))</x:f>
      </x:c>
      <x:c r="F134" s="63" t="str">
        <x:f>IF($A134="","",SUMIFS('Histórico de Gastos'!$V$6:$V$205,'Histórico de Gastos'!$B$6:$B$205,$A134))</x:f>
      </x:c>
      <x:c r="G134" s="63" t="str">
        <x:f>IF($A134="","",$C134-$E134)</x:f>
      </x:c>
      <x:c r="H134" s="63" t="str">
        <x:f>IF($A134="","",$D134-$F134)</x:f>
      </x:c>
      <x:c r="I134" s="67" t="str">
        <x:f>IF($A134="","",IF(ABS($G134)&lt;0.01,"Tudo certo, ninguém deve nada",IF($G134&gt;0,"Camilly deve pagar para Pedro","Pedro deve pagar para Camilly")))</x:f>
      </x:c>
      <x:c r="J134" s="63" t="str">
        <x:f>IF($A134="","",ABS($G134))</x:f>
      </x:c>
      <x:c r="K134" s="67" t="str">
        <x:f>IF($A134="","",IF(ABS($G134)&lt;0.01,"-",IF($G134&gt;0,"Camilly Queiroz","Pedro Américo Paletot")))</x:f>
      </x:c>
      <x:c r="L134" s="67" t="str">
        <x:f>IF($A134="","",IF(ABS($G134)&lt;0.01,"-",IF($G134&gt;0,"Pedro Américo Paletot","Camilly Queiroz")))</x:f>
      </x:c>
      <x:c r="M134" s="36"/>
      <x:c r="N134" s="59"/>
      <x:c r="O134" s="36"/>
      <x:c r="P134" s="36"/>
    </x:row>
    <x:row r="135">
      <x:c r="A135" s="36"/>
      <x:c r="B135" s="67" t="str">
        <x:f>IF($A135="","",IFERROR(INDEX('Planejamento de Viagens'!$B$6:$B$205,MATCH($A135,'Planejamento de Viagens'!$A$6:$A$205,0)),""))</x:f>
      </x:c>
      <x:c r="C135" s="63" t="str">
        <x:f>IF($A135="","",SUMIFS('Histórico de Gastos'!$W$6:$W$205,'Histórico de Gastos'!$B$6:$B$205,$A135))</x:f>
      </x:c>
      <x:c r="D135" s="63" t="str">
        <x:f>IF($A135="","",SUMIFS('Histórico de Gastos'!$X$6:$X$205,'Histórico de Gastos'!$B$6:$B$205,$A135))</x:f>
      </x:c>
      <x:c r="E135" s="63" t="str">
        <x:f>IF($A135="","",SUMIFS('Histórico de Gastos'!$U$6:$U$205,'Histórico de Gastos'!$B$6:$B$205,$A135))</x:f>
      </x:c>
      <x:c r="F135" s="63" t="str">
        <x:f>IF($A135="","",SUMIFS('Histórico de Gastos'!$V$6:$V$205,'Histórico de Gastos'!$B$6:$B$205,$A135))</x:f>
      </x:c>
      <x:c r="G135" s="63" t="str">
        <x:f>IF($A135="","",$C135-$E135)</x:f>
      </x:c>
      <x:c r="H135" s="63" t="str">
        <x:f>IF($A135="","",$D135-$F135)</x:f>
      </x:c>
      <x:c r="I135" s="67" t="str">
        <x:f>IF($A135="","",IF(ABS($G135)&lt;0.01,"Tudo certo, ninguém deve nada",IF($G135&gt;0,"Camilly deve pagar para Pedro","Pedro deve pagar para Camilly")))</x:f>
      </x:c>
      <x:c r="J135" s="63" t="str">
        <x:f>IF($A135="","",ABS($G135))</x:f>
      </x:c>
      <x:c r="K135" s="67" t="str">
        <x:f>IF($A135="","",IF(ABS($G135)&lt;0.01,"-",IF($G135&gt;0,"Camilly Queiroz","Pedro Américo Paletot")))</x:f>
      </x:c>
      <x:c r="L135" s="67" t="str">
        <x:f>IF($A135="","",IF(ABS($G135)&lt;0.01,"-",IF($G135&gt;0,"Pedro Américo Paletot","Camilly Queiroz")))</x:f>
      </x:c>
      <x:c r="M135" s="36"/>
      <x:c r="N135" s="59"/>
      <x:c r="O135" s="36"/>
      <x:c r="P135" s="36"/>
    </x:row>
    <x:row r="136">
      <x:c r="A136" s="36"/>
      <x:c r="B136" s="67" t="str">
        <x:f>IF($A136="","",IFERROR(INDEX('Planejamento de Viagens'!$B$6:$B$205,MATCH($A136,'Planejamento de Viagens'!$A$6:$A$205,0)),""))</x:f>
      </x:c>
      <x:c r="C136" s="63" t="str">
        <x:f>IF($A136="","",SUMIFS('Histórico de Gastos'!$W$6:$W$205,'Histórico de Gastos'!$B$6:$B$205,$A136))</x:f>
      </x:c>
      <x:c r="D136" s="63" t="str">
        <x:f>IF($A136="","",SUMIFS('Histórico de Gastos'!$X$6:$X$205,'Histórico de Gastos'!$B$6:$B$205,$A136))</x:f>
      </x:c>
      <x:c r="E136" s="63" t="str">
        <x:f>IF($A136="","",SUMIFS('Histórico de Gastos'!$U$6:$U$205,'Histórico de Gastos'!$B$6:$B$205,$A136))</x:f>
      </x:c>
      <x:c r="F136" s="63" t="str">
        <x:f>IF($A136="","",SUMIFS('Histórico de Gastos'!$V$6:$V$205,'Histórico de Gastos'!$B$6:$B$205,$A136))</x:f>
      </x:c>
      <x:c r="G136" s="63" t="str">
        <x:f>IF($A136="","",$C136-$E136)</x:f>
      </x:c>
      <x:c r="H136" s="63" t="str">
        <x:f>IF($A136="","",$D136-$F136)</x:f>
      </x:c>
      <x:c r="I136" s="67" t="str">
        <x:f>IF($A136="","",IF(ABS($G136)&lt;0.01,"Tudo certo, ninguém deve nada",IF($G136&gt;0,"Camilly deve pagar para Pedro","Pedro deve pagar para Camilly")))</x:f>
      </x:c>
      <x:c r="J136" s="63" t="str">
        <x:f>IF($A136="","",ABS($G136))</x:f>
      </x:c>
      <x:c r="K136" s="67" t="str">
        <x:f>IF($A136="","",IF(ABS($G136)&lt;0.01,"-",IF($G136&gt;0,"Camilly Queiroz","Pedro Américo Paletot")))</x:f>
      </x:c>
      <x:c r="L136" s="67" t="str">
        <x:f>IF($A136="","",IF(ABS($G136)&lt;0.01,"-",IF($G136&gt;0,"Pedro Américo Paletot","Camilly Queiroz")))</x:f>
      </x:c>
      <x:c r="M136" s="36"/>
      <x:c r="N136" s="59"/>
      <x:c r="O136" s="36"/>
      <x:c r="P136" s="36"/>
    </x:row>
    <x:row r="137">
      <x:c r="A137" s="36"/>
      <x:c r="B137" s="67" t="str">
        <x:f>IF($A137="","",IFERROR(INDEX('Planejamento de Viagens'!$B$6:$B$205,MATCH($A137,'Planejamento de Viagens'!$A$6:$A$205,0)),""))</x:f>
      </x:c>
      <x:c r="C137" s="63" t="str">
        <x:f>IF($A137="","",SUMIFS('Histórico de Gastos'!$W$6:$W$205,'Histórico de Gastos'!$B$6:$B$205,$A137))</x:f>
      </x:c>
      <x:c r="D137" s="63" t="str">
        <x:f>IF($A137="","",SUMIFS('Histórico de Gastos'!$X$6:$X$205,'Histórico de Gastos'!$B$6:$B$205,$A137))</x:f>
      </x:c>
      <x:c r="E137" s="63" t="str">
        <x:f>IF($A137="","",SUMIFS('Histórico de Gastos'!$U$6:$U$205,'Histórico de Gastos'!$B$6:$B$205,$A137))</x:f>
      </x:c>
      <x:c r="F137" s="63" t="str">
        <x:f>IF($A137="","",SUMIFS('Histórico de Gastos'!$V$6:$V$205,'Histórico de Gastos'!$B$6:$B$205,$A137))</x:f>
      </x:c>
      <x:c r="G137" s="63" t="str">
        <x:f>IF($A137="","",$C137-$E137)</x:f>
      </x:c>
      <x:c r="H137" s="63" t="str">
        <x:f>IF($A137="","",$D137-$F137)</x:f>
      </x:c>
      <x:c r="I137" s="67" t="str">
        <x:f>IF($A137="","",IF(ABS($G137)&lt;0.01,"Tudo certo, ninguém deve nada",IF($G137&gt;0,"Camilly deve pagar para Pedro","Pedro deve pagar para Camilly")))</x:f>
      </x:c>
      <x:c r="J137" s="63" t="str">
        <x:f>IF($A137="","",ABS($G137))</x:f>
      </x:c>
      <x:c r="K137" s="67" t="str">
        <x:f>IF($A137="","",IF(ABS($G137)&lt;0.01,"-",IF($G137&gt;0,"Camilly Queiroz","Pedro Américo Paletot")))</x:f>
      </x:c>
      <x:c r="L137" s="67" t="str">
        <x:f>IF($A137="","",IF(ABS($G137)&lt;0.01,"-",IF($G137&gt;0,"Pedro Américo Paletot","Camilly Queiroz")))</x:f>
      </x:c>
      <x:c r="M137" s="36"/>
      <x:c r="N137" s="59"/>
      <x:c r="O137" s="36"/>
      <x:c r="P137" s="36"/>
    </x:row>
    <x:row r="138">
      <x:c r="A138" s="36"/>
      <x:c r="B138" s="67" t="str">
        <x:f>IF($A138="","",IFERROR(INDEX('Planejamento de Viagens'!$B$6:$B$205,MATCH($A138,'Planejamento de Viagens'!$A$6:$A$205,0)),""))</x:f>
      </x:c>
      <x:c r="C138" s="63" t="str">
        <x:f>IF($A138="","",SUMIFS('Histórico de Gastos'!$W$6:$W$205,'Histórico de Gastos'!$B$6:$B$205,$A138))</x:f>
      </x:c>
      <x:c r="D138" s="63" t="str">
        <x:f>IF($A138="","",SUMIFS('Histórico de Gastos'!$X$6:$X$205,'Histórico de Gastos'!$B$6:$B$205,$A138))</x:f>
      </x:c>
      <x:c r="E138" s="63" t="str">
        <x:f>IF($A138="","",SUMIFS('Histórico de Gastos'!$U$6:$U$205,'Histórico de Gastos'!$B$6:$B$205,$A138))</x:f>
      </x:c>
      <x:c r="F138" s="63" t="str">
        <x:f>IF($A138="","",SUMIFS('Histórico de Gastos'!$V$6:$V$205,'Histórico de Gastos'!$B$6:$B$205,$A138))</x:f>
      </x:c>
      <x:c r="G138" s="63" t="str">
        <x:f>IF($A138="","",$C138-$E138)</x:f>
      </x:c>
      <x:c r="H138" s="63" t="str">
        <x:f>IF($A138="","",$D138-$F138)</x:f>
      </x:c>
      <x:c r="I138" s="67" t="str">
        <x:f>IF($A138="","",IF(ABS($G138)&lt;0.01,"Tudo certo, ninguém deve nada",IF($G138&gt;0,"Camilly deve pagar para Pedro","Pedro deve pagar para Camilly")))</x:f>
      </x:c>
      <x:c r="J138" s="63" t="str">
        <x:f>IF($A138="","",ABS($G138))</x:f>
      </x:c>
      <x:c r="K138" s="67" t="str">
        <x:f>IF($A138="","",IF(ABS($G138)&lt;0.01,"-",IF($G138&gt;0,"Camilly Queiroz","Pedro Américo Paletot")))</x:f>
      </x:c>
      <x:c r="L138" s="67" t="str">
        <x:f>IF($A138="","",IF(ABS($G138)&lt;0.01,"-",IF($G138&gt;0,"Pedro Américo Paletot","Camilly Queiroz")))</x:f>
      </x:c>
      <x:c r="M138" s="36"/>
      <x:c r="N138" s="59"/>
      <x:c r="O138" s="36"/>
      <x:c r="P138" s="36"/>
    </x:row>
    <x:row r="139">
      <x:c r="A139" s="36"/>
      <x:c r="B139" s="67" t="str">
        <x:f>IF($A139="","",IFERROR(INDEX('Planejamento de Viagens'!$B$6:$B$205,MATCH($A139,'Planejamento de Viagens'!$A$6:$A$205,0)),""))</x:f>
      </x:c>
      <x:c r="C139" s="63" t="str">
        <x:f>IF($A139="","",SUMIFS('Histórico de Gastos'!$W$6:$W$205,'Histórico de Gastos'!$B$6:$B$205,$A139))</x:f>
      </x:c>
      <x:c r="D139" s="63" t="str">
        <x:f>IF($A139="","",SUMIFS('Histórico de Gastos'!$X$6:$X$205,'Histórico de Gastos'!$B$6:$B$205,$A139))</x:f>
      </x:c>
      <x:c r="E139" s="63" t="str">
        <x:f>IF($A139="","",SUMIFS('Histórico de Gastos'!$U$6:$U$205,'Histórico de Gastos'!$B$6:$B$205,$A139))</x:f>
      </x:c>
      <x:c r="F139" s="63" t="str">
        <x:f>IF($A139="","",SUMIFS('Histórico de Gastos'!$V$6:$V$205,'Histórico de Gastos'!$B$6:$B$205,$A139))</x:f>
      </x:c>
      <x:c r="G139" s="63" t="str">
        <x:f>IF($A139="","",$C139-$E139)</x:f>
      </x:c>
      <x:c r="H139" s="63" t="str">
        <x:f>IF($A139="","",$D139-$F139)</x:f>
      </x:c>
      <x:c r="I139" s="67" t="str">
        <x:f>IF($A139="","",IF(ABS($G139)&lt;0.01,"Tudo certo, ninguém deve nada",IF($G139&gt;0,"Camilly deve pagar para Pedro","Pedro deve pagar para Camilly")))</x:f>
      </x:c>
      <x:c r="J139" s="63" t="str">
        <x:f>IF($A139="","",ABS($G139))</x:f>
      </x:c>
      <x:c r="K139" s="67" t="str">
        <x:f>IF($A139="","",IF(ABS($G139)&lt;0.01,"-",IF($G139&gt;0,"Camilly Queiroz","Pedro Américo Paletot")))</x:f>
      </x:c>
      <x:c r="L139" s="67" t="str">
        <x:f>IF($A139="","",IF(ABS($G139)&lt;0.01,"-",IF($G139&gt;0,"Pedro Américo Paletot","Camilly Queiroz")))</x:f>
      </x:c>
      <x:c r="M139" s="36"/>
      <x:c r="N139" s="59"/>
      <x:c r="O139" s="36"/>
      <x:c r="P139" s="36"/>
    </x:row>
    <x:row r="140">
      <x:c r="A140" s="36"/>
      <x:c r="B140" s="67" t="str">
        <x:f>IF($A140="","",IFERROR(INDEX('Planejamento de Viagens'!$B$6:$B$205,MATCH($A140,'Planejamento de Viagens'!$A$6:$A$205,0)),""))</x:f>
      </x:c>
      <x:c r="C140" s="63" t="str">
        <x:f>IF($A140="","",SUMIFS('Histórico de Gastos'!$W$6:$W$205,'Histórico de Gastos'!$B$6:$B$205,$A140))</x:f>
      </x:c>
      <x:c r="D140" s="63" t="str">
        <x:f>IF($A140="","",SUMIFS('Histórico de Gastos'!$X$6:$X$205,'Histórico de Gastos'!$B$6:$B$205,$A140))</x:f>
      </x:c>
      <x:c r="E140" s="63" t="str">
        <x:f>IF($A140="","",SUMIFS('Histórico de Gastos'!$U$6:$U$205,'Histórico de Gastos'!$B$6:$B$205,$A140))</x:f>
      </x:c>
      <x:c r="F140" s="63" t="str">
        <x:f>IF($A140="","",SUMIFS('Histórico de Gastos'!$V$6:$V$205,'Histórico de Gastos'!$B$6:$B$205,$A140))</x:f>
      </x:c>
      <x:c r="G140" s="63" t="str">
        <x:f>IF($A140="","",$C140-$E140)</x:f>
      </x:c>
      <x:c r="H140" s="63" t="str">
        <x:f>IF($A140="","",$D140-$F140)</x:f>
      </x:c>
      <x:c r="I140" s="67" t="str">
        <x:f>IF($A140="","",IF(ABS($G140)&lt;0.01,"Tudo certo, ninguém deve nada",IF($G140&gt;0,"Camilly deve pagar para Pedro","Pedro deve pagar para Camilly")))</x:f>
      </x:c>
      <x:c r="J140" s="63" t="str">
        <x:f>IF($A140="","",ABS($G140))</x:f>
      </x:c>
      <x:c r="K140" s="67" t="str">
        <x:f>IF($A140="","",IF(ABS($G140)&lt;0.01,"-",IF($G140&gt;0,"Camilly Queiroz","Pedro Américo Paletot")))</x:f>
      </x:c>
      <x:c r="L140" s="67" t="str">
        <x:f>IF($A140="","",IF(ABS($G140)&lt;0.01,"-",IF($G140&gt;0,"Pedro Américo Paletot","Camilly Queiroz")))</x:f>
      </x:c>
      <x:c r="M140" s="36"/>
      <x:c r="N140" s="59"/>
      <x:c r="O140" s="36"/>
      <x:c r="P140" s="36"/>
    </x:row>
    <x:row r="141">
      <x:c r="A141" s="36"/>
      <x:c r="B141" s="67" t="str">
        <x:f>IF($A141="","",IFERROR(INDEX('Planejamento de Viagens'!$B$6:$B$205,MATCH($A141,'Planejamento de Viagens'!$A$6:$A$205,0)),""))</x:f>
      </x:c>
      <x:c r="C141" s="63" t="str">
        <x:f>IF($A141="","",SUMIFS('Histórico de Gastos'!$W$6:$W$205,'Histórico de Gastos'!$B$6:$B$205,$A141))</x:f>
      </x:c>
      <x:c r="D141" s="63" t="str">
        <x:f>IF($A141="","",SUMIFS('Histórico de Gastos'!$X$6:$X$205,'Histórico de Gastos'!$B$6:$B$205,$A141))</x:f>
      </x:c>
      <x:c r="E141" s="63" t="str">
        <x:f>IF($A141="","",SUMIFS('Histórico de Gastos'!$U$6:$U$205,'Histórico de Gastos'!$B$6:$B$205,$A141))</x:f>
      </x:c>
      <x:c r="F141" s="63" t="str">
        <x:f>IF($A141="","",SUMIFS('Histórico de Gastos'!$V$6:$V$205,'Histórico de Gastos'!$B$6:$B$205,$A141))</x:f>
      </x:c>
      <x:c r="G141" s="63" t="str">
        <x:f>IF($A141="","",$C141-$E141)</x:f>
      </x:c>
      <x:c r="H141" s="63" t="str">
        <x:f>IF($A141="","",$D141-$F141)</x:f>
      </x:c>
      <x:c r="I141" s="67" t="str">
        <x:f>IF($A141="","",IF(ABS($G141)&lt;0.01,"Tudo certo, ninguém deve nada",IF($G141&gt;0,"Camilly deve pagar para Pedro","Pedro deve pagar para Camilly")))</x:f>
      </x:c>
      <x:c r="J141" s="63" t="str">
        <x:f>IF($A141="","",ABS($G141))</x:f>
      </x:c>
      <x:c r="K141" s="67" t="str">
        <x:f>IF($A141="","",IF(ABS($G141)&lt;0.01,"-",IF($G141&gt;0,"Camilly Queiroz","Pedro Américo Paletot")))</x:f>
      </x:c>
      <x:c r="L141" s="67" t="str">
        <x:f>IF($A141="","",IF(ABS($G141)&lt;0.01,"-",IF($G141&gt;0,"Pedro Américo Paletot","Camilly Queiroz")))</x:f>
      </x:c>
      <x:c r="M141" s="36"/>
      <x:c r="N141" s="59"/>
      <x:c r="O141" s="36"/>
      <x:c r="P141" s="36"/>
    </x:row>
    <x:row r="142">
      <x:c r="A142" s="36"/>
      <x:c r="B142" s="67" t="str">
        <x:f>IF($A142="","",IFERROR(INDEX('Planejamento de Viagens'!$B$6:$B$205,MATCH($A142,'Planejamento de Viagens'!$A$6:$A$205,0)),""))</x:f>
      </x:c>
      <x:c r="C142" s="63" t="str">
        <x:f>IF($A142="","",SUMIFS('Histórico de Gastos'!$W$6:$W$205,'Histórico de Gastos'!$B$6:$B$205,$A142))</x:f>
      </x:c>
      <x:c r="D142" s="63" t="str">
        <x:f>IF($A142="","",SUMIFS('Histórico de Gastos'!$X$6:$X$205,'Histórico de Gastos'!$B$6:$B$205,$A142))</x:f>
      </x:c>
      <x:c r="E142" s="63" t="str">
        <x:f>IF($A142="","",SUMIFS('Histórico de Gastos'!$U$6:$U$205,'Histórico de Gastos'!$B$6:$B$205,$A142))</x:f>
      </x:c>
      <x:c r="F142" s="63" t="str">
        <x:f>IF($A142="","",SUMIFS('Histórico de Gastos'!$V$6:$V$205,'Histórico de Gastos'!$B$6:$B$205,$A142))</x:f>
      </x:c>
      <x:c r="G142" s="63" t="str">
        <x:f>IF($A142="","",$C142-$E142)</x:f>
      </x:c>
      <x:c r="H142" s="63" t="str">
        <x:f>IF($A142="","",$D142-$F142)</x:f>
      </x:c>
      <x:c r="I142" s="67" t="str">
        <x:f>IF($A142="","",IF(ABS($G142)&lt;0.01,"Tudo certo, ninguém deve nada",IF($G142&gt;0,"Camilly deve pagar para Pedro","Pedro deve pagar para Camilly")))</x:f>
      </x:c>
      <x:c r="J142" s="63" t="str">
        <x:f>IF($A142="","",ABS($G142))</x:f>
      </x:c>
      <x:c r="K142" s="67" t="str">
        <x:f>IF($A142="","",IF(ABS($G142)&lt;0.01,"-",IF($G142&gt;0,"Camilly Queiroz","Pedro Américo Paletot")))</x:f>
      </x:c>
      <x:c r="L142" s="67" t="str">
        <x:f>IF($A142="","",IF(ABS($G142)&lt;0.01,"-",IF($G142&gt;0,"Pedro Américo Paletot","Camilly Queiroz")))</x:f>
      </x:c>
      <x:c r="M142" s="36"/>
      <x:c r="N142" s="59"/>
      <x:c r="O142" s="36"/>
      <x:c r="P142" s="36"/>
    </x:row>
    <x:row r="143">
      <x:c r="A143" s="36"/>
      <x:c r="B143" s="67" t="str">
        <x:f>IF($A143="","",IFERROR(INDEX('Planejamento de Viagens'!$B$6:$B$205,MATCH($A143,'Planejamento de Viagens'!$A$6:$A$205,0)),""))</x:f>
      </x:c>
      <x:c r="C143" s="63" t="str">
        <x:f>IF($A143="","",SUMIFS('Histórico de Gastos'!$W$6:$W$205,'Histórico de Gastos'!$B$6:$B$205,$A143))</x:f>
      </x:c>
      <x:c r="D143" s="63" t="str">
        <x:f>IF($A143="","",SUMIFS('Histórico de Gastos'!$X$6:$X$205,'Histórico de Gastos'!$B$6:$B$205,$A143))</x:f>
      </x:c>
      <x:c r="E143" s="63" t="str">
        <x:f>IF($A143="","",SUMIFS('Histórico de Gastos'!$U$6:$U$205,'Histórico de Gastos'!$B$6:$B$205,$A143))</x:f>
      </x:c>
      <x:c r="F143" s="63" t="str">
        <x:f>IF($A143="","",SUMIFS('Histórico de Gastos'!$V$6:$V$205,'Histórico de Gastos'!$B$6:$B$205,$A143))</x:f>
      </x:c>
      <x:c r="G143" s="63" t="str">
        <x:f>IF($A143="","",$C143-$E143)</x:f>
      </x:c>
      <x:c r="H143" s="63" t="str">
        <x:f>IF($A143="","",$D143-$F143)</x:f>
      </x:c>
      <x:c r="I143" s="67" t="str">
        <x:f>IF($A143="","",IF(ABS($G143)&lt;0.01,"Tudo certo, ninguém deve nada",IF($G143&gt;0,"Camilly deve pagar para Pedro","Pedro deve pagar para Camilly")))</x:f>
      </x:c>
      <x:c r="J143" s="63" t="str">
        <x:f>IF($A143="","",ABS($G143))</x:f>
      </x:c>
      <x:c r="K143" s="67" t="str">
        <x:f>IF($A143="","",IF(ABS($G143)&lt;0.01,"-",IF($G143&gt;0,"Camilly Queiroz","Pedro Américo Paletot")))</x:f>
      </x:c>
      <x:c r="L143" s="67" t="str">
        <x:f>IF($A143="","",IF(ABS($G143)&lt;0.01,"-",IF($G143&gt;0,"Pedro Américo Paletot","Camilly Queiroz")))</x:f>
      </x:c>
      <x:c r="M143" s="36"/>
      <x:c r="N143" s="59"/>
      <x:c r="O143" s="36"/>
      <x:c r="P143" s="36"/>
    </x:row>
    <x:row r="144">
      <x:c r="A144" s="36"/>
      <x:c r="B144" s="67" t="str">
        <x:f>IF($A144="","",IFERROR(INDEX('Planejamento de Viagens'!$B$6:$B$205,MATCH($A144,'Planejamento de Viagens'!$A$6:$A$205,0)),""))</x:f>
      </x:c>
      <x:c r="C144" s="63" t="str">
        <x:f>IF($A144="","",SUMIFS('Histórico de Gastos'!$W$6:$W$205,'Histórico de Gastos'!$B$6:$B$205,$A144))</x:f>
      </x:c>
      <x:c r="D144" s="63" t="str">
        <x:f>IF($A144="","",SUMIFS('Histórico de Gastos'!$X$6:$X$205,'Histórico de Gastos'!$B$6:$B$205,$A144))</x:f>
      </x:c>
      <x:c r="E144" s="63" t="str">
        <x:f>IF($A144="","",SUMIFS('Histórico de Gastos'!$U$6:$U$205,'Histórico de Gastos'!$B$6:$B$205,$A144))</x:f>
      </x:c>
      <x:c r="F144" s="63" t="str">
        <x:f>IF($A144="","",SUMIFS('Histórico de Gastos'!$V$6:$V$205,'Histórico de Gastos'!$B$6:$B$205,$A144))</x:f>
      </x:c>
      <x:c r="G144" s="63" t="str">
        <x:f>IF($A144="","",$C144-$E144)</x:f>
      </x:c>
      <x:c r="H144" s="63" t="str">
        <x:f>IF($A144="","",$D144-$F144)</x:f>
      </x:c>
      <x:c r="I144" s="67" t="str">
        <x:f>IF($A144="","",IF(ABS($G144)&lt;0.01,"Tudo certo, ninguém deve nada",IF($G144&gt;0,"Camilly deve pagar para Pedro","Pedro deve pagar para Camilly")))</x:f>
      </x:c>
      <x:c r="J144" s="63" t="str">
        <x:f>IF($A144="","",ABS($G144))</x:f>
      </x:c>
      <x:c r="K144" s="67" t="str">
        <x:f>IF($A144="","",IF(ABS($G144)&lt;0.01,"-",IF($G144&gt;0,"Camilly Queiroz","Pedro Américo Paletot")))</x:f>
      </x:c>
      <x:c r="L144" s="67" t="str">
        <x:f>IF($A144="","",IF(ABS($G144)&lt;0.01,"-",IF($G144&gt;0,"Pedro Américo Paletot","Camilly Queiroz")))</x:f>
      </x:c>
      <x:c r="M144" s="36"/>
      <x:c r="N144" s="59"/>
      <x:c r="O144" s="36"/>
      <x:c r="P144" s="36"/>
    </x:row>
    <x:row r="145">
      <x:c r="A145" s="36"/>
      <x:c r="B145" s="67" t="str">
        <x:f>IF($A145="","",IFERROR(INDEX('Planejamento de Viagens'!$B$6:$B$205,MATCH($A145,'Planejamento de Viagens'!$A$6:$A$205,0)),""))</x:f>
      </x:c>
      <x:c r="C145" s="63" t="str">
        <x:f>IF($A145="","",SUMIFS('Histórico de Gastos'!$W$6:$W$205,'Histórico de Gastos'!$B$6:$B$205,$A145))</x:f>
      </x:c>
      <x:c r="D145" s="63" t="str">
        <x:f>IF($A145="","",SUMIFS('Histórico de Gastos'!$X$6:$X$205,'Histórico de Gastos'!$B$6:$B$205,$A145))</x:f>
      </x:c>
      <x:c r="E145" s="63" t="str">
        <x:f>IF($A145="","",SUMIFS('Histórico de Gastos'!$U$6:$U$205,'Histórico de Gastos'!$B$6:$B$205,$A145))</x:f>
      </x:c>
      <x:c r="F145" s="63" t="str">
        <x:f>IF($A145="","",SUMIFS('Histórico de Gastos'!$V$6:$V$205,'Histórico de Gastos'!$B$6:$B$205,$A145))</x:f>
      </x:c>
      <x:c r="G145" s="63" t="str">
        <x:f>IF($A145="","",$C145-$E145)</x:f>
      </x:c>
      <x:c r="H145" s="63" t="str">
        <x:f>IF($A145="","",$D145-$F145)</x:f>
      </x:c>
      <x:c r="I145" s="67" t="str">
        <x:f>IF($A145="","",IF(ABS($G145)&lt;0.01,"Tudo certo, ninguém deve nada",IF($G145&gt;0,"Camilly deve pagar para Pedro","Pedro deve pagar para Camilly")))</x:f>
      </x:c>
      <x:c r="J145" s="63" t="str">
        <x:f>IF($A145="","",ABS($G145))</x:f>
      </x:c>
      <x:c r="K145" s="67" t="str">
        <x:f>IF($A145="","",IF(ABS($G145)&lt;0.01,"-",IF($G145&gt;0,"Camilly Queiroz","Pedro Américo Paletot")))</x:f>
      </x:c>
      <x:c r="L145" s="67" t="str">
        <x:f>IF($A145="","",IF(ABS($G145)&lt;0.01,"-",IF($G145&gt;0,"Pedro Américo Paletot","Camilly Queiroz")))</x:f>
      </x:c>
      <x:c r="M145" s="36"/>
      <x:c r="N145" s="59"/>
      <x:c r="O145" s="36"/>
      <x:c r="P145" s="36"/>
    </x:row>
    <x:row r="146">
      <x:c r="A146" s="36"/>
      <x:c r="B146" s="67" t="str">
        <x:f>IF($A146="","",IFERROR(INDEX('Planejamento de Viagens'!$B$6:$B$205,MATCH($A146,'Planejamento de Viagens'!$A$6:$A$205,0)),""))</x:f>
      </x:c>
      <x:c r="C146" s="63" t="str">
        <x:f>IF($A146="","",SUMIFS('Histórico de Gastos'!$W$6:$W$205,'Histórico de Gastos'!$B$6:$B$205,$A146))</x:f>
      </x:c>
      <x:c r="D146" s="63" t="str">
        <x:f>IF($A146="","",SUMIFS('Histórico de Gastos'!$X$6:$X$205,'Histórico de Gastos'!$B$6:$B$205,$A146))</x:f>
      </x:c>
      <x:c r="E146" s="63" t="str">
        <x:f>IF($A146="","",SUMIFS('Histórico de Gastos'!$U$6:$U$205,'Histórico de Gastos'!$B$6:$B$205,$A146))</x:f>
      </x:c>
      <x:c r="F146" s="63" t="str">
        <x:f>IF($A146="","",SUMIFS('Histórico de Gastos'!$V$6:$V$205,'Histórico de Gastos'!$B$6:$B$205,$A146))</x:f>
      </x:c>
      <x:c r="G146" s="63" t="str">
        <x:f>IF($A146="","",$C146-$E146)</x:f>
      </x:c>
      <x:c r="H146" s="63" t="str">
        <x:f>IF($A146="","",$D146-$F146)</x:f>
      </x:c>
      <x:c r="I146" s="67" t="str">
        <x:f>IF($A146="","",IF(ABS($G146)&lt;0.01,"Tudo certo, ninguém deve nada",IF($G146&gt;0,"Camilly deve pagar para Pedro","Pedro deve pagar para Camilly")))</x:f>
      </x:c>
      <x:c r="J146" s="63" t="str">
        <x:f>IF($A146="","",ABS($G146))</x:f>
      </x:c>
      <x:c r="K146" s="67" t="str">
        <x:f>IF($A146="","",IF(ABS($G146)&lt;0.01,"-",IF($G146&gt;0,"Camilly Queiroz","Pedro Américo Paletot")))</x:f>
      </x:c>
      <x:c r="L146" s="67" t="str">
        <x:f>IF($A146="","",IF(ABS($G146)&lt;0.01,"-",IF($G146&gt;0,"Pedro Américo Paletot","Camilly Queiroz")))</x:f>
      </x:c>
      <x:c r="M146" s="36"/>
      <x:c r="N146" s="59"/>
      <x:c r="O146" s="36"/>
      <x:c r="P146" s="36"/>
    </x:row>
    <x:row r="147">
      <x:c r="A147" s="36"/>
      <x:c r="B147" s="67" t="str">
        <x:f>IF($A147="","",IFERROR(INDEX('Planejamento de Viagens'!$B$6:$B$205,MATCH($A147,'Planejamento de Viagens'!$A$6:$A$205,0)),""))</x:f>
      </x:c>
      <x:c r="C147" s="63" t="str">
        <x:f>IF($A147="","",SUMIFS('Histórico de Gastos'!$W$6:$W$205,'Histórico de Gastos'!$B$6:$B$205,$A147))</x:f>
      </x:c>
      <x:c r="D147" s="63" t="str">
        <x:f>IF($A147="","",SUMIFS('Histórico de Gastos'!$X$6:$X$205,'Histórico de Gastos'!$B$6:$B$205,$A147))</x:f>
      </x:c>
      <x:c r="E147" s="63" t="str">
        <x:f>IF($A147="","",SUMIFS('Histórico de Gastos'!$U$6:$U$205,'Histórico de Gastos'!$B$6:$B$205,$A147))</x:f>
      </x:c>
      <x:c r="F147" s="63" t="str">
        <x:f>IF($A147="","",SUMIFS('Histórico de Gastos'!$V$6:$V$205,'Histórico de Gastos'!$B$6:$B$205,$A147))</x:f>
      </x:c>
      <x:c r="G147" s="63" t="str">
        <x:f>IF($A147="","",$C147-$E147)</x:f>
      </x:c>
      <x:c r="H147" s="63" t="str">
        <x:f>IF($A147="","",$D147-$F147)</x:f>
      </x:c>
      <x:c r="I147" s="67" t="str">
        <x:f>IF($A147="","",IF(ABS($G147)&lt;0.01,"Tudo certo, ninguém deve nada",IF($G147&gt;0,"Camilly deve pagar para Pedro","Pedro deve pagar para Camilly")))</x:f>
      </x:c>
      <x:c r="J147" s="63" t="str">
        <x:f>IF($A147="","",ABS($G147))</x:f>
      </x:c>
      <x:c r="K147" s="67" t="str">
        <x:f>IF($A147="","",IF(ABS($G147)&lt;0.01,"-",IF($G147&gt;0,"Camilly Queiroz","Pedro Américo Paletot")))</x:f>
      </x:c>
      <x:c r="L147" s="67" t="str">
        <x:f>IF($A147="","",IF(ABS($G147)&lt;0.01,"-",IF($G147&gt;0,"Pedro Américo Paletot","Camilly Queiroz")))</x:f>
      </x:c>
      <x:c r="M147" s="36"/>
      <x:c r="N147" s="59"/>
      <x:c r="O147" s="36"/>
      <x:c r="P147" s="36"/>
    </x:row>
    <x:row r="148">
      <x:c r="A148" s="36"/>
      <x:c r="B148" s="67" t="str">
        <x:f>IF($A148="","",IFERROR(INDEX('Planejamento de Viagens'!$B$6:$B$205,MATCH($A148,'Planejamento de Viagens'!$A$6:$A$205,0)),""))</x:f>
      </x:c>
      <x:c r="C148" s="63" t="str">
        <x:f>IF($A148="","",SUMIFS('Histórico de Gastos'!$W$6:$W$205,'Histórico de Gastos'!$B$6:$B$205,$A148))</x:f>
      </x:c>
      <x:c r="D148" s="63" t="str">
        <x:f>IF($A148="","",SUMIFS('Histórico de Gastos'!$X$6:$X$205,'Histórico de Gastos'!$B$6:$B$205,$A148))</x:f>
      </x:c>
      <x:c r="E148" s="63" t="str">
        <x:f>IF($A148="","",SUMIFS('Histórico de Gastos'!$U$6:$U$205,'Histórico de Gastos'!$B$6:$B$205,$A148))</x:f>
      </x:c>
      <x:c r="F148" s="63" t="str">
        <x:f>IF($A148="","",SUMIFS('Histórico de Gastos'!$V$6:$V$205,'Histórico de Gastos'!$B$6:$B$205,$A148))</x:f>
      </x:c>
      <x:c r="G148" s="63" t="str">
        <x:f>IF($A148="","",$C148-$E148)</x:f>
      </x:c>
      <x:c r="H148" s="63" t="str">
        <x:f>IF($A148="","",$D148-$F148)</x:f>
      </x:c>
      <x:c r="I148" s="67" t="str">
        <x:f>IF($A148="","",IF(ABS($G148)&lt;0.01,"Tudo certo, ninguém deve nada",IF($G148&gt;0,"Camilly deve pagar para Pedro","Pedro deve pagar para Camilly")))</x:f>
      </x:c>
      <x:c r="J148" s="63" t="str">
        <x:f>IF($A148="","",ABS($G148))</x:f>
      </x:c>
      <x:c r="K148" s="67" t="str">
        <x:f>IF($A148="","",IF(ABS($G148)&lt;0.01,"-",IF($G148&gt;0,"Camilly Queiroz","Pedro Américo Paletot")))</x:f>
      </x:c>
      <x:c r="L148" s="67" t="str">
        <x:f>IF($A148="","",IF(ABS($G148)&lt;0.01,"-",IF($G148&gt;0,"Pedro Américo Paletot","Camilly Queiroz")))</x:f>
      </x:c>
      <x:c r="M148" s="36"/>
      <x:c r="N148" s="59"/>
      <x:c r="O148" s="36"/>
      <x:c r="P148" s="36"/>
    </x:row>
    <x:row r="149">
      <x:c r="A149" s="36"/>
      <x:c r="B149" s="67" t="str">
        <x:f>IF($A149="","",IFERROR(INDEX('Planejamento de Viagens'!$B$6:$B$205,MATCH($A149,'Planejamento de Viagens'!$A$6:$A$205,0)),""))</x:f>
      </x:c>
      <x:c r="C149" s="63" t="str">
        <x:f>IF($A149="","",SUMIFS('Histórico de Gastos'!$W$6:$W$205,'Histórico de Gastos'!$B$6:$B$205,$A149))</x:f>
      </x:c>
      <x:c r="D149" s="63" t="str">
        <x:f>IF($A149="","",SUMIFS('Histórico de Gastos'!$X$6:$X$205,'Histórico de Gastos'!$B$6:$B$205,$A149))</x:f>
      </x:c>
      <x:c r="E149" s="63" t="str">
        <x:f>IF($A149="","",SUMIFS('Histórico de Gastos'!$U$6:$U$205,'Histórico de Gastos'!$B$6:$B$205,$A149))</x:f>
      </x:c>
      <x:c r="F149" s="63" t="str">
        <x:f>IF($A149="","",SUMIFS('Histórico de Gastos'!$V$6:$V$205,'Histórico de Gastos'!$B$6:$B$205,$A149))</x:f>
      </x:c>
      <x:c r="G149" s="63" t="str">
        <x:f>IF($A149="","",$C149-$E149)</x:f>
      </x:c>
      <x:c r="H149" s="63" t="str">
        <x:f>IF($A149="","",$D149-$F149)</x:f>
      </x:c>
      <x:c r="I149" s="67" t="str">
        <x:f>IF($A149="","",IF(ABS($G149)&lt;0.01,"Tudo certo, ninguém deve nada",IF($G149&gt;0,"Camilly deve pagar para Pedro","Pedro deve pagar para Camilly")))</x:f>
      </x:c>
      <x:c r="J149" s="63" t="str">
        <x:f>IF($A149="","",ABS($G149))</x:f>
      </x:c>
      <x:c r="K149" s="67" t="str">
        <x:f>IF($A149="","",IF(ABS($G149)&lt;0.01,"-",IF($G149&gt;0,"Camilly Queiroz","Pedro Américo Paletot")))</x:f>
      </x:c>
      <x:c r="L149" s="67" t="str">
        <x:f>IF($A149="","",IF(ABS($G149)&lt;0.01,"-",IF($G149&gt;0,"Pedro Américo Paletot","Camilly Queiroz")))</x:f>
      </x:c>
      <x:c r="M149" s="36"/>
      <x:c r="N149" s="59"/>
      <x:c r="O149" s="36"/>
      <x:c r="P149" s="36"/>
    </x:row>
    <x:row r="150">
      <x:c r="A150" s="36"/>
      <x:c r="B150" s="67" t="str">
        <x:f>IF($A150="","",IFERROR(INDEX('Planejamento de Viagens'!$B$6:$B$205,MATCH($A150,'Planejamento de Viagens'!$A$6:$A$205,0)),""))</x:f>
      </x:c>
      <x:c r="C150" s="63" t="str">
        <x:f>IF($A150="","",SUMIFS('Histórico de Gastos'!$W$6:$W$205,'Histórico de Gastos'!$B$6:$B$205,$A150))</x:f>
      </x:c>
      <x:c r="D150" s="63" t="str">
        <x:f>IF($A150="","",SUMIFS('Histórico de Gastos'!$X$6:$X$205,'Histórico de Gastos'!$B$6:$B$205,$A150))</x:f>
      </x:c>
      <x:c r="E150" s="63" t="str">
        <x:f>IF($A150="","",SUMIFS('Histórico de Gastos'!$U$6:$U$205,'Histórico de Gastos'!$B$6:$B$205,$A150))</x:f>
      </x:c>
      <x:c r="F150" s="63" t="str">
        <x:f>IF($A150="","",SUMIFS('Histórico de Gastos'!$V$6:$V$205,'Histórico de Gastos'!$B$6:$B$205,$A150))</x:f>
      </x:c>
      <x:c r="G150" s="63" t="str">
        <x:f>IF($A150="","",$C150-$E150)</x:f>
      </x:c>
      <x:c r="H150" s="63" t="str">
        <x:f>IF($A150="","",$D150-$F150)</x:f>
      </x:c>
      <x:c r="I150" s="67" t="str">
        <x:f>IF($A150="","",IF(ABS($G150)&lt;0.01,"Tudo certo, ninguém deve nada",IF($G150&gt;0,"Camilly deve pagar para Pedro","Pedro deve pagar para Camilly")))</x:f>
      </x:c>
      <x:c r="J150" s="63" t="str">
        <x:f>IF($A150="","",ABS($G150))</x:f>
      </x:c>
      <x:c r="K150" s="67" t="str">
        <x:f>IF($A150="","",IF(ABS($G150)&lt;0.01,"-",IF($G150&gt;0,"Camilly Queiroz","Pedro Américo Paletot")))</x:f>
      </x:c>
      <x:c r="L150" s="67" t="str">
        <x:f>IF($A150="","",IF(ABS($G150)&lt;0.01,"-",IF($G150&gt;0,"Pedro Américo Paletot","Camilly Queiroz")))</x:f>
      </x:c>
      <x:c r="M150" s="36"/>
      <x:c r="N150" s="59"/>
      <x:c r="O150" s="36"/>
      <x:c r="P150" s="36"/>
    </x:row>
    <x:row r="151">
      <x:c r="A151" s="36"/>
      <x:c r="B151" s="67" t="str">
        <x:f>IF($A151="","",IFERROR(INDEX('Planejamento de Viagens'!$B$6:$B$205,MATCH($A151,'Planejamento de Viagens'!$A$6:$A$205,0)),""))</x:f>
      </x:c>
      <x:c r="C151" s="63" t="str">
        <x:f>IF($A151="","",SUMIFS('Histórico de Gastos'!$W$6:$W$205,'Histórico de Gastos'!$B$6:$B$205,$A151))</x:f>
      </x:c>
      <x:c r="D151" s="63" t="str">
        <x:f>IF($A151="","",SUMIFS('Histórico de Gastos'!$X$6:$X$205,'Histórico de Gastos'!$B$6:$B$205,$A151))</x:f>
      </x:c>
      <x:c r="E151" s="63" t="str">
        <x:f>IF($A151="","",SUMIFS('Histórico de Gastos'!$U$6:$U$205,'Histórico de Gastos'!$B$6:$B$205,$A151))</x:f>
      </x:c>
      <x:c r="F151" s="63" t="str">
        <x:f>IF($A151="","",SUMIFS('Histórico de Gastos'!$V$6:$V$205,'Histórico de Gastos'!$B$6:$B$205,$A151))</x:f>
      </x:c>
      <x:c r="G151" s="63" t="str">
        <x:f>IF($A151="","",$C151-$E151)</x:f>
      </x:c>
      <x:c r="H151" s="63" t="str">
        <x:f>IF($A151="","",$D151-$F151)</x:f>
      </x:c>
      <x:c r="I151" s="67" t="str">
        <x:f>IF($A151="","",IF(ABS($G151)&lt;0.01,"Tudo certo, ninguém deve nada",IF($G151&gt;0,"Camilly deve pagar para Pedro","Pedro deve pagar para Camilly")))</x:f>
      </x:c>
      <x:c r="J151" s="63" t="str">
        <x:f>IF($A151="","",ABS($G151))</x:f>
      </x:c>
      <x:c r="K151" s="67" t="str">
        <x:f>IF($A151="","",IF(ABS($G151)&lt;0.01,"-",IF($G151&gt;0,"Camilly Queiroz","Pedro Américo Paletot")))</x:f>
      </x:c>
      <x:c r="L151" s="67" t="str">
        <x:f>IF($A151="","",IF(ABS($G151)&lt;0.01,"-",IF($G151&gt;0,"Pedro Américo Paletot","Camilly Queiroz")))</x:f>
      </x:c>
      <x:c r="M151" s="36"/>
      <x:c r="N151" s="59"/>
      <x:c r="O151" s="36"/>
      <x:c r="P151" s="36"/>
    </x:row>
    <x:row r="152">
      <x:c r="A152" s="36"/>
      <x:c r="B152" s="67" t="str">
        <x:f>IF($A152="","",IFERROR(INDEX('Planejamento de Viagens'!$B$6:$B$205,MATCH($A152,'Planejamento de Viagens'!$A$6:$A$205,0)),""))</x:f>
      </x:c>
      <x:c r="C152" s="63" t="str">
        <x:f>IF($A152="","",SUMIFS('Histórico de Gastos'!$W$6:$W$205,'Histórico de Gastos'!$B$6:$B$205,$A152))</x:f>
      </x:c>
      <x:c r="D152" s="63" t="str">
        <x:f>IF($A152="","",SUMIFS('Histórico de Gastos'!$X$6:$X$205,'Histórico de Gastos'!$B$6:$B$205,$A152))</x:f>
      </x:c>
      <x:c r="E152" s="63" t="str">
        <x:f>IF($A152="","",SUMIFS('Histórico de Gastos'!$U$6:$U$205,'Histórico de Gastos'!$B$6:$B$205,$A152))</x:f>
      </x:c>
      <x:c r="F152" s="63" t="str">
        <x:f>IF($A152="","",SUMIFS('Histórico de Gastos'!$V$6:$V$205,'Histórico de Gastos'!$B$6:$B$205,$A152))</x:f>
      </x:c>
      <x:c r="G152" s="63" t="str">
        <x:f>IF($A152="","",$C152-$E152)</x:f>
      </x:c>
      <x:c r="H152" s="63" t="str">
        <x:f>IF($A152="","",$D152-$F152)</x:f>
      </x:c>
      <x:c r="I152" s="67" t="str">
        <x:f>IF($A152="","",IF(ABS($G152)&lt;0.01,"Tudo certo, ninguém deve nada",IF($G152&gt;0,"Camilly deve pagar para Pedro","Pedro deve pagar para Camilly")))</x:f>
      </x:c>
      <x:c r="J152" s="63" t="str">
        <x:f>IF($A152="","",ABS($G152))</x:f>
      </x:c>
      <x:c r="K152" s="67" t="str">
        <x:f>IF($A152="","",IF(ABS($G152)&lt;0.01,"-",IF($G152&gt;0,"Camilly Queiroz","Pedro Américo Paletot")))</x:f>
      </x:c>
      <x:c r="L152" s="67" t="str">
        <x:f>IF($A152="","",IF(ABS($G152)&lt;0.01,"-",IF($G152&gt;0,"Pedro Américo Paletot","Camilly Queiroz")))</x:f>
      </x:c>
      <x:c r="M152" s="36"/>
      <x:c r="N152" s="59"/>
      <x:c r="O152" s="36"/>
      <x:c r="P152" s="36"/>
    </x:row>
    <x:row r="153">
      <x:c r="A153" s="36"/>
      <x:c r="B153" s="67" t="str">
        <x:f>IF($A153="","",IFERROR(INDEX('Planejamento de Viagens'!$B$6:$B$205,MATCH($A153,'Planejamento de Viagens'!$A$6:$A$205,0)),""))</x:f>
      </x:c>
      <x:c r="C153" s="63" t="str">
        <x:f>IF($A153="","",SUMIFS('Histórico de Gastos'!$W$6:$W$205,'Histórico de Gastos'!$B$6:$B$205,$A153))</x:f>
      </x:c>
      <x:c r="D153" s="63" t="str">
        <x:f>IF($A153="","",SUMIFS('Histórico de Gastos'!$X$6:$X$205,'Histórico de Gastos'!$B$6:$B$205,$A153))</x:f>
      </x:c>
      <x:c r="E153" s="63" t="str">
        <x:f>IF($A153="","",SUMIFS('Histórico de Gastos'!$U$6:$U$205,'Histórico de Gastos'!$B$6:$B$205,$A153))</x:f>
      </x:c>
      <x:c r="F153" s="63" t="str">
        <x:f>IF($A153="","",SUMIFS('Histórico de Gastos'!$V$6:$V$205,'Histórico de Gastos'!$B$6:$B$205,$A153))</x:f>
      </x:c>
      <x:c r="G153" s="63" t="str">
        <x:f>IF($A153="","",$C153-$E153)</x:f>
      </x:c>
      <x:c r="H153" s="63" t="str">
        <x:f>IF($A153="","",$D153-$F153)</x:f>
      </x:c>
      <x:c r="I153" s="67" t="str">
        <x:f>IF($A153="","",IF(ABS($G153)&lt;0.01,"Tudo certo, ninguém deve nada",IF($G153&gt;0,"Camilly deve pagar para Pedro","Pedro deve pagar para Camilly")))</x:f>
      </x:c>
      <x:c r="J153" s="63" t="str">
        <x:f>IF($A153="","",ABS($G153))</x:f>
      </x:c>
      <x:c r="K153" s="67" t="str">
        <x:f>IF($A153="","",IF(ABS($G153)&lt;0.01,"-",IF($G153&gt;0,"Camilly Queiroz","Pedro Américo Paletot")))</x:f>
      </x:c>
      <x:c r="L153" s="67" t="str">
        <x:f>IF($A153="","",IF(ABS($G153)&lt;0.01,"-",IF($G153&gt;0,"Pedro Américo Paletot","Camilly Queiroz")))</x:f>
      </x:c>
      <x:c r="M153" s="36"/>
      <x:c r="N153" s="59"/>
      <x:c r="O153" s="36"/>
      <x:c r="P153" s="36"/>
    </x:row>
    <x:row r="154">
      <x:c r="A154" s="36"/>
      <x:c r="B154" s="67" t="str">
        <x:f>IF($A154="","",IFERROR(INDEX('Planejamento de Viagens'!$B$6:$B$205,MATCH($A154,'Planejamento de Viagens'!$A$6:$A$205,0)),""))</x:f>
      </x:c>
      <x:c r="C154" s="63" t="str">
        <x:f>IF($A154="","",SUMIFS('Histórico de Gastos'!$W$6:$W$205,'Histórico de Gastos'!$B$6:$B$205,$A154))</x:f>
      </x:c>
      <x:c r="D154" s="63" t="str">
        <x:f>IF($A154="","",SUMIFS('Histórico de Gastos'!$X$6:$X$205,'Histórico de Gastos'!$B$6:$B$205,$A154))</x:f>
      </x:c>
      <x:c r="E154" s="63" t="str">
        <x:f>IF($A154="","",SUMIFS('Histórico de Gastos'!$U$6:$U$205,'Histórico de Gastos'!$B$6:$B$205,$A154))</x:f>
      </x:c>
      <x:c r="F154" s="63" t="str">
        <x:f>IF($A154="","",SUMIFS('Histórico de Gastos'!$V$6:$V$205,'Histórico de Gastos'!$B$6:$B$205,$A154))</x:f>
      </x:c>
      <x:c r="G154" s="63" t="str">
        <x:f>IF($A154="","",$C154-$E154)</x:f>
      </x:c>
      <x:c r="H154" s="63" t="str">
        <x:f>IF($A154="","",$D154-$F154)</x:f>
      </x:c>
      <x:c r="I154" s="67" t="str">
        <x:f>IF($A154="","",IF(ABS($G154)&lt;0.01,"Tudo certo, ninguém deve nada",IF($G154&gt;0,"Camilly deve pagar para Pedro","Pedro deve pagar para Camilly")))</x:f>
      </x:c>
      <x:c r="J154" s="63" t="str">
        <x:f>IF($A154="","",ABS($G154))</x:f>
      </x:c>
      <x:c r="K154" s="67" t="str">
        <x:f>IF($A154="","",IF(ABS($G154)&lt;0.01,"-",IF($G154&gt;0,"Camilly Queiroz","Pedro Américo Paletot")))</x:f>
      </x:c>
      <x:c r="L154" s="67" t="str">
        <x:f>IF($A154="","",IF(ABS($G154)&lt;0.01,"-",IF($G154&gt;0,"Pedro Américo Paletot","Camilly Queiroz")))</x:f>
      </x:c>
      <x:c r="M154" s="36"/>
      <x:c r="N154" s="59"/>
      <x:c r="O154" s="36"/>
      <x:c r="P154" s="36"/>
    </x:row>
    <x:row r="155">
      <x:c r="A155" s="36"/>
      <x:c r="B155" s="67" t="str">
        <x:f>IF($A155="","",IFERROR(INDEX('Planejamento de Viagens'!$B$6:$B$205,MATCH($A155,'Planejamento de Viagens'!$A$6:$A$205,0)),""))</x:f>
      </x:c>
      <x:c r="C155" s="63" t="str">
        <x:f>IF($A155="","",SUMIFS('Histórico de Gastos'!$W$6:$W$205,'Histórico de Gastos'!$B$6:$B$205,$A155))</x:f>
      </x:c>
      <x:c r="D155" s="63" t="str">
        <x:f>IF($A155="","",SUMIFS('Histórico de Gastos'!$X$6:$X$205,'Histórico de Gastos'!$B$6:$B$205,$A155))</x:f>
      </x:c>
      <x:c r="E155" s="63" t="str">
        <x:f>IF($A155="","",SUMIFS('Histórico de Gastos'!$U$6:$U$205,'Histórico de Gastos'!$B$6:$B$205,$A155))</x:f>
      </x:c>
      <x:c r="F155" s="63" t="str">
        <x:f>IF($A155="","",SUMIFS('Histórico de Gastos'!$V$6:$V$205,'Histórico de Gastos'!$B$6:$B$205,$A155))</x:f>
      </x:c>
      <x:c r="G155" s="63" t="str">
        <x:f>IF($A155="","",$C155-$E155)</x:f>
      </x:c>
      <x:c r="H155" s="63" t="str">
        <x:f>IF($A155="","",$D155-$F155)</x:f>
      </x:c>
      <x:c r="I155" s="67" t="str">
        <x:f>IF($A155="","",IF(ABS($G155)&lt;0.01,"Tudo certo, ninguém deve nada",IF($G155&gt;0,"Camilly deve pagar para Pedro","Pedro deve pagar para Camilly")))</x:f>
      </x:c>
      <x:c r="J155" s="63" t="str">
        <x:f>IF($A155="","",ABS($G155))</x:f>
      </x:c>
      <x:c r="K155" s="67" t="str">
        <x:f>IF($A155="","",IF(ABS($G155)&lt;0.01,"-",IF($G155&gt;0,"Camilly Queiroz","Pedro Américo Paletot")))</x:f>
      </x:c>
      <x:c r="L155" s="67" t="str">
        <x:f>IF($A155="","",IF(ABS($G155)&lt;0.01,"-",IF($G155&gt;0,"Pedro Américo Paletot","Camilly Queiroz")))</x:f>
      </x:c>
      <x:c r="M155" s="36"/>
      <x:c r="N155" s="59"/>
      <x:c r="O155" s="36"/>
      <x:c r="P155" s="36"/>
    </x:row>
    <x:row r="156">
      <x:c r="A156" s="36"/>
      <x:c r="B156" s="67" t="str">
        <x:f>IF($A156="","",IFERROR(INDEX('Planejamento de Viagens'!$B$6:$B$205,MATCH($A156,'Planejamento de Viagens'!$A$6:$A$205,0)),""))</x:f>
      </x:c>
      <x:c r="C156" s="63" t="str">
        <x:f>IF($A156="","",SUMIFS('Histórico de Gastos'!$W$6:$W$205,'Histórico de Gastos'!$B$6:$B$205,$A156))</x:f>
      </x:c>
      <x:c r="D156" s="63" t="str">
        <x:f>IF($A156="","",SUMIFS('Histórico de Gastos'!$X$6:$X$205,'Histórico de Gastos'!$B$6:$B$205,$A156))</x:f>
      </x:c>
      <x:c r="E156" s="63" t="str">
        <x:f>IF($A156="","",SUMIFS('Histórico de Gastos'!$U$6:$U$205,'Histórico de Gastos'!$B$6:$B$205,$A156))</x:f>
      </x:c>
      <x:c r="F156" s="63" t="str">
        <x:f>IF($A156="","",SUMIFS('Histórico de Gastos'!$V$6:$V$205,'Histórico de Gastos'!$B$6:$B$205,$A156))</x:f>
      </x:c>
      <x:c r="G156" s="63" t="str">
        <x:f>IF($A156="","",$C156-$E156)</x:f>
      </x:c>
      <x:c r="H156" s="63" t="str">
        <x:f>IF($A156="","",$D156-$F156)</x:f>
      </x:c>
      <x:c r="I156" s="67" t="str">
        <x:f>IF($A156="","",IF(ABS($G156)&lt;0.01,"Tudo certo, ninguém deve nada",IF($G156&gt;0,"Camilly deve pagar para Pedro","Pedro deve pagar para Camilly")))</x:f>
      </x:c>
      <x:c r="J156" s="63" t="str">
        <x:f>IF($A156="","",ABS($G156))</x:f>
      </x:c>
      <x:c r="K156" s="67" t="str">
        <x:f>IF($A156="","",IF(ABS($G156)&lt;0.01,"-",IF($G156&gt;0,"Camilly Queiroz","Pedro Américo Paletot")))</x:f>
      </x:c>
      <x:c r="L156" s="67" t="str">
        <x:f>IF($A156="","",IF(ABS($G156)&lt;0.01,"-",IF($G156&gt;0,"Pedro Américo Paletot","Camilly Queiroz")))</x:f>
      </x:c>
      <x:c r="M156" s="36"/>
      <x:c r="N156" s="59"/>
      <x:c r="O156" s="36"/>
      <x:c r="P156" s="36"/>
    </x:row>
    <x:row r="157">
      <x:c r="A157" s="36"/>
      <x:c r="B157" s="67" t="str">
        <x:f>IF($A157="","",IFERROR(INDEX('Planejamento de Viagens'!$B$6:$B$205,MATCH($A157,'Planejamento de Viagens'!$A$6:$A$205,0)),""))</x:f>
      </x:c>
      <x:c r="C157" s="63" t="str">
        <x:f>IF($A157="","",SUMIFS('Histórico de Gastos'!$W$6:$W$205,'Histórico de Gastos'!$B$6:$B$205,$A157))</x:f>
      </x:c>
      <x:c r="D157" s="63" t="str">
        <x:f>IF($A157="","",SUMIFS('Histórico de Gastos'!$X$6:$X$205,'Histórico de Gastos'!$B$6:$B$205,$A157))</x:f>
      </x:c>
      <x:c r="E157" s="63" t="str">
        <x:f>IF($A157="","",SUMIFS('Histórico de Gastos'!$U$6:$U$205,'Histórico de Gastos'!$B$6:$B$205,$A157))</x:f>
      </x:c>
      <x:c r="F157" s="63" t="str">
        <x:f>IF($A157="","",SUMIFS('Histórico de Gastos'!$V$6:$V$205,'Histórico de Gastos'!$B$6:$B$205,$A157))</x:f>
      </x:c>
      <x:c r="G157" s="63" t="str">
        <x:f>IF($A157="","",$C157-$E157)</x:f>
      </x:c>
      <x:c r="H157" s="63" t="str">
        <x:f>IF($A157="","",$D157-$F157)</x:f>
      </x:c>
      <x:c r="I157" s="67" t="str">
        <x:f>IF($A157="","",IF(ABS($G157)&lt;0.01,"Tudo certo, ninguém deve nada",IF($G157&gt;0,"Camilly deve pagar para Pedro","Pedro deve pagar para Camilly")))</x:f>
      </x:c>
      <x:c r="J157" s="63" t="str">
        <x:f>IF($A157="","",ABS($G157))</x:f>
      </x:c>
      <x:c r="K157" s="67" t="str">
        <x:f>IF($A157="","",IF(ABS($G157)&lt;0.01,"-",IF($G157&gt;0,"Camilly Queiroz","Pedro Américo Paletot")))</x:f>
      </x:c>
      <x:c r="L157" s="67" t="str">
        <x:f>IF($A157="","",IF(ABS($G157)&lt;0.01,"-",IF($G157&gt;0,"Pedro Américo Paletot","Camilly Queiroz")))</x:f>
      </x:c>
      <x:c r="M157" s="36"/>
      <x:c r="N157" s="59"/>
      <x:c r="O157" s="36"/>
      <x:c r="P157" s="36"/>
    </x:row>
    <x:row r="158">
      <x:c r="A158" s="36"/>
      <x:c r="B158" s="67" t="str">
        <x:f>IF($A158="","",IFERROR(INDEX('Planejamento de Viagens'!$B$6:$B$205,MATCH($A158,'Planejamento de Viagens'!$A$6:$A$205,0)),""))</x:f>
      </x:c>
      <x:c r="C158" s="63" t="str">
        <x:f>IF($A158="","",SUMIFS('Histórico de Gastos'!$W$6:$W$205,'Histórico de Gastos'!$B$6:$B$205,$A158))</x:f>
      </x:c>
      <x:c r="D158" s="63" t="str">
        <x:f>IF($A158="","",SUMIFS('Histórico de Gastos'!$X$6:$X$205,'Histórico de Gastos'!$B$6:$B$205,$A158))</x:f>
      </x:c>
      <x:c r="E158" s="63" t="str">
        <x:f>IF($A158="","",SUMIFS('Histórico de Gastos'!$U$6:$U$205,'Histórico de Gastos'!$B$6:$B$205,$A158))</x:f>
      </x:c>
      <x:c r="F158" s="63" t="str">
        <x:f>IF($A158="","",SUMIFS('Histórico de Gastos'!$V$6:$V$205,'Histórico de Gastos'!$B$6:$B$205,$A158))</x:f>
      </x:c>
      <x:c r="G158" s="63" t="str">
        <x:f>IF($A158="","",$C158-$E158)</x:f>
      </x:c>
      <x:c r="H158" s="63" t="str">
        <x:f>IF($A158="","",$D158-$F158)</x:f>
      </x:c>
      <x:c r="I158" s="67" t="str">
        <x:f>IF($A158="","",IF(ABS($G158)&lt;0.01,"Tudo certo, ninguém deve nada",IF($G158&gt;0,"Camilly deve pagar para Pedro","Pedro deve pagar para Camilly")))</x:f>
      </x:c>
      <x:c r="J158" s="63" t="str">
        <x:f>IF($A158="","",ABS($G158))</x:f>
      </x:c>
      <x:c r="K158" s="67" t="str">
        <x:f>IF($A158="","",IF(ABS($G158)&lt;0.01,"-",IF($G158&gt;0,"Camilly Queiroz","Pedro Américo Paletot")))</x:f>
      </x:c>
      <x:c r="L158" s="67" t="str">
        <x:f>IF($A158="","",IF(ABS($G158)&lt;0.01,"-",IF($G158&gt;0,"Pedro Américo Paletot","Camilly Queiroz")))</x:f>
      </x:c>
      <x:c r="M158" s="36"/>
      <x:c r="N158" s="59"/>
      <x:c r="O158" s="36"/>
      <x:c r="P158" s="36"/>
    </x:row>
    <x:row r="159">
      <x:c r="A159" s="36"/>
      <x:c r="B159" s="67" t="str">
        <x:f>IF($A159="","",IFERROR(INDEX('Planejamento de Viagens'!$B$6:$B$205,MATCH($A159,'Planejamento de Viagens'!$A$6:$A$205,0)),""))</x:f>
      </x:c>
      <x:c r="C159" s="63" t="str">
        <x:f>IF($A159="","",SUMIFS('Histórico de Gastos'!$W$6:$W$205,'Histórico de Gastos'!$B$6:$B$205,$A159))</x:f>
      </x:c>
      <x:c r="D159" s="63" t="str">
        <x:f>IF($A159="","",SUMIFS('Histórico de Gastos'!$X$6:$X$205,'Histórico de Gastos'!$B$6:$B$205,$A159))</x:f>
      </x:c>
      <x:c r="E159" s="63" t="str">
        <x:f>IF($A159="","",SUMIFS('Histórico de Gastos'!$U$6:$U$205,'Histórico de Gastos'!$B$6:$B$205,$A159))</x:f>
      </x:c>
      <x:c r="F159" s="63" t="str">
        <x:f>IF($A159="","",SUMIFS('Histórico de Gastos'!$V$6:$V$205,'Histórico de Gastos'!$B$6:$B$205,$A159))</x:f>
      </x:c>
      <x:c r="G159" s="63" t="str">
        <x:f>IF($A159="","",$C159-$E159)</x:f>
      </x:c>
      <x:c r="H159" s="63" t="str">
        <x:f>IF($A159="","",$D159-$F159)</x:f>
      </x:c>
      <x:c r="I159" s="67" t="str">
        <x:f>IF($A159="","",IF(ABS($G159)&lt;0.01,"Tudo certo, ninguém deve nada",IF($G159&gt;0,"Camilly deve pagar para Pedro","Pedro deve pagar para Camilly")))</x:f>
      </x:c>
      <x:c r="J159" s="63" t="str">
        <x:f>IF($A159="","",ABS($G159))</x:f>
      </x:c>
      <x:c r="K159" s="67" t="str">
        <x:f>IF($A159="","",IF(ABS($G159)&lt;0.01,"-",IF($G159&gt;0,"Camilly Queiroz","Pedro Américo Paletot")))</x:f>
      </x:c>
      <x:c r="L159" s="67" t="str">
        <x:f>IF($A159="","",IF(ABS($G159)&lt;0.01,"-",IF($G159&gt;0,"Pedro Américo Paletot","Camilly Queiroz")))</x:f>
      </x:c>
      <x:c r="M159" s="36"/>
      <x:c r="N159" s="59"/>
      <x:c r="O159" s="36"/>
      <x:c r="P159" s="36"/>
    </x:row>
    <x:row r="160">
      <x:c r="A160" s="36"/>
      <x:c r="B160" s="67" t="str">
        <x:f>IF($A160="","",IFERROR(INDEX('Planejamento de Viagens'!$B$6:$B$205,MATCH($A160,'Planejamento de Viagens'!$A$6:$A$205,0)),""))</x:f>
      </x:c>
      <x:c r="C160" s="63" t="str">
        <x:f>IF($A160="","",SUMIFS('Histórico de Gastos'!$W$6:$W$205,'Histórico de Gastos'!$B$6:$B$205,$A160))</x:f>
      </x:c>
      <x:c r="D160" s="63" t="str">
        <x:f>IF($A160="","",SUMIFS('Histórico de Gastos'!$X$6:$X$205,'Histórico de Gastos'!$B$6:$B$205,$A160))</x:f>
      </x:c>
      <x:c r="E160" s="63" t="str">
        <x:f>IF($A160="","",SUMIFS('Histórico de Gastos'!$U$6:$U$205,'Histórico de Gastos'!$B$6:$B$205,$A160))</x:f>
      </x:c>
      <x:c r="F160" s="63" t="str">
        <x:f>IF($A160="","",SUMIFS('Histórico de Gastos'!$V$6:$V$205,'Histórico de Gastos'!$B$6:$B$205,$A160))</x:f>
      </x:c>
      <x:c r="G160" s="63" t="str">
        <x:f>IF($A160="","",$C160-$E160)</x:f>
      </x:c>
      <x:c r="H160" s="63" t="str">
        <x:f>IF($A160="","",$D160-$F160)</x:f>
      </x:c>
      <x:c r="I160" s="67" t="str">
        <x:f>IF($A160="","",IF(ABS($G160)&lt;0.01,"Tudo certo, ninguém deve nada",IF($G160&gt;0,"Camilly deve pagar para Pedro","Pedro deve pagar para Camilly")))</x:f>
      </x:c>
      <x:c r="J160" s="63" t="str">
        <x:f>IF($A160="","",ABS($G160))</x:f>
      </x:c>
      <x:c r="K160" s="67" t="str">
        <x:f>IF($A160="","",IF(ABS($G160)&lt;0.01,"-",IF($G160&gt;0,"Camilly Queiroz","Pedro Américo Paletot")))</x:f>
      </x:c>
      <x:c r="L160" s="67" t="str">
        <x:f>IF($A160="","",IF(ABS($G160)&lt;0.01,"-",IF($G160&gt;0,"Pedro Américo Paletot","Camilly Queiroz")))</x:f>
      </x:c>
      <x:c r="M160" s="36"/>
      <x:c r="N160" s="59"/>
      <x:c r="O160" s="36"/>
      <x:c r="P160" s="36"/>
    </x:row>
    <x:row r="161">
      <x:c r="A161" s="36"/>
      <x:c r="B161" s="67" t="str">
        <x:f>IF($A161="","",IFERROR(INDEX('Planejamento de Viagens'!$B$6:$B$205,MATCH($A161,'Planejamento de Viagens'!$A$6:$A$205,0)),""))</x:f>
      </x:c>
      <x:c r="C161" s="63" t="str">
        <x:f>IF($A161="","",SUMIFS('Histórico de Gastos'!$W$6:$W$205,'Histórico de Gastos'!$B$6:$B$205,$A161))</x:f>
      </x:c>
      <x:c r="D161" s="63" t="str">
        <x:f>IF($A161="","",SUMIFS('Histórico de Gastos'!$X$6:$X$205,'Histórico de Gastos'!$B$6:$B$205,$A161))</x:f>
      </x:c>
      <x:c r="E161" s="63" t="str">
        <x:f>IF($A161="","",SUMIFS('Histórico de Gastos'!$U$6:$U$205,'Histórico de Gastos'!$B$6:$B$205,$A161))</x:f>
      </x:c>
      <x:c r="F161" s="63" t="str">
        <x:f>IF($A161="","",SUMIFS('Histórico de Gastos'!$V$6:$V$205,'Histórico de Gastos'!$B$6:$B$205,$A161))</x:f>
      </x:c>
      <x:c r="G161" s="63" t="str">
        <x:f>IF($A161="","",$C161-$E161)</x:f>
      </x:c>
      <x:c r="H161" s="63" t="str">
        <x:f>IF($A161="","",$D161-$F161)</x:f>
      </x:c>
      <x:c r="I161" s="67" t="str">
        <x:f>IF($A161="","",IF(ABS($G161)&lt;0.01,"Tudo certo, ninguém deve nada",IF($G161&gt;0,"Camilly deve pagar para Pedro","Pedro deve pagar para Camilly")))</x:f>
      </x:c>
      <x:c r="J161" s="63" t="str">
        <x:f>IF($A161="","",ABS($G161))</x:f>
      </x:c>
      <x:c r="K161" s="67" t="str">
        <x:f>IF($A161="","",IF(ABS($G161)&lt;0.01,"-",IF($G161&gt;0,"Camilly Queiroz","Pedro Américo Paletot")))</x:f>
      </x:c>
      <x:c r="L161" s="67" t="str">
        <x:f>IF($A161="","",IF(ABS($G161)&lt;0.01,"-",IF($G161&gt;0,"Pedro Américo Paletot","Camilly Queiroz")))</x:f>
      </x:c>
      <x:c r="M161" s="36"/>
      <x:c r="N161" s="59"/>
      <x:c r="O161" s="36"/>
      <x:c r="P161" s="36"/>
    </x:row>
    <x:row r="162">
      <x:c r="A162" s="36"/>
      <x:c r="B162" s="67" t="str">
        <x:f>IF($A162="","",IFERROR(INDEX('Planejamento de Viagens'!$B$6:$B$205,MATCH($A162,'Planejamento de Viagens'!$A$6:$A$205,0)),""))</x:f>
      </x:c>
      <x:c r="C162" s="63" t="str">
        <x:f>IF($A162="","",SUMIFS('Histórico de Gastos'!$W$6:$W$205,'Histórico de Gastos'!$B$6:$B$205,$A162))</x:f>
      </x:c>
      <x:c r="D162" s="63" t="str">
        <x:f>IF($A162="","",SUMIFS('Histórico de Gastos'!$X$6:$X$205,'Histórico de Gastos'!$B$6:$B$205,$A162))</x:f>
      </x:c>
      <x:c r="E162" s="63" t="str">
        <x:f>IF($A162="","",SUMIFS('Histórico de Gastos'!$U$6:$U$205,'Histórico de Gastos'!$B$6:$B$205,$A162))</x:f>
      </x:c>
      <x:c r="F162" s="63" t="str">
        <x:f>IF($A162="","",SUMIFS('Histórico de Gastos'!$V$6:$V$205,'Histórico de Gastos'!$B$6:$B$205,$A162))</x:f>
      </x:c>
      <x:c r="G162" s="63" t="str">
        <x:f>IF($A162="","",$C162-$E162)</x:f>
      </x:c>
      <x:c r="H162" s="63" t="str">
        <x:f>IF($A162="","",$D162-$F162)</x:f>
      </x:c>
      <x:c r="I162" s="67" t="str">
        <x:f>IF($A162="","",IF(ABS($G162)&lt;0.01,"Tudo certo, ninguém deve nada",IF($G162&gt;0,"Camilly deve pagar para Pedro","Pedro deve pagar para Camilly")))</x:f>
      </x:c>
      <x:c r="J162" s="63" t="str">
        <x:f>IF($A162="","",ABS($G162))</x:f>
      </x:c>
      <x:c r="K162" s="67" t="str">
        <x:f>IF($A162="","",IF(ABS($G162)&lt;0.01,"-",IF($G162&gt;0,"Camilly Queiroz","Pedro Américo Paletot")))</x:f>
      </x:c>
      <x:c r="L162" s="67" t="str">
        <x:f>IF($A162="","",IF(ABS($G162)&lt;0.01,"-",IF($G162&gt;0,"Pedro Américo Paletot","Camilly Queiroz")))</x:f>
      </x:c>
      <x:c r="M162" s="36"/>
      <x:c r="N162" s="59"/>
      <x:c r="O162" s="36"/>
      <x:c r="P162" s="36"/>
    </x:row>
    <x:row r="163">
      <x:c r="A163" s="36"/>
      <x:c r="B163" s="67" t="str">
        <x:f>IF($A163="","",IFERROR(INDEX('Planejamento de Viagens'!$B$6:$B$205,MATCH($A163,'Planejamento de Viagens'!$A$6:$A$205,0)),""))</x:f>
      </x:c>
      <x:c r="C163" s="63" t="str">
        <x:f>IF($A163="","",SUMIFS('Histórico de Gastos'!$W$6:$W$205,'Histórico de Gastos'!$B$6:$B$205,$A163))</x:f>
      </x:c>
      <x:c r="D163" s="63" t="str">
        <x:f>IF($A163="","",SUMIFS('Histórico de Gastos'!$X$6:$X$205,'Histórico de Gastos'!$B$6:$B$205,$A163))</x:f>
      </x:c>
      <x:c r="E163" s="63" t="str">
        <x:f>IF($A163="","",SUMIFS('Histórico de Gastos'!$U$6:$U$205,'Histórico de Gastos'!$B$6:$B$205,$A163))</x:f>
      </x:c>
      <x:c r="F163" s="63" t="str">
        <x:f>IF($A163="","",SUMIFS('Histórico de Gastos'!$V$6:$V$205,'Histórico de Gastos'!$B$6:$B$205,$A163))</x:f>
      </x:c>
      <x:c r="G163" s="63" t="str">
        <x:f>IF($A163="","",$C163-$E163)</x:f>
      </x:c>
      <x:c r="H163" s="63" t="str">
        <x:f>IF($A163="","",$D163-$F163)</x:f>
      </x:c>
      <x:c r="I163" s="67" t="str">
        <x:f>IF($A163="","",IF(ABS($G163)&lt;0.01,"Tudo certo, ninguém deve nada",IF($G163&gt;0,"Camilly deve pagar para Pedro","Pedro deve pagar para Camilly")))</x:f>
      </x:c>
      <x:c r="J163" s="63" t="str">
        <x:f>IF($A163="","",ABS($G163))</x:f>
      </x:c>
      <x:c r="K163" s="67" t="str">
        <x:f>IF($A163="","",IF(ABS($G163)&lt;0.01,"-",IF($G163&gt;0,"Camilly Queiroz","Pedro Américo Paletot")))</x:f>
      </x:c>
      <x:c r="L163" s="67" t="str">
        <x:f>IF($A163="","",IF(ABS($G163)&lt;0.01,"-",IF($G163&gt;0,"Pedro Américo Paletot","Camilly Queiroz")))</x:f>
      </x:c>
      <x:c r="M163" s="36"/>
      <x:c r="N163" s="59"/>
      <x:c r="O163" s="36"/>
      <x:c r="P163" s="36"/>
    </x:row>
    <x:row r="164">
      <x:c r="A164" s="36"/>
      <x:c r="B164" s="67" t="str">
        <x:f>IF($A164="","",IFERROR(INDEX('Planejamento de Viagens'!$B$6:$B$205,MATCH($A164,'Planejamento de Viagens'!$A$6:$A$205,0)),""))</x:f>
      </x:c>
      <x:c r="C164" s="63" t="str">
        <x:f>IF($A164="","",SUMIFS('Histórico de Gastos'!$W$6:$W$205,'Histórico de Gastos'!$B$6:$B$205,$A164))</x:f>
      </x:c>
      <x:c r="D164" s="63" t="str">
        <x:f>IF($A164="","",SUMIFS('Histórico de Gastos'!$X$6:$X$205,'Histórico de Gastos'!$B$6:$B$205,$A164))</x:f>
      </x:c>
      <x:c r="E164" s="63" t="str">
        <x:f>IF($A164="","",SUMIFS('Histórico de Gastos'!$U$6:$U$205,'Histórico de Gastos'!$B$6:$B$205,$A164))</x:f>
      </x:c>
      <x:c r="F164" s="63" t="str">
        <x:f>IF($A164="","",SUMIFS('Histórico de Gastos'!$V$6:$V$205,'Histórico de Gastos'!$B$6:$B$205,$A164))</x:f>
      </x:c>
      <x:c r="G164" s="63" t="str">
        <x:f>IF($A164="","",$C164-$E164)</x:f>
      </x:c>
      <x:c r="H164" s="63" t="str">
        <x:f>IF($A164="","",$D164-$F164)</x:f>
      </x:c>
      <x:c r="I164" s="67" t="str">
        <x:f>IF($A164="","",IF(ABS($G164)&lt;0.01,"Tudo certo, ninguém deve nada",IF($G164&gt;0,"Camilly deve pagar para Pedro","Pedro deve pagar para Camilly")))</x:f>
      </x:c>
      <x:c r="J164" s="63" t="str">
        <x:f>IF($A164="","",ABS($G164))</x:f>
      </x:c>
      <x:c r="K164" s="67" t="str">
        <x:f>IF($A164="","",IF(ABS($G164)&lt;0.01,"-",IF($G164&gt;0,"Camilly Queiroz","Pedro Américo Paletot")))</x:f>
      </x:c>
      <x:c r="L164" s="67" t="str">
        <x:f>IF($A164="","",IF(ABS($G164)&lt;0.01,"-",IF($G164&gt;0,"Pedro Américo Paletot","Camilly Queiroz")))</x:f>
      </x:c>
      <x:c r="M164" s="36"/>
      <x:c r="N164" s="59"/>
      <x:c r="O164" s="36"/>
      <x:c r="P164" s="36"/>
    </x:row>
    <x:row r="165">
      <x:c r="A165" s="36"/>
      <x:c r="B165" s="67" t="str">
        <x:f>IF($A165="","",IFERROR(INDEX('Planejamento de Viagens'!$B$6:$B$205,MATCH($A165,'Planejamento de Viagens'!$A$6:$A$205,0)),""))</x:f>
      </x:c>
      <x:c r="C165" s="63" t="str">
        <x:f>IF($A165="","",SUMIFS('Histórico de Gastos'!$W$6:$W$205,'Histórico de Gastos'!$B$6:$B$205,$A165))</x:f>
      </x:c>
      <x:c r="D165" s="63" t="str">
        <x:f>IF($A165="","",SUMIFS('Histórico de Gastos'!$X$6:$X$205,'Histórico de Gastos'!$B$6:$B$205,$A165))</x:f>
      </x:c>
      <x:c r="E165" s="63" t="str">
        <x:f>IF($A165="","",SUMIFS('Histórico de Gastos'!$U$6:$U$205,'Histórico de Gastos'!$B$6:$B$205,$A165))</x:f>
      </x:c>
      <x:c r="F165" s="63" t="str">
        <x:f>IF($A165="","",SUMIFS('Histórico de Gastos'!$V$6:$V$205,'Histórico de Gastos'!$B$6:$B$205,$A165))</x:f>
      </x:c>
      <x:c r="G165" s="63" t="str">
        <x:f>IF($A165="","",$C165-$E165)</x:f>
      </x:c>
      <x:c r="H165" s="63" t="str">
        <x:f>IF($A165="","",$D165-$F165)</x:f>
      </x:c>
      <x:c r="I165" s="67" t="str">
        <x:f>IF($A165="","",IF(ABS($G165)&lt;0.01,"Tudo certo, ninguém deve nada",IF($G165&gt;0,"Camilly deve pagar para Pedro","Pedro deve pagar para Camilly")))</x:f>
      </x:c>
      <x:c r="J165" s="63" t="str">
        <x:f>IF($A165="","",ABS($G165))</x:f>
      </x:c>
      <x:c r="K165" s="67" t="str">
        <x:f>IF($A165="","",IF(ABS($G165)&lt;0.01,"-",IF($G165&gt;0,"Camilly Queiroz","Pedro Américo Paletot")))</x:f>
      </x:c>
      <x:c r="L165" s="67" t="str">
        <x:f>IF($A165="","",IF(ABS($G165)&lt;0.01,"-",IF($G165&gt;0,"Pedro Américo Paletot","Camilly Queiroz")))</x:f>
      </x:c>
      <x:c r="M165" s="36"/>
      <x:c r="N165" s="59"/>
      <x:c r="O165" s="36"/>
      <x:c r="P165" s="36"/>
    </x:row>
    <x:row r="166">
      <x:c r="A166" s="36"/>
      <x:c r="B166" s="67" t="str">
        <x:f>IF($A166="","",IFERROR(INDEX('Planejamento de Viagens'!$B$6:$B$205,MATCH($A166,'Planejamento de Viagens'!$A$6:$A$205,0)),""))</x:f>
      </x:c>
      <x:c r="C166" s="63" t="str">
        <x:f>IF($A166="","",SUMIFS('Histórico de Gastos'!$W$6:$W$205,'Histórico de Gastos'!$B$6:$B$205,$A166))</x:f>
      </x:c>
      <x:c r="D166" s="63" t="str">
        <x:f>IF($A166="","",SUMIFS('Histórico de Gastos'!$X$6:$X$205,'Histórico de Gastos'!$B$6:$B$205,$A166))</x:f>
      </x:c>
      <x:c r="E166" s="63" t="str">
        <x:f>IF($A166="","",SUMIFS('Histórico de Gastos'!$U$6:$U$205,'Histórico de Gastos'!$B$6:$B$205,$A166))</x:f>
      </x:c>
      <x:c r="F166" s="63" t="str">
        <x:f>IF($A166="","",SUMIFS('Histórico de Gastos'!$V$6:$V$205,'Histórico de Gastos'!$B$6:$B$205,$A166))</x:f>
      </x:c>
      <x:c r="G166" s="63" t="str">
        <x:f>IF($A166="","",$C166-$E166)</x:f>
      </x:c>
      <x:c r="H166" s="63" t="str">
        <x:f>IF($A166="","",$D166-$F166)</x:f>
      </x:c>
      <x:c r="I166" s="67" t="str">
        <x:f>IF($A166="","",IF(ABS($G166)&lt;0.01,"Tudo certo, ninguém deve nada",IF($G166&gt;0,"Camilly deve pagar para Pedro","Pedro deve pagar para Camilly")))</x:f>
      </x:c>
      <x:c r="J166" s="63" t="str">
        <x:f>IF($A166="","",ABS($G166))</x:f>
      </x:c>
      <x:c r="K166" s="67" t="str">
        <x:f>IF($A166="","",IF(ABS($G166)&lt;0.01,"-",IF($G166&gt;0,"Camilly Queiroz","Pedro Américo Paletot")))</x:f>
      </x:c>
      <x:c r="L166" s="67" t="str">
        <x:f>IF($A166="","",IF(ABS($G166)&lt;0.01,"-",IF($G166&gt;0,"Pedro Américo Paletot","Camilly Queiroz")))</x:f>
      </x:c>
      <x:c r="M166" s="36"/>
      <x:c r="N166" s="59"/>
      <x:c r="O166" s="36"/>
      <x:c r="P166" s="36"/>
    </x:row>
    <x:row r="167">
      <x:c r="A167" s="36"/>
      <x:c r="B167" s="67" t="str">
        <x:f>IF($A167="","",IFERROR(INDEX('Planejamento de Viagens'!$B$6:$B$205,MATCH($A167,'Planejamento de Viagens'!$A$6:$A$205,0)),""))</x:f>
      </x:c>
      <x:c r="C167" s="63" t="str">
        <x:f>IF($A167="","",SUMIFS('Histórico de Gastos'!$W$6:$W$205,'Histórico de Gastos'!$B$6:$B$205,$A167))</x:f>
      </x:c>
      <x:c r="D167" s="63" t="str">
        <x:f>IF($A167="","",SUMIFS('Histórico de Gastos'!$X$6:$X$205,'Histórico de Gastos'!$B$6:$B$205,$A167))</x:f>
      </x:c>
      <x:c r="E167" s="63" t="str">
        <x:f>IF($A167="","",SUMIFS('Histórico de Gastos'!$U$6:$U$205,'Histórico de Gastos'!$B$6:$B$205,$A167))</x:f>
      </x:c>
      <x:c r="F167" s="63" t="str">
        <x:f>IF($A167="","",SUMIFS('Histórico de Gastos'!$V$6:$V$205,'Histórico de Gastos'!$B$6:$B$205,$A167))</x:f>
      </x:c>
      <x:c r="G167" s="63" t="str">
        <x:f>IF($A167="","",$C167-$E167)</x:f>
      </x:c>
      <x:c r="H167" s="63" t="str">
        <x:f>IF($A167="","",$D167-$F167)</x:f>
      </x:c>
      <x:c r="I167" s="67" t="str">
        <x:f>IF($A167="","",IF(ABS($G167)&lt;0.01,"Tudo certo, ninguém deve nada",IF($G167&gt;0,"Camilly deve pagar para Pedro","Pedro deve pagar para Camilly")))</x:f>
      </x:c>
      <x:c r="J167" s="63" t="str">
        <x:f>IF($A167="","",ABS($G167))</x:f>
      </x:c>
      <x:c r="K167" s="67" t="str">
        <x:f>IF($A167="","",IF(ABS($G167)&lt;0.01,"-",IF($G167&gt;0,"Camilly Queiroz","Pedro Américo Paletot")))</x:f>
      </x:c>
      <x:c r="L167" s="67" t="str">
        <x:f>IF($A167="","",IF(ABS($G167)&lt;0.01,"-",IF($G167&gt;0,"Pedro Américo Paletot","Camilly Queiroz")))</x:f>
      </x:c>
      <x:c r="M167" s="36"/>
      <x:c r="N167" s="59"/>
      <x:c r="O167" s="36"/>
      <x:c r="P167" s="36"/>
    </x:row>
    <x:row r="168">
      <x:c r="A168" s="36"/>
      <x:c r="B168" s="67" t="str">
        <x:f>IF($A168="","",IFERROR(INDEX('Planejamento de Viagens'!$B$6:$B$205,MATCH($A168,'Planejamento de Viagens'!$A$6:$A$205,0)),""))</x:f>
      </x:c>
      <x:c r="C168" s="63" t="str">
        <x:f>IF($A168="","",SUMIFS('Histórico de Gastos'!$W$6:$W$205,'Histórico de Gastos'!$B$6:$B$205,$A168))</x:f>
      </x:c>
      <x:c r="D168" s="63" t="str">
        <x:f>IF($A168="","",SUMIFS('Histórico de Gastos'!$X$6:$X$205,'Histórico de Gastos'!$B$6:$B$205,$A168))</x:f>
      </x:c>
      <x:c r="E168" s="63" t="str">
        <x:f>IF($A168="","",SUMIFS('Histórico de Gastos'!$U$6:$U$205,'Histórico de Gastos'!$B$6:$B$205,$A168))</x:f>
      </x:c>
      <x:c r="F168" s="63" t="str">
        <x:f>IF($A168="","",SUMIFS('Histórico de Gastos'!$V$6:$V$205,'Histórico de Gastos'!$B$6:$B$205,$A168))</x:f>
      </x:c>
      <x:c r="G168" s="63" t="str">
        <x:f>IF($A168="","",$C168-$E168)</x:f>
      </x:c>
      <x:c r="H168" s="63" t="str">
        <x:f>IF($A168="","",$D168-$F168)</x:f>
      </x:c>
      <x:c r="I168" s="67" t="str">
        <x:f>IF($A168="","",IF(ABS($G168)&lt;0.01,"Tudo certo, ninguém deve nada",IF($G168&gt;0,"Camilly deve pagar para Pedro","Pedro deve pagar para Camilly")))</x:f>
      </x:c>
      <x:c r="J168" s="63" t="str">
        <x:f>IF($A168="","",ABS($G168))</x:f>
      </x:c>
      <x:c r="K168" s="67" t="str">
        <x:f>IF($A168="","",IF(ABS($G168)&lt;0.01,"-",IF($G168&gt;0,"Camilly Queiroz","Pedro Américo Paletot")))</x:f>
      </x:c>
      <x:c r="L168" s="67" t="str">
        <x:f>IF($A168="","",IF(ABS($G168)&lt;0.01,"-",IF($G168&gt;0,"Pedro Américo Paletot","Camilly Queiroz")))</x:f>
      </x:c>
      <x:c r="M168" s="36"/>
      <x:c r="N168" s="59"/>
      <x:c r="O168" s="36"/>
      <x:c r="P168" s="36"/>
    </x:row>
    <x:row r="169">
      <x:c r="A169" s="36"/>
      <x:c r="B169" s="67" t="str">
        <x:f>IF($A169="","",IFERROR(INDEX('Planejamento de Viagens'!$B$6:$B$205,MATCH($A169,'Planejamento de Viagens'!$A$6:$A$205,0)),""))</x:f>
      </x:c>
      <x:c r="C169" s="63" t="str">
        <x:f>IF($A169="","",SUMIFS('Histórico de Gastos'!$W$6:$W$205,'Histórico de Gastos'!$B$6:$B$205,$A169))</x:f>
      </x:c>
      <x:c r="D169" s="63" t="str">
        <x:f>IF($A169="","",SUMIFS('Histórico de Gastos'!$X$6:$X$205,'Histórico de Gastos'!$B$6:$B$205,$A169))</x:f>
      </x:c>
      <x:c r="E169" s="63" t="str">
        <x:f>IF($A169="","",SUMIFS('Histórico de Gastos'!$U$6:$U$205,'Histórico de Gastos'!$B$6:$B$205,$A169))</x:f>
      </x:c>
      <x:c r="F169" s="63" t="str">
        <x:f>IF($A169="","",SUMIFS('Histórico de Gastos'!$V$6:$V$205,'Histórico de Gastos'!$B$6:$B$205,$A169))</x:f>
      </x:c>
      <x:c r="G169" s="63" t="str">
        <x:f>IF($A169="","",$C169-$E169)</x:f>
      </x:c>
      <x:c r="H169" s="63" t="str">
        <x:f>IF($A169="","",$D169-$F169)</x:f>
      </x:c>
      <x:c r="I169" s="67" t="str">
        <x:f>IF($A169="","",IF(ABS($G169)&lt;0.01,"Tudo certo, ninguém deve nada",IF($G169&gt;0,"Camilly deve pagar para Pedro","Pedro deve pagar para Camilly")))</x:f>
      </x:c>
      <x:c r="J169" s="63" t="str">
        <x:f>IF($A169="","",ABS($G169))</x:f>
      </x:c>
      <x:c r="K169" s="67" t="str">
        <x:f>IF($A169="","",IF(ABS($G169)&lt;0.01,"-",IF($G169&gt;0,"Camilly Queiroz","Pedro Américo Paletot")))</x:f>
      </x:c>
      <x:c r="L169" s="67" t="str">
        <x:f>IF($A169="","",IF(ABS($G169)&lt;0.01,"-",IF($G169&gt;0,"Pedro Américo Paletot","Camilly Queiroz")))</x:f>
      </x:c>
      <x:c r="M169" s="36"/>
      <x:c r="N169" s="59"/>
      <x:c r="O169" s="36"/>
      <x:c r="P169" s="36"/>
    </x:row>
    <x:row r="170">
      <x:c r="A170" s="36"/>
      <x:c r="B170" s="67" t="str">
        <x:f>IF($A170="","",IFERROR(INDEX('Planejamento de Viagens'!$B$6:$B$205,MATCH($A170,'Planejamento de Viagens'!$A$6:$A$205,0)),""))</x:f>
      </x:c>
      <x:c r="C170" s="63" t="str">
        <x:f>IF($A170="","",SUMIFS('Histórico de Gastos'!$W$6:$W$205,'Histórico de Gastos'!$B$6:$B$205,$A170))</x:f>
      </x:c>
      <x:c r="D170" s="63" t="str">
        <x:f>IF($A170="","",SUMIFS('Histórico de Gastos'!$X$6:$X$205,'Histórico de Gastos'!$B$6:$B$205,$A170))</x:f>
      </x:c>
      <x:c r="E170" s="63" t="str">
        <x:f>IF($A170="","",SUMIFS('Histórico de Gastos'!$U$6:$U$205,'Histórico de Gastos'!$B$6:$B$205,$A170))</x:f>
      </x:c>
      <x:c r="F170" s="63" t="str">
        <x:f>IF($A170="","",SUMIFS('Histórico de Gastos'!$V$6:$V$205,'Histórico de Gastos'!$B$6:$B$205,$A170))</x:f>
      </x:c>
      <x:c r="G170" s="63" t="str">
        <x:f>IF($A170="","",$C170-$E170)</x:f>
      </x:c>
      <x:c r="H170" s="63" t="str">
        <x:f>IF($A170="","",$D170-$F170)</x:f>
      </x:c>
      <x:c r="I170" s="67" t="str">
        <x:f>IF($A170="","",IF(ABS($G170)&lt;0.01,"Tudo certo, ninguém deve nada",IF($G170&gt;0,"Camilly deve pagar para Pedro","Pedro deve pagar para Camilly")))</x:f>
      </x:c>
      <x:c r="J170" s="63" t="str">
        <x:f>IF($A170="","",ABS($G170))</x:f>
      </x:c>
      <x:c r="K170" s="67" t="str">
        <x:f>IF($A170="","",IF(ABS($G170)&lt;0.01,"-",IF($G170&gt;0,"Camilly Queiroz","Pedro Américo Paletot")))</x:f>
      </x:c>
      <x:c r="L170" s="67" t="str">
        <x:f>IF($A170="","",IF(ABS($G170)&lt;0.01,"-",IF($G170&gt;0,"Pedro Américo Paletot","Camilly Queiroz")))</x:f>
      </x:c>
      <x:c r="M170" s="36"/>
      <x:c r="N170" s="59"/>
      <x:c r="O170" s="36"/>
      <x:c r="P170" s="36"/>
    </x:row>
    <x:row r="171">
      <x:c r="A171" s="36"/>
      <x:c r="B171" s="67" t="str">
        <x:f>IF($A171="","",IFERROR(INDEX('Planejamento de Viagens'!$B$6:$B$205,MATCH($A171,'Planejamento de Viagens'!$A$6:$A$205,0)),""))</x:f>
      </x:c>
      <x:c r="C171" s="63" t="str">
        <x:f>IF($A171="","",SUMIFS('Histórico de Gastos'!$W$6:$W$205,'Histórico de Gastos'!$B$6:$B$205,$A171))</x:f>
      </x:c>
      <x:c r="D171" s="63" t="str">
        <x:f>IF($A171="","",SUMIFS('Histórico de Gastos'!$X$6:$X$205,'Histórico de Gastos'!$B$6:$B$205,$A171))</x:f>
      </x:c>
      <x:c r="E171" s="63" t="str">
        <x:f>IF($A171="","",SUMIFS('Histórico de Gastos'!$U$6:$U$205,'Histórico de Gastos'!$B$6:$B$205,$A171))</x:f>
      </x:c>
      <x:c r="F171" s="63" t="str">
        <x:f>IF($A171="","",SUMIFS('Histórico de Gastos'!$V$6:$V$205,'Histórico de Gastos'!$B$6:$B$205,$A171))</x:f>
      </x:c>
      <x:c r="G171" s="63" t="str">
        <x:f>IF($A171="","",$C171-$E171)</x:f>
      </x:c>
      <x:c r="H171" s="63" t="str">
        <x:f>IF($A171="","",$D171-$F171)</x:f>
      </x:c>
      <x:c r="I171" s="67" t="str">
        <x:f>IF($A171="","",IF(ABS($G171)&lt;0.01,"Tudo certo, ninguém deve nada",IF($G171&gt;0,"Camilly deve pagar para Pedro","Pedro deve pagar para Camilly")))</x:f>
      </x:c>
      <x:c r="J171" s="63" t="str">
        <x:f>IF($A171="","",ABS($G171))</x:f>
      </x:c>
      <x:c r="K171" s="67" t="str">
        <x:f>IF($A171="","",IF(ABS($G171)&lt;0.01,"-",IF($G171&gt;0,"Camilly Queiroz","Pedro Américo Paletot")))</x:f>
      </x:c>
      <x:c r="L171" s="67" t="str">
        <x:f>IF($A171="","",IF(ABS($G171)&lt;0.01,"-",IF($G171&gt;0,"Pedro Américo Paletot","Camilly Queiroz")))</x:f>
      </x:c>
      <x:c r="M171" s="36"/>
      <x:c r="N171" s="59"/>
      <x:c r="O171" s="36"/>
      <x:c r="P171" s="36"/>
    </x:row>
    <x:row r="172">
      <x:c r="A172" s="36"/>
      <x:c r="B172" s="67" t="str">
        <x:f>IF($A172="","",IFERROR(INDEX('Planejamento de Viagens'!$B$6:$B$205,MATCH($A172,'Planejamento de Viagens'!$A$6:$A$205,0)),""))</x:f>
      </x:c>
      <x:c r="C172" s="63" t="str">
        <x:f>IF($A172="","",SUMIFS('Histórico de Gastos'!$W$6:$W$205,'Histórico de Gastos'!$B$6:$B$205,$A172))</x:f>
      </x:c>
      <x:c r="D172" s="63" t="str">
        <x:f>IF($A172="","",SUMIFS('Histórico de Gastos'!$X$6:$X$205,'Histórico de Gastos'!$B$6:$B$205,$A172))</x:f>
      </x:c>
      <x:c r="E172" s="63" t="str">
        <x:f>IF($A172="","",SUMIFS('Histórico de Gastos'!$U$6:$U$205,'Histórico de Gastos'!$B$6:$B$205,$A172))</x:f>
      </x:c>
      <x:c r="F172" s="63" t="str">
        <x:f>IF($A172="","",SUMIFS('Histórico de Gastos'!$V$6:$V$205,'Histórico de Gastos'!$B$6:$B$205,$A172))</x:f>
      </x:c>
      <x:c r="G172" s="63" t="str">
        <x:f>IF($A172="","",$C172-$E172)</x:f>
      </x:c>
      <x:c r="H172" s="63" t="str">
        <x:f>IF($A172="","",$D172-$F172)</x:f>
      </x:c>
      <x:c r="I172" s="67" t="str">
        <x:f>IF($A172="","",IF(ABS($G172)&lt;0.01,"Tudo certo, ninguém deve nada",IF($G172&gt;0,"Camilly deve pagar para Pedro","Pedro deve pagar para Camilly")))</x:f>
      </x:c>
      <x:c r="J172" s="63" t="str">
        <x:f>IF($A172="","",ABS($G172))</x:f>
      </x:c>
      <x:c r="K172" s="67" t="str">
        <x:f>IF($A172="","",IF(ABS($G172)&lt;0.01,"-",IF($G172&gt;0,"Camilly Queiroz","Pedro Américo Paletot")))</x:f>
      </x:c>
      <x:c r="L172" s="67" t="str">
        <x:f>IF($A172="","",IF(ABS($G172)&lt;0.01,"-",IF($G172&gt;0,"Pedro Américo Paletot","Camilly Queiroz")))</x:f>
      </x:c>
      <x:c r="M172" s="36"/>
      <x:c r="N172" s="59"/>
      <x:c r="O172" s="36"/>
      <x:c r="P172" s="36"/>
    </x:row>
    <x:row r="173">
      <x:c r="A173" s="36"/>
      <x:c r="B173" s="67" t="str">
        <x:f>IF($A173="","",IFERROR(INDEX('Planejamento de Viagens'!$B$6:$B$205,MATCH($A173,'Planejamento de Viagens'!$A$6:$A$205,0)),""))</x:f>
      </x:c>
      <x:c r="C173" s="63" t="str">
        <x:f>IF($A173="","",SUMIFS('Histórico de Gastos'!$W$6:$W$205,'Histórico de Gastos'!$B$6:$B$205,$A173))</x:f>
      </x:c>
      <x:c r="D173" s="63" t="str">
        <x:f>IF($A173="","",SUMIFS('Histórico de Gastos'!$X$6:$X$205,'Histórico de Gastos'!$B$6:$B$205,$A173))</x:f>
      </x:c>
      <x:c r="E173" s="63" t="str">
        <x:f>IF($A173="","",SUMIFS('Histórico de Gastos'!$U$6:$U$205,'Histórico de Gastos'!$B$6:$B$205,$A173))</x:f>
      </x:c>
      <x:c r="F173" s="63" t="str">
        <x:f>IF($A173="","",SUMIFS('Histórico de Gastos'!$V$6:$V$205,'Histórico de Gastos'!$B$6:$B$205,$A173))</x:f>
      </x:c>
      <x:c r="G173" s="63" t="str">
        <x:f>IF($A173="","",$C173-$E173)</x:f>
      </x:c>
      <x:c r="H173" s="63" t="str">
        <x:f>IF($A173="","",$D173-$F173)</x:f>
      </x:c>
      <x:c r="I173" s="67" t="str">
        <x:f>IF($A173="","",IF(ABS($G173)&lt;0.01,"Tudo certo, ninguém deve nada",IF($G173&gt;0,"Camilly deve pagar para Pedro","Pedro deve pagar para Camilly")))</x:f>
      </x:c>
      <x:c r="J173" s="63" t="str">
        <x:f>IF($A173="","",ABS($G173))</x:f>
      </x:c>
      <x:c r="K173" s="67" t="str">
        <x:f>IF($A173="","",IF(ABS($G173)&lt;0.01,"-",IF($G173&gt;0,"Camilly Queiroz","Pedro Américo Paletot")))</x:f>
      </x:c>
      <x:c r="L173" s="67" t="str">
        <x:f>IF($A173="","",IF(ABS($G173)&lt;0.01,"-",IF($G173&gt;0,"Pedro Américo Paletot","Camilly Queiroz")))</x:f>
      </x:c>
      <x:c r="M173" s="36"/>
      <x:c r="N173" s="59"/>
      <x:c r="O173" s="36"/>
      <x:c r="P173" s="36"/>
    </x:row>
    <x:row r="174">
      <x:c r="A174" s="36"/>
      <x:c r="B174" s="67" t="str">
        <x:f>IF($A174="","",IFERROR(INDEX('Planejamento de Viagens'!$B$6:$B$205,MATCH($A174,'Planejamento de Viagens'!$A$6:$A$205,0)),""))</x:f>
      </x:c>
      <x:c r="C174" s="63" t="str">
        <x:f>IF($A174="","",SUMIFS('Histórico de Gastos'!$W$6:$W$205,'Histórico de Gastos'!$B$6:$B$205,$A174))</x:f>
      </x:c>
      <x:c r="D174" s="63" t="str">
        <x:f>IF($A174="","",SUMIFS('Histórico de Gastos'!$X$6:$X$205,'Histórico de Gastos'!$B$6:$B$205,$A174))</x:f>
      </x:c>
      <x:c r="E174" s="63" t="str">
        <x:f>IF($A174="","",SUMIFS('Histórico de Gastos'!$U$6:$U$205,'Histórico de Gastos'!$B$6:$B$205,$A174))</x:f>
      </x:c>
      <x:c r="F174" s="63" t="str">
        <x:f>IF($A174="","",SUMIFS('Histórico de Gastos'!$V$6:$V$205,'Histórico de Gastos'!$B$6:$B$205,$A174))</x:f>
      </x:c>
      <x:c r="G174" s="63" t="str">
        <x:f>IF($A174="","",$C174-$E174)</x:f>
      </x:c>
      <x:c r="H174" s="63" t="str">
        <x:f>IF($A174="","",$D174-$F174)</x:f>
      </x:c>
      <x:c r="I174" s="67" t="str">
        <x:f>IF($A174="","",IF(ABS($G174)&lt;0.01,"Tudo certo, ninguém deve nada",IF($G174&gt;0,"Camilly deve pagar para Pedro","Pedro deve pagar para Camilly")))</x:f>
      </x:c>
      <x:c r="J174" s="63" t="str">
        <x:f>IF($A174="","",ABS($G174))</x:f>
      </x:c>
      <x:c r="K174" s="67" t="str">
        <x:f>IF($A174="","",IF(ABS($G174)&lt;0.01,"-",IF($G174&gt;0,"Camilly Queiroz","Pedro Américo Paletot")))</x:f>
      </x:c>
      <x:c r="L174" s="67" t="str">
        <x:f>IF($A174="","",IF(ABS($G174)&lt;0.01,"-",IF($G174&gt;0,"Pedro Américo Paletot","Camilly Queiroz")))</x:f>
      </x:c>
      <x:c r="M174" s="36"/>
      <x:c r="N174" s="59"/>
      <x:c r="O174" s="36"/>
      <x:c r="P174" s="36"/>
    </x:row>
    <x:row r="175">
      <x:c r="A175" s="36"/>
      <x:c r="B175" s="67" t="str">
        <x:f>IF($A175="","",IFERROR(INDEX('Planejamento de Viagens'!$B$6:$B$205,MATCH($A175,'Planejamento de Viagens'!$A$6:$A$205,0)),""))</x:f>
      </x:c>
      <x:c r="C175" s="63" t="str">
        <x:f>IF($A175="","",SUMIFS('Histórico de Gastos'!$W$6:$W$205,'Histórico de Gastos'!$B$6:$B$205,$A175))</x:f>
      </x:c>
      <x:c r="D175" s="63" t="str">
        <x:f>IF($A175="","",SUMIFS('Histórico de Gastos'!$X$6:$X$205,'Histórico de Gastos'!$B$6:$B$205,$A175))</x:f>
      </x:c>
      <x:c r="E175" s="63" t="str">
        <x:f>IF($A175="","",SUMIFS('Histórico de Gastos'!$U$6:$U$205,'Histórico de Gastos'!$B$6:$B$205,$A175))</x:f>
      </x:c>
      <x:c r="F175" s="63" t="str">
        <x:f>IF($A175="","",SUMIFS('Histórico de Gastos'!$V$6:$V$205,'Histórico de Gastos'!$B$6:$B$205,$A175))</x:f>
      </x:c>
      <x:c r="G175" s="63" t="str">
        <x:f>IF($A175="","",$C175-$E175)</x:f>
      </x:c>
      <x:c r="H175" s="63" t="str">
        <x:f>IF($A175="","",$D175-$F175)</x:f>
      </x:c>
      <x:c r="I175" s="67" t="str">
        <x:f>IF($A175="","",IF(ABS($G175)&lt;0.01,"Tudo certo, ninguém deve nada",IF($G175&gt;0,"Camilly deve pagar para Pedro","Pedro deve pagar para Camilly")))</x:f>
      </x:c>
      <x:c r="J175" s="63" t="str">
        <x:f>IF($A175="","",ABS($G175))</x:f>
      </x:c>
      <x:c r="K175" s="67" t="str">
        <x:f>IF($A175="","",IF(ABS($G175)&lt;0.01,"-",IF($G175&gt;0,"Camilly Queiroz","Pedro Américo Paletot")))</x:f>
      </x:c>
      <x:c r="L175" s="67" t="str">
        <x:f>IF($A175="","",IF(ABS($G175)&lt;0.01,"-",IF($G175&gt;0,"Pedro Américo Paletot","Camilly Queiroz")))</x:f>
      </x:c>
      <x:c r="M175" s="36"/>
      <x:c r="N175" s="59"/>
      <x:c r="O175" s="36"/>
      <x:c r="P175" s="36"/>
    </x:row>
    <x:row r="176">
      <x:c r="A176" s="36"/>
      <x:c r="B176" s="67" t="str">
        <x:f>IF($A176="","",IFERROR(INDEX('Planejamento de Viagens'!$B$6:$B$205,MATCH($A176,'Planejamento de Viagens'!$A$6:$A$205,0)),""))</x:f>
      </x:c>
      <x:c r="C176" s="63" t="str">
        <x:f>IF($A176="","",SUMIFS('Histórico de Gastos'!$W$6:$W$205,'Histórico de Gastos'!$B$6:$B$205,$A176))</x:f>
      </x:c>
      <x:c r="D176" s="63" t="str">
        <x:f>IF($A176="","",SUMIFS('Histórico de Gastos'!$X$6:$X$205,'Histórico de Gastos'!$B$6:$B$205,$A176))</x:f>
      </x:c>
      <x:c r="E176" s="63" t="str">
        <x:f>IF($A176="","",SUMIFS('Histórico de Gastos'!$U$6:$U$205,'Histórico de Gastos'!$B$6:$B$205,$A176))</x:f>
      </x:c>
      <x:c r="F176" s="63" t="str">
        <x:f>IF($A176="","",SUMIFS('Histórico de Gastos'!$V$6:$V$205,'Histórico de Gastos'!$B$6:$B$205,$A176))</x:f>
      </x:c>
      <x:c r="G176" s="63" t="str">
        <x:f>IF($A176="","",$C176-$E176)</x:f>
      </x:c>
      <x:c r="H176" s="63" t="str">
        <x:f>IF($A176="","",$D176-$F176)</x:f>
      </x:c>
      <x:c r="I176" s="67" t="str">
        <x:f>IF($A176="","",IF(ABS($G176)&lt;0.01,"Tudo certo, ninguém deve nada",IF($G176&gt;0,"Camilly deve pagar para Pedro","Pedro deve pagar para Camilly")))</x:f>
      </x:c>
      <x:c r="J176" s="63" t="str">
        <x:f>IF($A176="","",ABS($G176))</x:f>
      </x:c>
      <x:c r="K176" s="67" t="str">
        <x:f>IF($A176="","",IF(ABS($G176)&lt;0.01,"-",IF($G176&gt;0,"Camilly Queiroz","Pedro Américo Paletot")))</x:f>
      </x:c>
      <x:c r="L176" s="67" t="str">
        <x:f>IF($A176="","",IF(ABS($G176)&lt;0.01,"-",IF($G176&gt;0,"Pedro Américo Paletot","Camilly Queiroz")))</x:f>
      </x:c>
      <x:c r="M176" s="36"/>
      <x:c r="N176" s="59"/>
      <x:c r="O176" s="36"/>
      <x:c r="P176" s="36"/>
    </x:row>
    <x:row r="177">
      <x:c r="A177" s="36"/>
      <x:c r="B177" s="67" t="str">
        <x:f>IF($A177="","",IFERROR(INDEX('Planejamento de Viagens'!$B$6:$B$205,MATCH($A177,'Planejamento de Viagens'!$A$6:$A$205,0)),""))</x:f>
      </x:c>
      <x:c r="C177" s="63" t="str">
        <x:f>IF($A177="","",SUMIFS('Histórico de Gastos'!$W$6:$W$205,'Histórico de Gastos'!$B$6:$B$205,$A177))</x:f>
      </x:c>
      <x:c r="D177" s="63" t="str">
        <x:f>IF($A177="","",SUMIFS('Histórico de Gastos'!$X$6:$X$205,'Histórico de Gastos'!$B$6:$B$205,$A177))</x:f>
      </x:c>
      <x:c r="E177" s="63" t="str">
        <x:f>IF($A177="","",SUMIFS('Histórico de Gastos'!$U$6:$U$205,'Histórico de Gastos'!$B$6:$B$205,$A177))</x:f>
      </x:c>
      <x:c r="F177" s="63" t="str">
        <x:f>IF($A177="","",SUMIFS('Histórico de Gastos'!$V$6:$V$205,'Histórico de Gastos'!$B$6:$B$205,$A177))</x:f>
      </x:c>
      <x:c r="G177" s="63" t="str">
        <x:f>IF($A177="","",$C177-$E177)</x:f>
      </x:c>
      <x:c r="H177" s="63" t="str">
        <x:f>IF($A177="","",$D177-$F177)</x:f>
      </x:c>
      <x:c r="I177" s="67" t="str">
        <x:f>IF($A177="","",IF(ABS($G177)&lt;0.01,"Tudo certo, ninguém deve nada",IF($G177&gt;0,"Camilly deve pagar para Pedro","Pedro deve pagar para Camilly")))</x:f>
      </x:c>
      <x:c r="J177" s="63" t="str">
        <x:f>IF($A177="","",ABS($G177))</x:f>
      </x:c>
      <x:c r="K177" s="67" t="str">
        <x:f>IF($A177="","",IF(ABS($G177)&lt;0.01,"-",IF($G177&gt;0,"Camilly Queiroz","Pedro Américo Paletot")))</x:f>
      </x:c>
      <x:c r="L177" s="67" t="str">
        <x:f>IF($A177="","",IF(ABS($G177)&lt;0.01,"-",IF($G177&gt;0,"Pedro Américo Paletot","Camilly Queiroz")))</x:f>
      </x:c>
      <x:c r="M177" s="36"/>
      <x:c r="N177" s="59"/>
      <x:c r="O177" s="36"/>
      <x:c r="P177" s="36"/>
    </x:row>
    <x:row r="178">
      <x:c r="A178" s="36"/>
      <x:c r="B178" s="67" t="str">
        <x:f>IF($A178="","",IFERROR(INDEX('Planejamento de Viagens'!$B$6:$B$205,MATCH($A178,'Planejamento de Viagens'!$A$6:$A$205,0)),""))</x:f>
      </x:c>
      <x:c r="C178" s="63" t="str">
        <x:f>IF($A178="","",SUMIFS('Histórico de Gastos'!$W$6:$W$205,'Histórico de Gastos'!$B$6:$B$205,$A178))</x:f>
      </x:c>
      <x:c r="D178" s="63" t="str">
        <x:f>IF($A178="","",SUMIFS('Histórico de Gastos'!$X$6:$X$205,'Histórico de Gastos'!$B$6:$B$205,$A178))</x:f>
      </x:c>
      <x:c r="E178" s="63" t="str">
        <x:f>IF($A178="","",SUMIFS('Histórico de Gastos'!$U$6:$U$205,'Histórico de Gastos'!$B$6:$B$205,$A178))</x:f>
      </x:c>
      <x:c r="F178" s="63" t="str">
        <x:f>IF($A178="","",SUMIFS('Histórico de Gastos'!$V$6:$V$205,'Histórico de Gastos'!$B$6:$B$205,$A178))</x:f>
      </x:c>
      <x:c r="G178" s="63" t="str">
        <x:f>IF($A178="","",$C178-$E178)</x:f>
      </x:c>
      <x:c r="H178" s="63" t="str">
        <x:f>IF($A178="","",$D178-$F178)</x:f>
      </x:c>
      <x:c r="I178" s="67" t="str">
        <x:f>IF($A178="","",IF(ABS($G178)&lt;0.01,"Tudo certo, ninguém deve nada",IF($G178&gt;0,"Camilly deve pagar para Pedro","Pedro deve pagar para Camilly")))</x:f>
      </x:c>
      <x:c r="J178" s="63" t="str">
        <x:f>IF($A178="","",ABS($G178))</x:f>
      </x:c>
      <x:c r="K178" s="67" t="str">
        <x:f>IF($A178="","",IF(ABS($G178)&lt;0.01,"-",IF($G178&gt;0,"Camilly Queiroz","Pedro Américo Paletot")))</x:f>
      </x:c>
      <x:c r="L178" s="67" t="str">
        <x:f>IF($A178="","",IF(ABS($G178)&lt;0.01,"-",IF($G178&gt;0,"Pedro Américo Paletot","Camilly Queiroz")))</x:f>
      </x:c>
      <x:c r="M178" s="36"/>
      <x:c r="N178" s="59"/>
      <x:c r="O178" s="36"/>
      <x:c r="P178" s="36"/>
    </x:row>
    <x:row r="179">
      <x:c r="A179" s="36"/>
      <x:c r="B179" s="67" t="str">
        <x:f>IF($A179="","",IFERROR(INDEX('Planejamento de Viagens'!$B$6:$B$205,MATCH($A179,'Planejamento de Viagens'!$A$6:$A$205,0)),""))</x:f>
      </x:c>
      <x:c r="C179" s="63" t="str">
        <x:f>IF($A179="","",SUMIFS('Histórico de Gastos'!$W$6:$W$205,'Histórico de Gastos'!$B$6:$B$205,$A179))</x:f>
      </x:c>
      <x:c r="D179" s="63" t="str">
        <x:f>IF($A179="","",SUMIFS('Histórico de Gastos'!$X$6:$X$205,'Histórico de Gastos'!$B$6:$B$205,$A179))</x:f>
      </x:c>
      <x:c r="E179" s="63" t="str">
        <x:f>IF($A179="","",SUMIFS('Histórico de Gastos'!$U$6:$U$205,'Histórico de Gastos'!$B$6:$B$205,$A179))</x:f>
      </x:c>
      <x:c r="F179" s="63" t="str">
        <x:f>IF($A179="","",SUMIFS('Histórico de Gastos'!$V$6:$V$205,'Histórico de Gastos'!$B$6:$B$205,$A179))</x:f>
      </x:c>
      <x:c r="G179" s="63" t="str">
        <x:f>IF($A179="","",$C179-$E179)</x:f>
      </x:c>
      <x:c r="H179" s="63" t="str">
        <x:f>IF($A179="","",$D179-$F179)</x:f>
      </x:c>
      <x:c r="I179" s="67" t="str">
        <x:f>IF($A179="","",IF(ABS($G179)&lt;0.01,"Tudo certo, ninguém deve nada",IF($G179&gt;0,"Camilly deve pagar para Pedro","Pedro deve pagar para Camilly")))</x:f>
      </x:c>
      <x:c r="J179" s="63" t="str">
        <x:f>IF($A179="","",ABS($G179))</x:f>
      </x:c>
      <x:c r="K179" s="67" t="str">
        <x:f>IF($A179="","",IF(ABS($G179)&lt;0.01,"-",IF($G179&gt;0,"Camilly Queiroz","Pedro Américo Paletot")))</x:f>
      </x:c>
      <x:c r="L179" s="67" t="str">
        <x:f>IF($A179="","",IF(ABS($G179)&lt;0.01,"-",IF($G179&gt;0,"Pedro Américo Paletot","Camilly Queiroz")))</x:f>
      </x:c>
      <x:c r="M179" s="36"/>
      <x:c r="N179" s="59"/>
      <x:c r="O179" s="36"/>
      <x:c r="P179" s="36"/>
    </x:row>
    <x:row r="180">
      <x:c r="A180" s="36"/>
      <x:c r="B180" s="67" t="str">
        <x:f>IF($A180="","",IFERROR(INDEX('Planejamento de Viagens'!$B$6:$B$205,MATCH($A180,'Planejamento de Viagens'!$A$6:$A$205,0)),""))</x:f>
      </x:c>
      <x:c r="C180" s="63" t="str">
        <x:f>IF($A180="","",SUMIFS('Histórico de Gastos'!$W$6:$W$205,'Histórico de Gastos'!$B$6:$B$205,$A180))</x:f>
      </x:c>
      <x:c r="D180" s="63" t="str">
        <x:f>IF($A180="","",SUMIFS('Histórico de Gastos'!$X$6:$X$205,'Histórico de Gastos'!$B$6:$B$205,$A180))</x:f>
      </x:c>
      <x:c r="E180" s="63" t="str">
        <x:f>IF($A180="","",SUMIFS('Histórico de Gastos'!$U$6:$U$205,'Histórico de Gastos'!$B$6:$B$205,$A180))</x:f>
      </x:c>
      <x:c r="F180" s="63" t="str">
        <x:f>IF($A180="","",SUMIFS('Histórico de Gastos'!$V$6:$V$205,'Histórico de Gastos'!$B$6:$B$205,$A180))</x:f>
      </x:c>
      <x:c r="G180" s="63" t="str">
        <x:f>IF($A180="","",$C180-$E180)</x:f>
      </x:c>
      <x:c r="H180" s="63" t="str">
        <x:f>IF($A180="","",$D180-$F180)</x:f>
      </x:c>
      <x:c r="I180" s="67" t="str">
        <x:f>IF($A180="","",IF(ABS($G180)&lt;0.01,"Tudo certo, ninguém deve nada",IF($G180&gt;0,"Camilly deve pagar para Pedro","Pedro deve pagar para Camilly")))</x:f>
      </x:c>
      <x:c r="J180" s="63" t="str">
        <x:f>IF($A180="","",ABS($G180))</x:f>
      </x:c>
      <x:c r="K180" s="67" t="str">
        <x:f>IF($A180="","",IF(ABS($G180)&lt;0.01,"-",IF($G180&gt;0,"Camilly Queiroz","Pedro Américo Paletot")))</x:f>
      </x:c>
      <x:c r="L180" s="67" t="str">
        <x:f>IF($A180="","",IF(ABS($G180)&lt;0.01,"-",IF($G180&gt;0,"Pedro Américo Paletot","Camilly Queiroz")))</x:f>
      </x:c>
      <x:c r="M180" s="36"/>
      <x:c r="N180" s="59"/>
      <x:c r="O180" s="36"/>
      <x:c r="P180" s="36"/>
    </x:row>
    <x:row r="181">
      <x:c r="A181" s="36"/>
      <x:c r="B181" s="67" t="str">
        <x:f>IF($A181="","",IFERROR(INDEX('Planejamento de Viagens'!$B$6:$B$205,MATCH($A181,'Planejamento de Viagens'!$A$6:$A$205,0)),""))</x:f>
      </x:c>
      <x:c r="C181" s="63" t="str">
        <x:f>IF($A181="","",SUMIFS('Histórico de Gastos'!$W$6:$W$205,'Histórico de Gastos'!$B$6:$B$205,$A181))</x:f>
      </x:c>
      <x:c r="D181" s="63" t="str">
        <x:f>IF($A181="","",SUMIFS('Histórico de Gastos'!$X$6:$X$205,'Histórico de Gastos'!$B$6:$B$205,$A181))</x:f>
      </x:c>
      <x:c r="E181" s="63" t="str">
        <x:f>IF($A181="","",SUMIFS('Histórico de Gastos'!$U$6:$U$205,'Histórico de Gastos'!$B$6:$B$205,$A181))</x:f>
      </x:c>
      <x:c r="F181" s="63" t="str">
        <x:f>IF($A181="","",SUMIFS('Histórico de Gastos'!$V$6:$V$205,'Histórico de Gastos'!$B$6:$B$205,$A181))</x:f>
      </x:c>
      <x:c r="G181" s="63" t="str">
        <x:f>IF($A181="","",$C181-$E181)</x:f>
      </x:c>
      <x:c r="H181" s="63" t="str">
        <x:f>IF($A181="","",$D181-$F181)</x:f>
      </x:c>
      <x:c r="I181" s="67" t="str">
        <x:f>IF($A181="","",IF(ABS($G181)&lt;0.01,"Tudo certo, ninguém deve nada",IF($G181&gt;0,"Camilly deve pagar para Pedro","Pedro deve pagar para Camilly")))</x:f>
      </x:c>
      <x:c r="J181" s="63" t="str">
        <x:f>IF($A181="","",ABS($G181))</x:f>
      </x:c>
      <x:c r="K181" s="67" t="str">
        <x:f>IF($A181="","",IF(ABS($G181)&lt;0.01,"-",IF($G181&gt;0,"Camilly Queiroz","Pedro Américo Paletot")))</x:f>
      </x:c>
      <x:c r="L181" s="67" t="str">
        <x:f>IF($A181="","",IF(ABS($G181)&lt;0.01,"-",IF($G181&gt;0,"Pedro Américo Paletot","Camilly Queiroz")))</x:f>
      </x:c>
      <x:c r="M181" s="36"/>
      <x:c r="N181" s="59"/>
      <x:c r="O181" s="36"/>
      <x:c r="P181" s="36"/>
    </x:row>
    <x:row r="182">
      <x:c r="A182" s="36"/>
      <x:c r="B182" s="67" t="str">
        <x:f>IF($A182="","",IFERROR(INDEX('Planejamento de Viagens'!$B$6:$B$205,MATCH($A182,'Planejamento de Viagens'!$A$6:$A$205,0)),""))</x:f>
      </x:c>
      <x:c r="C182" s="63" t="str">
        <x:f>IF($A182="","",SUMIFS('Histórico de Gastos'!$W$6:$W$205,'Histórico de Gastos'!$B$6:$B$205,$A182))</x:f>
      </x:c>
      <x:c r="D182" s="63" t="str">
        <x:f>IF($A182="","",SUMIFS('Histórico de Gastos'!$X$6:$X$205,'Histórico de Gastos'!$B$6:$B$205,$A182))</x:f>
      </x:c>
      <x:c r="E182" s="63" t="str">
        <x:f>IF($A182="","",SUMIFS('Histórico de Gastos'!$U$6:$U$205,'Histórico de Gastos'!$B$6:$B$205,$A182))</x:f>
      </x:c>
      <x:c r="F182" s="63" t="str">
        <x:f>IF($A182="","",SUMIFS('Histórico de Gastos'!$V$6:$V$205,'Histórico de Gastos'!$B$6:$B$205,$A182))</x:f>
      </x:c>
      <x:c r="G182" s="63" t="str">
        <x:f>IF($A182="","",$C182-$E182)</x:f>
      </x:c>
      <x:c r="H182" s="63" t="str">
        <x:f>IF($A182="","",$D182-$F182)</x:f>
      </x:c>
      <x:c r="I182" s="67" t="str">
        <x:f>IF($A182="","",IF(ABS($G182)&lt;0.01,"Tudo certo, ninguém deve nada",IF($G182&gt;0,"Camilly deve pagar para Pedro","Pedro deve pagar para Camilly")))</x:f>
      </x:c>
      <x:c r="J182" s="63" t="str">
        <x:f>IF($A182="","",ABS($G182))</x:f>
      </x:c>
      <x:c r="K182" s="67" t="str">
        <x:f>IF($A182="","",IF(ABS($G182)&lt;0.01,"-",IF($G182&gt;0,"Camilly Queiroz","Pedro Américo Paletot")))</x:f>
      </x:c>
      <x:c r="L182" s="67" t="str">
        <x:f>IF($A182="","",IF(ABS($G182)&lt;0.01,"-",IF($G182&gt;0,"Pedro Américo Paletot","Camilly Queiroz")))</x:f>
      </x:c>
      <x:c r="M182" s="36"/>
      <x:c r="N182" s="59"/>
      <x:c r="O182" s="36"/>
      <x:c r="P182" s="36"/>
    </x:row>
    <x:row r="183">
      <x:c r="A183" s="36"/>
      <x:c r="B183" s="67" t="str">
        <x:f>IF($A183="","",IFERROR(INDEX('Planejamento de Viagens'!$B$6:$B$205,MATCH($A183,'Planejamento de Viagens'!$A$6:$A$205,0)),""))</x:f>
      </x:c>
      <x:c r="C183" s="63" t="str">
        <x:f>IF($A183="","",SUMIFS('Histórico de Gastos'!$W$6:$W$205,'Histórico de Gastos'!$B$6:$B$205,$A183))</x:f>
      </x:c>
      <x:c r="D183" s="63" t="str">
        <x:f>IF($A183="","",SUMIFS('Histórico de Gastos'!$X$6:$X$205,'Histórico de Gastos'!$B$6:$B$205,$A183))</x:f>
      </x:c>
      <x:c r="E183" s="63" t="str">
        <x:f>IF($A183="","",SUMIFS('Histórico de Gastos'!$U$6:$U$205,'Histórico de Gastos'!$B$6:$B$205,$A183))</x:f>
      </x:c>
      <x:c r="F183" s="63" t="str">
        <x:f>IF($A183="","",SUMIFS('Histórico de Gastos'!$V$6:$V$205,'Histórico de Gastos'!$B$6:$B$205,$A183))</x:f>
      </x:c>
      <x:c r="G183" s="63" t="str">
        <x:f>IF($A183="","",$C183-$E183)</x:f>
      </x:c>
      <x:c r="H183" s="63" t="str">
        <x:f>IF($A183="","",$D183-$F183)</x:f>
      </x:c>
      <x:c r="I183" s="67" t="str">
        <x:f>IF($A183="","",IF(ABS($G183)&lt;0.01,"Tudo certo, ninguém deve nada",IF($G183&gt;0,"Camilly deve pagar para Pedro","Pedro deve pagar para Camilly")))</x:f>
      </x:c>
      <x:c r="J183" s="63" t="str">
        <x:f>IF($A183="","",ABS($G183))</x:f>
      </x:c>
      <x:c r="K183" s="67" t="str">
        <x:f>IF($A183="","",IF(ABS($G183)&lt;0.01,"-",IF($G183&gt;0,"Camilly Queiroz","Pedro Américo Paletot")))</x:f>
      </x:c>
      <x:c r="L183" s="67" t="str">
        <x:f>IF($A183="","",IF(ABS($G183)&lt;0.01,"-",IF($G183&gt;0,"Pedro Américo Paletot","Camilly Queiroz")))</x:f>
      </x:c>
      <x:c r="M183" s="36"/>
      <x:c r="N183" s="59"/>
      <x:c r="O183" s="36"/>
      <x:c r="P183" s="36"/>
    </x:row>
    <x:row r="184">
      <x:c r="A184" s="36"/>
      <x:c r="B184" s="67" t="str">
        <x:f>IF($A184="","",IFERROR(INDEX('Planejamento de Viagens'!$B$6:$B$205,MATCH($A184,'Planejamento de Viagens'!$A$6:$A$205,0)),""))</x:f>
      </x:c>
      <x:c r="C184" s="63" t="str">
        <x:f>IF($A184="","",SUMIFS('Histórico de Gastos'!$W$6:$W$205,'Histórico de Gastos'!$B$6:$B$205,$A184))</x:f>
      </x:c>
      <x:c r="D184" s="63" t="str">
        <x:f>IF($A184="","",SUMIFS('Histórico de Gastos'!$X$6:$X$205,'Histórico de Gastos'!$B$6:$B$205,$A184))</x:f>
      </x:c>
      <x:c r="E184" s="63" t="str">
        <x:f>IF($A184="","",SUMIFS('Histórico de Gastos'!$U$6:$U$205,'Histórico de Gastos'!$B$6:$B$205,$A184))</x:f>
      </x:c>
      <x:c r="F184" s="63" t="str">
        <x:f>IF($A184="","",SUMIFS('Histórico de Gastos'!$V$6:$V$205,'Histórico de Gastos'!$B$6:$B$205,$A184))</x:f>
      </x:c>
      <x:c r="G184" s="63" t="str">
        <x:f>IF($A184="","",$C184-$E184)</x:f>
      </x:c>
      <x:c r="H184" s="63" t="str">
        <x:f>IF($A184="","",$D184-$F184)</x:f>
      </x:c>
      <x:c r="I184" s="67" t="str">
        <x:f>IF($A184="","",IF(ABS($G184)&lt;0.01,"Tudo certo, ninguém deve nada",IF($G184&gt;0,"Camilly deve pagar para Pedro","Pedro deve pagar para Camilly")))</x:f>
      </x:c>
      <x:c r="J184" s="63" t="str">
        <x:f>IF($A184="","",ABS($G184))</x:f>
      </x:c>
      <x:c r="K184" s="67" t="str">
        <x:f>IF($A184="","",IF(ABS($G184)&lt;0.01,"-",IF($G184&gt;0,"Camilly Queiroz","Pedro Américo Paletot")))</x:f>
      </x:c>
      <x:c r="L184" s="67" t="str">
        <x:f>IF($A184="","",IF(ABS($G184)&lt;0.01,"-",IF($G184&gt;0,"Pedro Américo Paletot","Camilly Queiroz")))</x:f>
      </x:c>
      <x:c r="M184" s="36"/>
      <x:c r="N184" s="59"/>
      <x:c r="O184" s="36"/>
      <x:c r="P184" s="36"/>
    </x:row>
    <x:row r="185">
      <x:c r="A185" s="36"/>
      <x:c r="B185" s="67" t="str">
        <x:f>IF($A185="","",IFERROR(INDEX('Planejamento de Viagens'!$B$6:$B$205,MATCH($A185,'Planejamento de Viagens'!$A$6:$A$205,0)),""))</x:f>
      </x:c>
      <x:c r="C185" s="63" t="str">
        <x:f>IF($A185="","",SUMIFS('Histórico de Gastos'!$W$6:$W$205,'Histórico de Gastos'!$B$6:$B$205,$A185))</x:f>
      </x:c>
      <x:c r="D185" s="63" t="str">
        <x:f>IF($A185="","",SUMIFS('Histórico de Gastos'!$X$6:$X$205,'Histórico de Gastos'!$B$6:$B$205,$A185))</x:f>
      </x:c>
      <x:c r="E185" s="63" t="str">
        <x:f>IF($A185="","",SUMIFS('Histórico de Gastos'!$U$6:$U$205,'Histórico de Gastos'!$B$6:$B$205,$A185))</x:f>
      </x:c>
      <x:c r="F185" s="63" t="str">
        <x:f>IF($A185="","",SUMIFS('Histórico de Gastos'!$V$6:$V$205,'Histórico de Gastos'!$B$6:$B$205,$A185))</x:f>
      </x:c>
      <x:c r="G185" s="63" t="str">
        <x:f>IF($A185="","",$C185-$E185)</x:f>
      </x:c>
      <x:c r="H185" s="63" t="str">
        <x:f>IF($A185="","",$D185-$F185)</x:f>
      </x:c>
      <x:c r="I185" s="67" t="str">
        <x:f>IF($A185="","",IF(ABS($G185)&lt;0.01,"Tudo certo, ninguém deve nada",IF($G185&gt;0,"Camilly deve pagar para Pedro","Pedro deve pagar para Camilly")))</x:f>
      </x:c>
      <x:c r="J185" s="63" t="str">
        <x:f>IF($A185="","",ABS($G185))</x:f>
      </x:c>
      <x:c r="K185" s="67" t="str">
        <x:f>IF($A185="","",IF(ABS($G185)&lt;0.01,"-",IF($G185&gt;0,"Camilly Queiroz","Pedro Américo Paletot")))</x:f>
      </x:c>
      <x:c r="L185" s="67" t="str">
        <x:f>IF($A185="","",IF(ABS($G185)&lt;0.01,"-",IF($G185&gt;0,"Pedro Américo Paletot","Camilly Queiroz")))</x:f>
      </x:c>
      <x:c r="M185" s="36"/>
      <x:c r="N185" s="59"/>
      <x:c r="O185" s="36"/>
      <x:c r="P185" s="36"/>
    </x:row>
    <x:row r="186">
      <x:c r="A186" s="36"/>
      <x:c r="B186" s="67" t="str">
        <x:f>IF($A186="","",IFERROR(INDEX('Planejamento de Viagens'!$B$6:$B$205,MATCH($A186,'Planejamento de Viagens'!$A$6:$A$205,0)),""))</x:f>
      </x:c>
      <x:c r="C186" s="63" t="str">
        <x:f>IF($A186="","",SUMIFS('Histórico de Gastos'!$W$6:$W$205,'Histórico de Gastos'!$B$6:$B$205,$A186))</x:f>
      </x:c>
      <x:c r="D186" s="63" t="str">
        <x:f>IF($A186="","",SUMIFS('Histórico de Gastos'!$X$6:$X$205,'Histórico de Gastos'!$B$6:$B$205,$A186))</x:f>
      </x:c>
      <x:c r="E186" s="63" t="str">
        <x:f>IF($A186="","",SUMIFS('Histórico de Gastos'!$U$6:$U$205,'Histórico de Gastos'!$B$6:$B$205,$A186))</x:f>
      </x:c>
      <x:c r="F186" s="63" t="str">
        <x:f>IF($A186="","",SUMIFS('Histórico de Gastos'!$V$6:$V$205,'Histórico de Gastos'!$B$6:$B$205,$A186))</x:f>
      </x:c>
      <x:c r="G186" s="63" t="str">
        <x:f>IF($A186="","",$C186-$E186)</x:f>
      </x:c>
      <x:c r="H186" s="63" t="str">
        <x:f>IF($A186="","",$D186-$F186)</x:f>
      </x:c>
      <x:c r="I186" s="67" t="str">
        <x:f>IF($A186="","",IF(ABS($G186)&lt;0.01,"Tudo certo, ninguém deve nada",IF($G186&gt;0,"Camilly deve pagar para Pedro","Pedro deve pagar para Camilly")))</x:f>
      </x:c>
      <x:c r="J186" s="63" t="str">
        <x:f>IF($A186="","",ABS($G186))</x:f>
      </x:c>
      <x:c r="K186" s="67" t="str">
        <x:f>IF($A186="","",IF(ABS($G186)&lt;0.01,"-",IF($G186&gt;0,"Camilly Queiroz","Pedro Américo Paletot")))</x:f>
      </x:c>
      <x:c r="L186" s="67" t="str">
        <x:f>IF($A186="","",IF(ABS($G186)&lt;0.01,"-",IF($G186&gt;0,"Pedro Américo Paletot","Camilly Queiroz")))</x:f>
      </x:c>
      <x:c r="M186" s="36"/>
      <x:c r="N186" s="59"/>
      <x:c r="O186" s="36"/>
      <x:c r="P186" s="36"/>
    </x:row>
    <x:row r="187">
      <x:c r="A187" s="36"/>
      <x:c r="B187" s="67" t="str">
        <x:f>IF($A187="","",IFERROR(INDEX('Planejamento de Viagens'!$B$6:$B$205,MATCH($A187,'Planejamento de Viagens'!$A$6:$A$205,0)),""))</x:f>
      </x:c>
      <x:c r="C187" s="63" t="str">
        <x:f>IF($A187="","",SUMIFS('Histórico de Gastos'!$W$6:$W$205,'Histórico de Gastos'!$B$6:$B$205,$A187))</x:f>
      </x:c>
      <x:c r="D187" s="63" t="str">
        <x:f>IF($A187="","",SUMIFS('Histórico de Gastos'!$X$6:$X$205,'Histórico de Gastos'!$B$6:$B$205,$A187))</x:f>
      </x:c>
      <x:c r="E187" s="63" t="str">
        <x:f>IF($A187="","",SUMIFS('Histórico de Gastos'!$U$6:$U$205,'Histórico de Gastos'!$B$6:$B$205,$A187))</x:f>
      </x:c>
      <x:c r="F187" s="63" t="str">
        <x:f>IF($A187="","",SUMIFS('Histórico de Gastos'!$V$6:$V$205,'Histórico de Gastos'!$B$6:$B$205,$A187))</x:f>
      </x:c>
      <x:c r="G187" s="63" t="str">
        <x:f>IF($A187="","",$C187-$E187)</x:f>
      </x:c>
      <x:c r="H187" s="63" t="str">
        <x:f>IF($A187="","",$D187-$F187)</x:f>
      </x:c>
      <x:c r="I187" s="67" t="str">
        <x:f>IF($A187="","",IF(ABS($G187)&lt;0.01,"Tudo certo, ninguém deve nada",IF($G187&gt;0,"Camilly deve pagar para Pedro","Pedro deve pagar para Camilly")))</x:f>
      </x:c>
      <x:c r="J187" s="63" t="str">
        <x:f>IF($A187="","",ABS($G187))</x:f>
      </x:c>
      <x:c r="K187" s="67" t="str">
        <x:f>IF($A187="","",IF(ABS($G187)&lt;0.01,"-",IF($G187&gt;0,"Camilly Queiroz","Pedro Américo Paletot")))</x:f>
      </x:c>
      <x:c r="L187" s="67" t="str">
        <x:f>IF($A187="","",IF(ABS($G187)&lt;0.01,"-",IF($G187&gt;0,"Pedro Américo Paletot","Camilly Queiroz")))</x:f>
      </x:c>
      <x:c r="M187" s="36"/>
      <x:c r="N187" s="59"/>
      <x:c r="O187" s="36"/>
      <x:c r="P187" s="36"/>
    </x:row>
    <x:row r="188">
      <x:c r="A188" s="36"/>
      <x:c r="B188" s="67" t="str">
        <x:f>IF($A188="","",IFERROR(INDEX('Planejamento de Viagens'!$B$6:$B$205,MATCH($A188,'Planejamento de Viagens'!$A$6:$A$205,0)),""))</x:f>
      </x:c>
      <x:c r="C188" s="63" t="str">
        <x:f>IF($A188="","",SUMIFS('Histórico de Gastos'!$W$6:$W$205,'Histórico de Gastos'!$B$6:$B$205,$A188))</x:f>
      </x:c>
      <x:c r="D188" s="63" t="str">
        <x:f>IF($A188="","",SUMIFS('Histórico de Gastos'!$X$6:$X$205,'Histórico de Gastos'!$B$6:$B$205,$A188))</x:f>
      </x:c>
      <x:c r="E188" s="63" t="str">
        <x:f>IF($A188="","",SUMIFS('Histórico de Gastos'!$U$6:$U$205,'Histórico de Gastos'!$B$6:$B$205,$A188))</x:f>
      </x:c>
      <x:c r="F188" s="63" t="str">
        <x:f>IF($A188="","",SUMIFS('Histórico de Gastos'!$V$6:$V$205,'Histórico de Gastos'!$B$6:$B$205,$A188))</x:f>
      </x:c>
      <x:c r="G188" s="63" t="str">
        <x:f>IF($A188="","",$C188-$E188)</x:f>
      </x:c>
      <x:c r="H188" s="63" t="str">
        <x:f>IF($A188="","",$D188-$F188)</x:f>
      </x:c>
      <x:c r="I188" s="67" t="str">
        <x:f>IF($A188="","",IF(ABS($G188)&lt;0.01,"Tudo certo, ninguém deve nada",IF($G188&gt;0,"Camilly deve pagar para Pedro","Pedro deve pagar para Camilly")))</x:f>
      </x:c>
      <x:c r="J188" s="63" t="str">
        <x:f>IF($A188="","",ABS($G188))</x:f>
      </x:c>
      <x:c r="K188" s="67" t="str">
        <x:f>IF($A188="","",IF(ABS($G188)&lt;0.01,"-",IF($G188&gt;0,"Camilly Queiroz","Pedro Américo Paletot")))</x:f>
      </x:c>
      <x:c r="L188" s="67" t="str">
        <x:f>IF($A188="","",IF(ABS($G188)&lt;0.01,"-",IF($G188&gt;0,"Pedro Américo Paletot","Camilly Queiroz")))</x:f>
      </x:c>
      <x:c r="M188" s="36"/>
      <x:c r="N188" s="59"/>
      <x:c r="O188" s="36"/>
      <x:c r="P188" s="36"/>
    </x:row>
    <x:row r="189">
      <x:c r="A189" s="36"/>
      <x:c r="B189" s="67" t="str">
        <x:f>IF($A189="","",IFERROR(INDEX('Planejamento de Viagens'!$B$6:$B$205,MATCH($A189,'Planejamento de Viagens'!$A$6:$A$205,0)),""))</x:f>
      </x:c>
      <x:c r="C189" s="63" t="str">
        <x:f>IF($A189="","",SUMIFS('Histórico de Gastos'!$W$6:$W$205,'Histórico de Gastos'!$B$6:$B$205,$A189))</x:f>
      </x:c>
      <x:c r="D189" s="63" t="str">
        <x:f>IF($A189="","",SUMIFS('Histórico de Gastos'!$X$6:$X$205,'Histórico de Gastos'!$B$6:$B$205,$A189))</x:f>
      </x:c>
      <x:c r="E189" s="63" t="str">
        <x:f>IF($A189="","",SUMIFS('Histórico de Gastos'!$U$6:$U$205,'Histórico de Gastos'!$B$6:$B$205,$A189))</x:f>
      </x:c>
      <x:c r="F189" s="63" t="str">
        <x:f>IF($A189="","",SUMIFS('Histórico de Gastos'!$V$6:$V$205,'Histórico de Gastos'!$B$6:$B$205,$A189))</x:f>
      </x:c>
      <x:c r="G189" s="63" t="str">
        <x:f>IF($A189="","",$C189-$E189)</x:f>
      </x:c>
      <x:c r="H189" s="63" t="str">
        <x:f>IF($A189="","",$D189-$F189)</x:f>
      </x:c>
      <x:c r="I189" s="67" t="str">
        <x:f>IF($A189="","",IF(ABS($G189)&lt;0.01,"Tudo certo, ninguém deve nada",IF($G189&gt;0,"Camilly deve pagar para Pedro","Pedro deve pagar para Camilly")))</x:f>
      </x:c>
      <x:c r="J189" s="63" t="str">
        <x:f>IF($A189="","",ABS($G189))</x:f>
      </x:c>
      <x:c r="K189" s="67" t="str">
        <x:f>IF($A189="","",IF(ABS($G189)&lt;0.01,"-",IF($G189&gt;0,"Camilly Queiroz","Pedro Américo Paletot")))</x:f>
      </x:c>
      <x:c r="L189" s="67" t="str">
        <x:f>IF($A189="","",IF(ABS($G189)&lt;0.01,"-",IF($G189&gt;0,"Pedro Américo Paletot","Camilly Queiroz")))</x:f>
      </x:c>
      <x:c r="M189" s="36"/>
      <x:c r="N189" s="59"/>
      <x:c r="O189" s="36"/>
      <x:c r="P189" s="36"/>
    </x:row>
    <x:row r="190">
      <x:c r="A190" s="36"/>
      <x:c r="B190" s="67" t="str">
        <x:f>IF($A190="","",IFERROR(INDEX('Planejamento de Viagens'!$B$6:$B$205,MATCH($A190,'Planejamento de Viagens'!$A$6:$A$205,0)),""))</x:f>
      </x:c>
      <x:c r="C190" s="63" t="str">
        <x:f>IF($A190="","",SUMIFS('Histórico de Gastos'!$W$6:$W$205,'Histórico de Gastos'!$B$6:$B$205,$A190))</x:f>
      </x:c>
      <x:c r="D190" s="63" t="str">
        <x:f>IF($A190="","",SUMIFS('Histórico de Gastos'!$X$6:$X$205,'Histórico de Gastos'!$B$6:$B$205,$A190))</x:f>
      </x:c>
      <x:c r="E190" s="63" t="str">
        <x:f>IF($A190="","",SUMIFS('Histórico de Gastos'!$U$6:$U$205,'Histórico de Gastos'!$B$6:$B$205,$A190))</x:f>
      </x:c>
      <x:c r="F190" s="63" t="str">
        <x:f>IF($A190="","",SUMIFS('Histórico de Gastos'!$V$6:$V$205,'Histórico de Gastos'!$B$6:$B$205,$A190))</x:f>
      </x:c>
      <x:c r="G190" s="63" t="str">
        <x:f>IF($A190="","",$C190-$E190)</x:f>
      </x:c>
      <x:c r="H190" s="63" t="str">
        <x:f>IF($A190="","",$D190-$F190)</x:f>
      </x:c>
      <x:c r="I190" s="67" t="str">
        <x:f>IF($A190="","",IF(ABS($G190)&lt;0.01,"Tudo certo, ninguém deve nada",IF($G190&gt;0,"Camilly deve pagar para Pedro","Pedro deve pagar para Camilly")))</x:f>
      </x:c>
      <x:c r="J190" s="63" t="str">
        <x:f>IF($A190="","",ABS($G190))</x:f>
      </x:c>
      <x:c r="K190" s="67" t="str">
        <x:f>IF($A190="","",IF(ABS($G190)&lt;0.01,"-",IF($G190&gt;0,"Camilly Queiroz","Pedro Américo Paletot")))</x:f>
      </x:c>
      <x:c r="L190" s="67" t="str">
        <x:f>IF($A190="","",IF(ABS($G190)&lt;0.01,"-",IF($G190&gt;0,"Pedro Américo Paletot","Camilly Queiroz")))</x:f>
      </x:c>
      <x:c r="M190" s="36"/>
      <x:c r="N190" s="59"/>
      <x:c r="O190" s="36"/>
      <x:c r="P190" s="36"/>
    </x:row>
    <x:row r="191">
      <x:c r="A191" s="36"/>
      <x:c r="B191" s="67" t="str">
        <x:f>IF($A191="","",IFERROR(INDEX('Planejamento de Viagens'!$B$6:$B$205,MATCH($A191,'Planejamento de Viagens'!$A$6:$A$205,0)),""))</x:f>
      </x:c>
      <x:c r="C191" s="63" t="str">
        <x:f>IF($A191="","",SUMIFS('Histórico de Gastos'!$W$6:$W$205,'Histórico de Gastos'!$B$6:$B$205,$A191))</x:f>
      </x:c>
      <x:c r="D191" s="63" t="str">
        <x:f>IF($A191="","",SUMIFS('Histórico de Gastos'!$X$6:$X$205,'Histórico de Gastos'!$B$6:$B$205,$A191))</x:f>
      </x:c>
      <x:c r="E191" s="63" t="str">
        <x:f>IF($A191="","",SUMIFS('Histórico de Gastos'!$U$6:$U$205,'Histórico de Gastos'!$B$6:$B$205,$A191))</x:f>
      </x:c>
      <x:c r="F191" s="63" t="str">
        <x:f>IF($A191="","",SUMIFS('Histórico de Gastos'!$V$6:$V$205,'Histórico de Gastos'!$B$6:$B$205,$A191))</x:f>
      </x:c>
      <x:c r="G191" s="63" t="str">
        <x:f>IF($A191="","",$C191-$E191)</x:f>
      </x:c>
      <x:c r="H191" s="63" t="str">
        <x:f>IF($A191="","",$D191-$F191)</x:f>
      </x:c>
      <x:c r="I191" s="67" t="str">
        <x:f>IF($A191="","",IF(ABS($G191)&lt;0.01,"Tudo certo, ninguém deve nada",IF($G191&gt;0,"Camilly deve pagar para Pedro","Pedro deve pagar para Camilly")))</x:f>
      </x:c>
      <x:c r="J191" s="63" t="str">
        <x:f>IF($A191="","",ABS($G191))</x:f>
      </x:c>
      <x:c r="K191" s="67" t="str">
        <x:f>IF($A191="","",IF(ABS($G191)&lt;0.01,"-",IF($G191&gt;0,"Camilly Queiroz","Pedro Américo Paletot")))</x:f>
      </x:c>
      <x:c r="L191" s="67" t="str">
        <x:f>IF($A191="","",IF(ABS($G191)&lt;0.01,"-",IF($G191&gt;0,"Pedro Américo Paletot","Camilly Queiroz")))</x:f>
      </x:c>
      <x:c r="M191" s="36"/>
      <x:c r="N191" s="59"/>
      <x:c r="O191" s="36"/>
      <x:c r="P191" s="36"/>
    </x:row>
    <x:row r="192">
      <x:c r="A192" s="36"/>
      <x:c r="B192" s="67" t="str">
        <x:f>IF($A192="","",IFERROR(INDEX('Planejamento de Viagens'!$B$6:$B$205,MATCH($A192,'Planejamento de Viagens'!$A$6:$A$205,0)),""))</x:f>
      </x:c>
      <x:c r="C192" s="63" t="str">
        <x:f>IF($A192="","",SUMIFS('Histórico de Gastos'!$W$6:$W$205,'Histórico de Gastos'!$B$6:$B$205,$A192))</x:f>
      </x:c>
      <x:c r="D192" s="63" t="str">
        <x:f>IF($A192="","",SUMIFS('Histórico de Gastos'!$X$6:$X$205,'Histórico de Gastos'!$B$6:$B$205,$A192))</x:f>
      </x:c>
      <x:c r="E192" s="63" t="str">
        <x:f>IF($A192="","",SUMIFS('Histórico de Gastos'!$U$6:$U$205,'Histórico de Gastos'!$B$6:$B$205,$A192))</x:f>
      </x:c>
      <x:c r="F192" s="63" t="str">
        <x:f>IF($A192="","",SUMIFS('Histórico de Gastos'!$V$6:$V$205,'Histórico de Gastos'!$B$6:$B$205,$A192))</x:f>
      </x:c>
      <x:c r="G192" s="63" t="str">
        <x:f>IF($A192="","",$C192-$E192)</x:f>
      </x:c>
      <x:c r="H192" s="63" t="str">
        <x:f>IF($A192="","",$D192-$F192)</x:f>
      </x:c>
      <x:c r="I192" s="67" t="str">
        <x:f>IF($A192="","",IF(ABS($G192)&lt;0.01,"Tudo certo, ninguém deve nada",IF($G192&gt;0,"Camilly deve pagar para Pedro","Pedro deve pagar para Camilly")))</x:f>
      </x:c>
      <x:c r="J192" s="63" t="str">
        <x:f>IF($A192="","",ABS($G192))</x:f>
      </x:c>
      <x:c r="K192" s="67" t="str">
        <x:f>IF($A192="","",IF(ABS($G192)&lt;0.01,"-",IF($G192&gt;0,"Camilly Queiroz","Pedro Américo Paletot")))</x:f>
      </x:c>
      <x:c r="L192" s="67" t="str">
        <x:f>IF($A192="","",IF(ABS($G192)&lt;0.01,"-",IF($G192&gt;0,"Pedro Américo Paletot","Camilly Queiroz")))</x:f>
      </x:c>
      <x:c r="M192" s="36"/>
      <x:c r="N192" s="59"/>
      <x:c r="O192" s="36"/>
      <x:c r="P192" s="36"/>
    </x:row>
    <x:row r="193">
      <x:c r="A193" s="36"/>
      <x:c r="B193" s="67" t="str">
        <x:f>IF($A193="","",IFERROR(INDEX('Planejamento de Viagens'!$B$6:$B$205,MATCH($A193,'Planejamento de Viagens'!$A$6:$A$205,0)),""))</x:f>
      </x:c>
      <x:c r="C193" s="63" t="str">
        <x:f>IF($A193="","",SUMIFS('Histórico de Gastos'!$W$6:$W$205,'Histórico de Gastos'!$B$6:$B$205,$A193))</x:f>
      </x:c>
      <x:c r="D193" s="63" t="str">
        <x:f>IF($A193="","",SUMIFS('Histórico de Gastos'!$X$6:$X$205,'Histórico de Gastos'!$B$6:$B$205,$A193))</x:f>
      </x:c>
      <x:c r="E193" s="63" t="str">
        <x:f>IF($A193="","",SUMIFS('Histórico de Gastos'!$U$6:$U$205,'Histórico de Gastos'!$B$6:$B$205,$A193))</x:f>
      </x:c>
      <x:c r="F193" s="63" t="str">
        <x:f>IF($A193="","",SUMIFS('Histórico de Gastos'!$V$6:$V$205,'Histórico de Gastos'!$B$6:$B$205,$A193))</x:f>
      </x:c>
      <x:c r="G193" s="63" t="str">
        <x:f>IF($A193="","",$C193-$E193)</x:f>
      </x:c>
      <x:c r="H193" s="63" t="str">
        <x:f>IF($A193="","",$D193-$F193)</x:f>
      </x:c>
      <x:c r="I193" s="67" t="str">
        <x:f>IF($A193="","",IF(ABS($G193)&lt;0.01,"Tudo certo, ninguém deve nada",IF($G193&gt;0,"Camilly deve pagar para Pedro","Pedro deve pagar para Camilly")))</x:f>
      </x:c>
      <x:c r="J193" s="63" t="str">
        <x:f>IF($A193="","",ABS($G193))</x:f>
      </x:c>
      <x:c r="K193" s="67" t="str">
        <x:f>IF($A193="","",IF(ABS($G193)&lt;0.01,"-",IF($G193&gt;0,"Camilly Queiroz","Pedro Américo Paletot")))</x:f>
      </x:c>
      <x:c r="L193" s="67" t="str">
        <x:f>IF($A193="","",IF(ABS($G193)&lt;0.01,"-",IF($G193&gt;0,"Pedro Américo Paletot","Camilly Queiroz")))</x:f>
      </x:c>
      <x:c r="M193" s="36"/>
      <x:c r="N193" s="59"/>
      <x:c r="O193" s="36"/>
      <x:c r="P193" s="36"/>
    </x:row>
    <x:row r="194">
      <x:c r="A194" s="36"/>
      <x:c r="B194" s="67" t="str">
        <x:f>IF($A194="","",IFERROR(INDEX('Planejamento de Viagens'!$B$6:$B$205,MATCH($A194,'Planejamento de Viagens'!$A$6:$A$205,0)),""))</x:f>
      </x:c>
      <x:c r="C194" s="63" t="str">
        <x:f>IF($A194="","",SUMIFS('Histórico de Gastos'!$W$6:$W$205,'Histórico de Gastos'!$B$6:$B$205,$A194))</x:f>
      </x:c>
      <x:c r="D194" s="63" t="str">
        <x:f>IF($A194="","",SUMIFS('Histórico de Gastos'!$X$6:$X$205,'Histórico de Gastos'!$B$6:$B$205,$A194))</x:f>
      </x:c>
      <x:c r="E194" s="63" t="str">
        <x:f>IF($A194="","",SUMIFS('Histórico de Gastos'!$U$6:$U$205,'Histórico de Gastos'!$B$6:$B$205,$A194))</x:f>
      </x:c>
      <x:c r="F194" s="63" t="str">
        <x:f>IF($A194="","",SUMIFS('Histórico de Gastos'!$V$6:$V$205,'Histórico de Gastos'!$B$6:$B$205,$A194))</x:f>
      </x:c>
      <x:c r="G194" s="63" t="str">
        <x:f>IF($A194="","",$C194-$E194)</x:f>
      </x:c>
      <x:c r="H194" s="63" t="str">
        <x:f>IF($A194="","",$D194-$F194)</x:f>
      </x:c>
      <x:c r="I194" s="67" t="str">
        <x:f>IF($A194="","",IF(ABS($G194)&lt;0.01,"Tudo certo, ninguém deve nada",IF($G194&gt;0,"Camilly deve pagar para Pedro","Pedro deve pagar para Camilly")))</x:f>
      </x:c>
      <x:c r="J194" s="63" t="str">
        <x:f>IF($A194="","",ABS($G194))</x:f>
      </x:c>
      <x:c r="K194" s="67" t="str">
        <x:f>IF($A194="","",IF(ABS($G194)&lt;0.01,"-",IF($G194&gt;0,"Camilly Queiroz","Pedro Américo Paletot")))</x:f>
      </x:c>
      <x:c r="L194" s="67" t="str">
        <x:f>IF($A194="","",IF(ABS($G194)&lt;0.01,"-",IF($G194&gt;0,"Pedro Américo Paletot","Camilly Queiroz")))</x:f>
      </x:c>
      <x:c r="M194" s="36"/>
      <x:c r="N194" s="59"/>
      <x:c r="O194" s="36"/>
      <x:c r="P194" s="36"/>
    </x:row>
    <x:row r="195">
      <x:c r="A195" s="36"/>
      <x:c r="B195" s="67" t="str">
        <x:f>IF($A195="","",IFERROR(INDEX('Planejamento de Viagens'!$B$6:$B$205,MATCH($A195,'Planejamento de Viagens'!$A$6:$A$205,0)),""))</x:f>
      </x:c>
      <x:c r="C195" s="63" t="str">
        <x:f>IF($A195="","",SUMIFS('Histórico de Gastos'!$W$6:$W$205,'Histórico de Gastos'!$B$6:$B$205,$A195))</x:f>
      </x:c>
      <x:c r="D195" s="63" t="str">
        <x:f>IF($A195="","",SUMIFS('Histórico de Gastos'!$X$6:$X$205,'Histórico de Gastos'!$B$6:$B$205,$A195))</x:f>
      </x:c>
      <x:c r="E195" s="63" t="str">
        <x:f>IF($A195="","",SUMIFS('Histórico de Gastos'!$U$6:$U$205,'Histórico de Gastos'!$B$6:$B$205,$A195))</x:f>
      </x:c>
      <x:c r="F195" s="63" t="str">
        <x:f>IF($A195="","",SUMIFS('Histórico de Gastos'!$V$6:$V$205,'Histórico de Gastos'!$B$6:$B$205,$A195))</x:f>
      </x:c>
      <x:c r="G195" s="63" t="str">
        <x:f>IF($A195="","",$C195-$E195)</x:f>
      </x:c>
      <x:c r="H195" s="63" t="str">
        <x:f>IF($A195="","",$D195-$F195)</x:f>
      </x:c>
      <x:c r="I195" s="67" t="str">
        <x:f>IF($A195="","",IF(ABS($G195)&lt;0.01,"Tudo certo, ninguém deve nada",IF($G195&gt;0,"Camilly deve pagar para Pedro","Pedro deve pagar para Camilly")))</x:f>
      </x:c>
      <x:c r="J195" s="63" t="str">
        <x:f>IF($A195="","",ABS($G195))</x:f>
      </x:c>
      <x:c r="K195" s="67" t="str">
        <x:f>IF($A195="","",IF(ABS($G195)&lt;0.01,"-",IF($G195&gt;0,"Camilly Queiroz","Pedro Américo Paletot")))</x:f>
      </x:c>
      <x:c r="L195" s="67" t="str">
        <x:f>IF($A195="","",IF(ABS($G195)&lt;0.01,"-",IF($G195&gt;0,"Pedro Américo Paletot","Camilly Queiroz")))</x:f>
      </x:c>
      <x:c r="M195" s="36"/>
      <x:c r="N195" s="59"/>
      <x:c r="O195" s="36"/>
      <x:c r="P195" s="36"/>
    </x:row>
    <x:row r="196">
      <x:c r="A196" s="36"/>
      <x:c r="B196" s="67" t="str">
        <x:f>IF($A196="","",IFERROR(INDEX('Planejamento de Viagens'!$B$6:$B$205,MATCH($A196,'Planejamento de Viagens'!$A$6:$A$205,0)),""))</x:f>
      </x:c>
      <x:c r="C196" s="63" t="str">
        <x:f>IF($A196="","",SUMIFS('Histórico de Gastos'!$W$6:$W$205,'Histórico de Gastos'!$B$6:$B$205,$A196))</x:f>
      </x:c>
      <x:c r="D196" s="63" t="str">
        <x:f>IF($A196="","",SUMIFS('Histórico de Gastos'!$X$6:$X$205,'Histórico de Gastos'!$B$6:$B$205,$A196))</x:f>
      </x:c>
      <x:c r="E196" s="63" t="str">
        <x:f>IF($A196="","",SUMIFS('Histórico de Gastos'!$U$6:$U$205,'Histórico de Gastos'!$B$6:$B$205,$A196))</x:f>
      </x:c>
      <x:c r="F196" s="63" t="str">
        <x:f>IF($A196="","",SUMIFS('Histórico de Gastos'!$V$6:$V$205,'Histórico de Gastos'!$B$6:$B$205,$A196))</x:f>
      </x:c>
      <x:c r="G196" s="63" t="str">
        <x:f>IF($A196="","",$C196-$E196)</x:f>
      </x:c>
      <x:c r="H196" s="63" t="str">
        <x:f>IF($A196="","",$D196-$F196)</x:f>
      </x:c>
      <x:c r="I196" s="67" t="str">
        <x:f>IF($A196="","",IF(ABS($G196)&lt;0.01,"Tudo certo, ninguém deve nada",IF($G196&gt;0,"Camilly deve pagar para Pedro","Pedro deve pagar para Camilly")))</x:f>
      </x:c>
      <x:c r="J196" s="63" t="str">
        <x:f>IF($A196="","",ABS($G196))</x:f>
      </x:c>
      <x:c r="K196" s="67" t="str">
        <x:f>IF($A196="","",IF(ABS($G196)&lt;0.01,"-",IF($G196&gt;0,"Camilly Queiroz","Pedro Américo Paletot")))</x:f>
      </x:c>
      <x:c r="L196" s="67" t="str">
        <x:f>IF($A196="","",IF(ABS($G196)&lt;0.01,"-",IF($G196&gt;0,"Pedro Américo Paletot","Camilly Queiroz")))</x:f>
      </x:c>
      <x:c r="M196" s="36"/>
      <x:c r="N196" s="59"/>
      <x:c r="O196" s="36"/>
      <x:c r="P196" s="36"/>
    </x:row>
    <x:row r="197">
      <x:c r="A197" s="36"/>
      <x:c r="B197" s="67" t="str">
        <x:f>IF($A197="","",IFERROR(INDEX('Planejamento de Viagens'!$B$6:$B$205,MATCH($A197,'Planejamento de Viagens'!$A$6:$A$205,0)),""))</x:f>
      </x:c>
      <x:c r="C197" s="63" t="str">
        <x:f>IF($A197="","",SUMIFS('Histórico de Gastos'!$W$6:$W$205,'Histórico de Gastos'!$B$6:$B$205,$A197))</x:f>
      </x:c>
      <x:c r="D197" s="63" t="str">
        <x:f>IF($A197="","",SUMIFS('Histórico de Gastos'!$X$6:$X$205,'Histórico de Gastos'!$B$6:$B$205,$A197))</x:f>
      </x:c>
      <x:c r="E197" s="63" t="str">
        <x:f>IF($A197="","",SUMIFS('Histórico de Gastos'!$U$6:$U$205,'Histórico de Gastos'!$B$6:$B$205,$A197))</x:f>
      </x:c>
      <x:c r="F197" s="63" t="str">
        <x:f>IF($A197="","",SUMIFS('Histórico de Gastos'!$V$6:$V$205,'Histórico de Gastos'!$B$6:$B$205,$A197))</x:f>
      </x:c>
      <x:c r="G197" s="63" t="str">
        <x:f>IF($A197="","",$C197-$E197)</x:f>
      </x:c>
      <x:c r="H197" s="63" t="str">
        <x:f>IF($A197="","",$D197-$F197)</x:f>
      </x:c>
      <x:c r="I197" s="67" t="str">
        <x:f>IF($A197="","",IF(ABS($G197)&lt;0.01,"Tudo certo, ninguém deve nada",IF($G197&gt;0,"Camilly deve pagar para Pedro","Pedro deve pagar para Camilly")))</x:f>
      </x:c>
      <x:c r="J197" s="63" t="str">
        <x:f>IF($A197="","",ABS($G197))</x:f>
      </x:c>
      <x:c r="K197" s="67" t="str">
        <x:f>IF($A197="","",IF(ABS($G197)&lt;0.01,"-",IF($G197&gt;0,"Camilly Queiroz","Pedro Américo Paletot")))</x:f>
      </x:c>
      <x:c r="L197" s="67" t="str">
        <x:f>IF($A197="","",IF(ABS($G197)&lt;0.01,"-",IF($G197&gt;0,"Pedro Américo Paletot","Camilly Queiroz")))</x:f>
      </x:c>
      <x:c r="M197" s="36"/>
      <x:c r="N197" s="59"/>
      <x:c r="O197" s="36"/>
      <x:c r="P197" s="36"/>
    </x:row>
    <x:row r="198">
      <x:c r="A198" s="36"/>
      <x:c r="B198" s="67" t="str">
        <x:f>IF($A198="","",IFERROR(INDEX('Planejamento de Viagens'!$B$6:$B$205,MATCH($A198,'Planejamento de Viagens'!$A$6:$A$205,0)),""))</x:f>
      </x:c>
      <x:c r="C198" s="63" t="str">
        <x:f>IF($A198="","",SUMIFS('Histórico de Gastos'!$W$6:$W$205,'Histórico de Gastos'!$B$6:$B$205,$A198))</x:f>
      </x:c>
      <x:c r="D198" s="63" t="str">
        <x:f>IF($A198="","",SUMIFS('Histórico de Gastos'!$X$6:$X$205,'Histórico de Gastos'!$B$6:$B$205,$A198))</x:f>
      </x:c>
      <x:c r="E198" s="63" t="str">
        <x:f>IF($A198="","",SUMIFS('Histórico de Gastos'!$U$6:$U$205,'Histórico de Gastos'!$B$6:$B$205,$A198))</x:f>
      </x:c>
      <x:c r="F198" s="63" t="str">
        <x:f>IF($A198="","",SUMIFS('Histórico de Gastos'!$V$6:$V$205,'Histórico de Gastos'!$B$6:$B$205,$A198))</x:f>
      </x:c>
      <x:c r="G198" s="63" t="str">
        <x:f>IF($A198="","",$C198-$E198)</x:f>
      </x:c>
      <x:c r="H198" s="63" t="str">
        <x:f>IF($A198="","",$D198-$F198)</x:f>
      </x:c>
      <x:c r="I198" s="67" t="str">
        <x:f>IF($A198="","",IF(ABS($G198)&lt;0.01,"Tudo certo, ninguém deve nada",IF($G198&gt;0,"Camilly deve pagar para Pedro","Pedro deve pagar para Camilly")))</x:f>
      </x:c>
      <x:c r="J198" s="63" t="str">
        <x:f>IF($A198="","",ABS($G198))</x:f>
      </x:c>
      <x:c r="K198" s="67" t="str">
        <x:f>IF($A198="","",IF(ABS($G198)&lt;0.01,"-",IF($G198&gt;0,"Camilly Queiroz","Pedro Américo Paletot")))</x:f>
      </x:c>
      <x:c r="L198" s="67" t="str">
        <x:f>IF($A198="","",IF(ABS($G198)&lt;0.01,"-",IF($G198&gt;0,"Pedro Américo Paletot","Camilly Queiroz")))</x:f>
      </x:c>
      <x:c r="M198" s="36"/>
      <x:c r="N198" s="59"/>
      <x:c r="O198" s="36"/>
      <x:c r="P198" s="36"/>
    </x:row>
    <x:row r="199">
      <x:c r="A199" s="36"/>
      <x:c r="B199" s="67" t="str">
        <x:f>IF($A199="","",IFERROR(INDEX('Planejamento de Viagens'!$B$6:$B$205,MATCH($A199,'Planejamento de Viagens'!$A$6:$A$205,0)),""))</x:f>
      </x:c>
      <x:c r="C199" s="63" t="str">
        <x:f>IF($A199="","",SUMIFS('Histórico de Gastos'!$W$6:$W$205,'Histórico de Gastos'!$B$6:$B$205,$A199))</x:f>
      </x:c>
      <x:c r="D199" s="63" t="str">
        <x:f>IF($A199="","",SUMIFS('Histórico de Gastos'!$X$6:$X$205,'Histórico de Gastos'!$B$6:$B$205,$A199))</x:f>
      </x:c>
      <x:c r="E199" s="63" t="str">
        <x:f>IF($A199="","",SUMIFS('Histórico de Gastos'!$U$6:$U$205,'Histórico de Gastos'!$B$6:$B$205,$A199))</x:f>
      </x:c>
      <x:c r="F199" s="63" t="str">
        <x:f>IF($A199="","",SUMIFS('Histórico de Gastos'!$V$6:$V$205,'Histórico de Gastos'!$B$6:$B$205,$A199))</x:f>
      </x:c>
      <x:c r="G199" s="63" t="str">
        <x:f>IF($A199="","",$C199-$E199)</x:f>
      </x:c>
      <x:c r="H199" s="63" t="str">
        <x:f>IF($A199="","",$D199-$F199)</x:f>
      </x:c>
      <x:c r="I199" s="67" t="str">
        <x:f>IF($A199="","",IF(ABS($G199)&lt;0.01,"Tudo certo, ninguém deve nada",IF($G199&gt;0,"Camilly deve pagar para Pedro","Pedro deve pagar para Camilly")))</x:f>
      </x:c>
      <x:c r="J199" s="63" t="str">
        <x:f>IF($A199="","",ABS($G199))</x:f>
      </x:c>
      <x:c r="K199" s="67" t="str">
        <x:f>IF($A199="","",IF(ABS($G199)&lt;0.01,"-",IF($G199&gt;0,"Camilly Queiroz","Pedro Américo Paletot")))</x:f>
      </x:c>
      <x:c r="L199" s="67" t="str">
        <x:f>IF($A199="","",IF(ABS($G199)&lt;0.01,"-",IF($G199&gt;0,"Pedro Américo Paletot","Camilly Queiroz")))</x:f>
      </x:c>
      <x:c r="M199" s="36"/>
      <x:c r="N199" s="59"/>
      <x:c r="O199" s="36"/>
      <x:c r="P199" s="36"/>
    </x:row>
    <x:row r="200">
      <x:c r="A200" s="36"/>
      <x:c r="B200" s="67" t="str">
        <x:f>IF($A200="","",IFERROR(INDEX('Planejamento de Viagens'!$B$6:$B$205,MATCH($A200,'Planejamento de Viagens'!$A$6:$A$205,0)),""))</x:f>
      </x:c>
      <x:c r="C200" s="63" t="str">
        <x:f>IF($A200="","",SUMIFS('Histórico de Gastos'!$W$6:$W$205,'Histórico de Gastos'!$B$6:$B$205,$A200))</x:f>
      </x:c>
      <x:c r="D200" s="63" t="str">
        <x:f>IF($A200="","",SUMIFS('Histórico de Gastos'!$X$6:$X$205,'Histórico de Gastos'!$B$6:$B$205,$A200))</x:f>
      </x:c>
      <x:c r="E200" s="63" t="str">
        <x:f>IF($A200="","",SUMIFS('Histórico de Gastos'!$U$6:$U$205,'Histórico de Gastos'!$B$6:$B$205,$A200))</x:f>
      </x:c>
      <x:c r="F200" s="63" t="str">
        <x:f>IF($A200="","",SUMIFS('Histórico de Gastos'!$V$6:$V$205,'Histórico de Gastos'!$B$6:$B$205,$A200))</x:f>
      </x:c>
      <x:c r="G200" s="63" t="str">
        <x:f>IF($A200="","",$C200-$E200)</x:f>
      </x:c>
      <x:c r="H200" s="63" t="str">
        <x:f>IF($A200="","",$D200-$F200)</x:f>
      </x:c>
      <x:c r="I200" s="67" t="str">
        <x:f>IF($A200="","",IF(ABS($G200)&lt;0.01,"Tudo certo, ninguém deve nada",IF($G200&gt;0,"Camilly deve pagar para Pedro","Pedro deve pagar para Camilly")))</x:f>
      </x:c>
      <x:c r="J200" s="63" t="str">
        <x:f>IF($A200="","",ABS($G200))</x:f>
      </x:c>
      <x:c r="K200" s="67" t="str">
        <x:f>IF($A200="","",IF(ABS($G200)&lt;0.01,"-",IF($G200&gt;0,"Camilly Queiroz","Pedro Américo Paletot")))</x:f>
      </x:c>
      <x:c r="L200" s="67" t="str">
        <x:f>IF($A200="","",IF(ABS($G200)&lt;0.01,"-",IF($G200&gt;0,"Pedro Américo Paletot","Camilly Queiroz")))</x:f>
      </x:c>
      <x:c r="M200" s="36"/>
      <x:c r="N200" s="59"/>
      <x:c r="O200" s="36"/>
      <x:c r="P200" s="36"/>
    </x:row>
    <x:row r="201">
      <x:c r="A201" s="36"/>
      <x:c r="B201" s="67" t="str">
        <x:f>IF($A201="","",IFERROR(INDEX('Planejamento de Viagens'!$B$6:$B$205,MATCH($A201,'Planejamento de Viagens'!$A$6:$A$205,0)),""))</x:f>
      </x:c>
      <x:c r="C201" s="63" t="str">
        <x:f>IF($A201="","",SUMIFS('Histórico de Gastos'!$W$6:$W$205,'Histórico de Gastos'!$B$6:$B$205,$A201))</x:f>
      </x:c>
      <x:c r="D201" s="63" t="str">
        <x:f>IF($A201="","",SUMIFS('Histórico de Gastos'!$X$6:$X$205,'Histórico de Gastos'!$B$6:$B$205,$A201))</x:f>
      </x:c>
      <x:c r="E201" s="63" t="str">
        <x:f>IF($A201="","",SUMIFS('Histórico de Gastos'!$U$6:$U$205,'Histórico de Gastos'!$B$6:$B$205,$A201))</x:f>
      </x:c>
      <x:c r="F201" s="63" t="str">
        <x:f>IF($A201="","",SUMIFS('Histórico de Gastos'!$V$6:$V$205,'Histórico de Gastos'!$B$6:$B$205,$A201))</x:f>
      </x:c>
      <x:c r="G201" s="63" t="str">
        <x:f>IF($A201="","",$C201-$E201)</x:f>
      </x:c>
      <x:c r="H201" s="63" t="str">
        <x:f>IF($A201="","",$D201-$F201)</x:f>
      </x:c>
      <x:c r="I201" s="67" t="str">
        <x:f>IF($A201="","",IF(ABS($G201)&lt;0.01,"Tudo certo, ninguém deve nada",IF($G201&gt;0,"Camilly deve pagar para Pedro","Pedro deve pagar para Camilly")))</x:f>
      </x:c>
      <x:c r="J201" s="63" t="str">
        <x:f>IF($A201="","",ABS($G201))</x:f>
      </x:c>
      <x:c r="K201" s="67" t="str">
        <x:f>IF($A201="","",IF(ABS($G201)&lt;0.01,"-",IF($G201&gt;0,"Camilly Queiroz","Pedro Américo Paletot")))</x:f>
      </x:c>
      <x:c r="L201" s="67" t="str">
        <x:f>IF($A201="","",IF(ABS($G201)&lt;0.01,"-",IF($G201&gt;0,"Pedro Américo Paletot","Camilly Queiroz")))</x:f>
      </x:c>
      <x:c r="M201" s="36"/>
      <x:c r="N201" s="59"/>
      <x:c r="O201" s="36"/>
      <x:c r="P201" s="36"/>
    </x:row>
    <x:row r="202">
      <x:c r="A202" s="36"/>
      <x:c r="B202" s="67" t="str">
        <x:f>IF($A202="","",IFERROR(INDEX('Planejamento de Viagens'!$B$6:$B$205,MATCH($A202,'Planejamento de Viagens'!$A$6:$A$205,0)),""))</x:f>
      </x:c>
      <x:c r="C202" s="63" t="str">
        <x:f>IF($A202="","",SUMIFS('Histórico de Gastos'!$W$6:$W$205,'Histórico de Gastos'!$B$6:$B$205,$A202))</x:f>
      </x:c>
      <x:c r="D202" s="63" t="str">
        <x:f>IF($A202="","",SUMIFS('Histórico de Gastos'!$X$6:$X$205,'Histórico de Gastos'!$B$6:$B$205,$A202))</x:f>
      </x:c>
      <x:c r="E202" s="63" t="str">
        <x:f>IF($A202="","",SUMIFS('Histórico de Gastos'!$U$6:$U$205,'Histórico de Gastos'!$B$6:$B$205,$A202))</x:f>
      </x:c>
      <x:c r="F202" s="63" t="str">
        <x:f>IF($A202="","",SUMIFS('Histórico de Gastos'!$V$6:$V$205,'Histórico de Gastos'!$B$6:$B$205,$A202))</x:f>
      </x:c>
      <x:c r="G202" s="63" t="str">
        <x:f>IF($A202="","",$C202-$E202)</x:f>
      </x:c>
      <x:c r="H202" s="63" t="str">
        <x:f>IF($A202="","",$D202-$F202)</x:f>
      </x:c>
      <x:c r="I202" s="67" t="str">
        <x:f>IF($A202="","",IF(ABS($G202)&lt;0.01,"Tudo certo, ninguém deve nada",IF($G202&gt;0,"Camilly deve pagar para Pedro","Pedro deve pagar para Camilly")))</x:f>
      </x:c>
      <x:c r="J202" s="63" t="str">
        <x:f>IF($A202="","",ABS($G202))</x:f>
      </x:c>
      <x:c r="K202" s="67" t="str">
        <x:f>IF($A202="","",IF(ABS($G202)&lt;0.01,"-",IF($G202&gt;0,"Camilly Queiroz","Pedro Américo Paletot")))</x:f>
      </x:c>
      <x:c r="L202" s="67" t="str">
        <x:f>IF($A202="","",IF(ABS($G202)&lt;0.01,"-",IF($G202&gt;0,"Pedro Américo Paletot","Camilly Queiroz")))</x:f>
      </x:c>
      <x:c r="M202" s="36"/>
      <x:c r="N202" s="59"/>
      <x:c r="O202" s="36"/>
      <x:c r="P202" s="36"/>
    </x:row>
    <x:row r="203">
      <x:c r="A203" s="36"/>
      <x:c r="B203" s="67" t="str">
        <x:f>IF($A203="","",IFERROR(INDEX('Planejamento de Viagens'!$B$6:$B$205,MATCH($A203,'Planejamento de Viagens'!$A$6:$A$205,0)),""))</x:f>
      </x:c>
      <x:c r="C203" s="63" t="str">
        <x:f>IF($A203="","",SUMIFS('Histórico de Gastos'!$W$6:$W$205,'Histórico de Gastos'!$B$6:$B$205,$A203))</x:f>
      </x:c>
      <x:c r="D203" s="63" t="str">
        <x:f>IF($A203="","",SUMIFS('Histórico de Gastos'!$X$6:$X$205,'Histórico de Gastos'!$B$6:$B$205,$A203))</x:f>
      </x:c>
      <x:c r="E203" s="63" t="str">
        <x:f>IF($A203="","",SUMIFS('Histórico de Gastos'!$U$6:$U$205,'Histórico de Gastos'!$B$6:$B$205,$A203))</x:f>
      </x:c>
      <x:c r="F203" s="63" t="str">
        <x:f>IF($A203="","",SUMIFS('Histórico de Gastos'!$V$6:$V$205,'Histórico de Gastos'!$B$6:$B$205,$A203))</x:f>
      </x:c>
      <x:c r="G203" s="63" t="str">
        <x:f>IF($A203="","",$C203-$E203)</x:f>
      </x:c>
      <x:c r="H203" s="63" t="str">
        <x:f>IF($A203="","",$D203-$F203)</x:f>
      </x:c>
      <x:c r="I203" s="67" t="str">
        <x:f>IF($A203="","",IF(ABS($G203)&lt;0.01,"Tudo certo, ninguém deve nada",IF($G203&gt;0,"Camilly deve pagar para Pedro","Pedro deve pagar para Camilly")))</x:f>
      </x:c>
      <x:c r="J203" s="63" t="str">
        <x:f>IF($A203="","",ABS($G203))</x:f>
      </x:c>
      <x:c r="K203" s="67" t="str">
        <x:f>IF($A203="","",IF(ABS($G203)&lt;0.01,"-",IF($G203&gt;0,"Camilly Queiroz","Pedro Américo Paletot")))</x:f>
      </x:c>
      <x:c r="L203" s="67" t="str">
        <x:f>IF($A203="","",IF(ABS($G203)&lt;0.01,"-",IF($G203&gt;0,"Pedro Américo Paletot","Camilly Queiroz")))</x:f>
      </x:c>
      <x:c r="M203" s="36"/>
      <x:c r="N203" s="59"/>
      <x:c r="O203" s="36"/>
      <x:c r="P203" s="36"/>
    </x:row>
    <x:row r="204">
      <x:c r="A204" s="36"/>
      <x:c r="B204" s="67" t="str">
        <x:f>IF($A204="","",IFERROR(INDEX('Planejamento de Viagens'!$B$6:$B$205,MATCH($A204,'Planejamento de Viagens'!$A$6:$A$205,0)),""))</x:f>
      </x:c>
      <x:c r="C204" s="63" t="str">
        <x:f>IF($A204="","",SUMIFS('Histórico de Gastos'!$W$6:$W$205,'Histórico de Gastos'!$B$6:$B$205,$A204))</x:f>
      </x:c>
      <x:c r="D204" s="63" t="str">
        <x:f>IF($A204="","",SUMIFS('Histórico de Gastos'!$X$6:$X$205,'Histórico de Gastos'!$B$6:$B$205,$A204))</x:f>
      </x:c>
      <x:c r="E204" s="63" t="str">
        <x:f>IF($A204="","",SUMIFS('Histórico de Gastos'!$U$6:$U$205,'Histórico de Gastos'!$B$6:$B$205,$A204))</x:f>
      </x:c>
      <x:c r="F204" s="63" t="str">
        <x:f>IF($A204="","",SUMIFS('Histórico de Gastos'!$V$6:$V$205,'Histórico de Gastos'!$B$6:$B$205,$A204))</x:f>
      </x:c>
      <x:c r="G204" s="63" t="str">
        <x:f>IF($A204="","",$C204-$E204)</x:f>
      </x:c>
      <x:c r="H204" s="63" t="str">
        <x:f>IF($A204="","",$D204-$F204)</x:f>
      </x:c>
      <x:c r="I204" s="67" t="str">
        <x:f>IF($A204="","",IF(ABS($G204)&lt;0.01,"Tudo certo, ninguém deve nada",IF($G204&gt;0,"Camilly deve pagar para Pedro","Pedro deve pagar para Camilly")))</x:f>
      </x:c>
      <x:c r="J204" s="63" t="str">
        <x:f>IF($A204="","",ABS($G204))</x:f>
      </x:c>
      <x:c r="K204" s="67" t="str">
        <x:f>IF($A204="","",IF(ABS($G204)&lt;0.01,"-",IF($G204&gt;0,"Camilly Queiroz","Pedro Américo Paletot")))</x:f>
      </x:c>
      <x:c r="L204" s="67" t="str">
        <x:f>IF($A204="","",IF(ABS($G204)&lt;0.01,"-",IF($G204&gt;0,"Pedro Américo Paletot","Camilly Queiroz")))</x:f>
      </x:c>
      <x:c r="M204" s="36"/>
      <x:c r="N204" s="59"/>
      <x:c r="O204" s="36"/>
      <x:c r="P204" s="36"/>
    </x:row>
    <x:row r="205">
      <x:c r="A205" s="36"/>
      <x:c r="B205" s="67" t="str">
        <x:f>IF($A205="","",IFERROR(INDEX('Planejamento de Viagens'!$B$6:$B$205,MATCH($A205,'Planejamento de Viagens'!$A$6:$A$205,0)),""))</x:f>
      </x:c>
      <x:c r="C205" s="63" t="str">
        <x:f>IF($A205="","",SUMIFS('Histórico de Gastos'!$W$6:$W$205,'Histórico de Gastos'!$B$6:$B$205,$A205))</x:f>
      </x:c>
      <x:c r="D205" s="63" t="str">
        <x:f>IF($A205="","",SUMIFS('Histórico de Gastos'!$X$6:$X$205,'Histórico de Gastos'!$B$6:$B$205,$A205))</x:f>
      </x:c>
      <x:c r="E205" s="63" t="str">
        <x:f>IF($A205="","",SUMIFS('Histórico de Gastos'!$U$6:$U$205,'Histórico de Gastos'!$B$6:$B$205,$A205))</x:f>
      </x:c>
      <x:c r="F205" s="63" t="str">
        <x:f>IF($A205="","",SUMIFS('Histórico de Gastos'!$V$6:$V$205,'Histórico de Gastos'!$B$6:$B$205,$A205))</x:f>
      </x:c>
      <x:c r="G205" s="63" t="str">
        <x:f>IF($A205="","",$C205-$E205)</x:f>
      </x:c>
      <x:c r="H205" s="63" t="str">
        <x:f>IF($A205="","",$D205-$F205)</x:f>
      </x:c>
      <x:c r="I205" s="67" t="str">
        <x:f>IF($A205="","",IF(ABS($G205)&lt;0.01,"Tudo certo, ninguém deve nada",IF($G205&gt;0,"Camilly deve pagar para Pedro","Pedro deve pagar para Camilly")))</x:f>
      </x:c>
      <x:c r="J205" s="63" t="str">
        <x:f>IF($A205="","",ABS($G205))</x:f>
      </x:c>
      <x:c r="K205" s="67" t="str">
        <x:f>IF($A205="","",IF(ABS($G205)&lt;0.01,"-",IF($G205&gt;0,"Camilly Queiroz","Pedro Américo Paletot")))</x:f>
      </x:c>
      <x:c r="L205" s="67" t="str">
        <x:f>IF($A205="","",IF(ABS($G205)&lt;0.01,"-",IF($G205&gt;0,"Pedro Américo Paletot","Camilly Queiroz")))</x:f>
      </x:c>
      <x:c r="M205" s="36"/>
      <x:c r="N205" s="59"/>
      <x:c r="O205" s="36"/>
      <x:c r="P205" s="36"/>
    </x:row>
  </x:sheetData>
  <x:mergeCells>
    <x:mergeCell ref="A1:P1"/>
    <x:mergeCell ref="A2:P2"/>
    <x:mergeCell ref="A3:P3"/>
  </x:mergeCells>
  <x:conditionalFormatting sqref="I6:I205">
    <x:cfRule type="containsText" dxfId="9" priority="1" operator="containsText" text="deve pagar"/>
  </x:conditionalFormatting>
  <x:conditionalFormatting sqref="M6:M205">
    <x:cfRule type="containsText" dxfId="10" priority="2" operator="containsText" text="Concluído"/>
  </x:conditionalFormatting>
  <x:dataValidations count="3">
    <x:dataValidation type="list" sqref="A6:A205">
      <x:formula1>'Planejamento de Viagens'!$A$6:$A$205</x:formula1>
    </x:dataValidation>
    <x:dataValidation type="list" sqref="M6:M205">
      <x:formula1>'Base de Categorias'!$G$2:$G$10</x:formula1>
    </x:dataValidation>
    <x:dataValidation type="list" sqref="O6:O205">
      <x:formula1>'Base de Categorias'!$D$2:$D$20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1afe3ebf6c4bb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21.25" hidden="0" customWidth="1"/>
    <x:col min="3" max="3" width="3.5" hidden="0" customWidth="1"/>
    <x:col min="4" max="4" width="35" hidden="0" customWidth="1"/>
    <x:col min="5" max="5" width="21.25" hidden="0" customWidth="1"/>
    <x:col min="6" max="6" width="3.5" hidden="0" customWidth="1"/>
    <x:col min="7" max="7" width="3.5" hidden="0" customWidth="1"/>
    <x:col min="8" max="8" width="21.25" hidden="0" customWidth="1"/>
    <x:col min="9" max="9" width="17.5" hidden="0" customWidth="1"/>
    <x:col min="10" max="10" width="11.25" hidden="0" customWidth="1"/>
    <x:col min="11" max="11" width="11.25" hidden="0" customWidth="1"/>
    <x:col min="12" max="12" width="11.25" hidden="0" customWidth="1"/>
    <x:col min="13" max="13" width="11.25" hidden="0" customWidth="1"/>
    <x:col min="14" max="14" width="11.25" hidden="0" customWidth="1"/>
  </x:cols>
  <x:sheetData>
    <x:row r="1" ht="25.5" customHeight="1">
      <x:c r="A1" s="4" t="str">
        <x:v>Simulador de Viagem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1" customHeight="1">
      <x:c r="A2" s="9" t="str">
        <x:v>Preencha os campos em azul para estimar o custo total, divisão e necessidade de economia mensal.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5">
      <x:c r="A5" s="25" t="str">
        <x:v>Campo</x:v>
      </x:c>
      <x:c r="B5" s="25" t="str">
        <x:v>Valor</x:v>
      </x:c>
      <x:c r="D5" s="33" t="str">
        <x:v>Resultado</x:v>
      </x:c>
      <x:c r="E5" s="33"/>
      <x:c r="H5" s="14" t="str">
        <x:v>Componente</x:v>
      </x:c>
      <x:c r="I5" s="14"/>
    </x:row>
    <x:row r="6">
      <x:c r="A6" s="90" t="str">
        <x:v>Pessoa viajando</x:v>
      </x:c>
      <x:c r="B6" s="36" t="str">
        <x:v>Pedro Américo Paletot</x:v>
      </x:c>
      <x:c r="D6" s="90" t="str">
        <x:v>Custo total estimado</x:v>
      </x:c>
      <x:c r="E6" s="63" t="n">
        <x:f>SUM(B13,B14*MAX(B11-1,0),B15*B11,B16*B11,B17*B11,B18,B19,B20,B21)*(1+B22)</x:f>
        <x:v>5006.400000000001</x:v>
      </x:c>
      <x:c r="H6" s="19" t="str">
        <x:v>Passagem</x:v>
      </x:c>
      <x:c r="I6" s="55" t="n">
        <x:f>E8</x:f>
        <x:v>1250</x:v>
      </x:c>
    </x:row>
    <x:row r="7">
      <x:c r="A7" s="90" t="str">
        <x:v>Cidade de origem</x:v>
      </x:c>
      <x:c r="B7" s="36" t="str">
        <x:v>João Pessoa</x:v>
      </x:c>
      <x:c r="D7" s="90" t="str">
        <x:v>Custo por dia</x:v>
      </x:c>
      <x:c r="E7" s="63" t="n">
        <x:f>IFERROR(E6/B11,0)</x:f>
        <x:v>834.4000000000001</x:v>
      </x:c>
      <x:c r="H7" s="19" t="str">
        <x:v>Hospedagem</x:v>
      </x:c>
      <x:c r="I7" s="55" t="n">
        <x:f>E9</x:f>
        <x:v>1100</x:v>
      </x:c>
    </x:row>
    <x:row r="8">
      <x:c r="A8" s="90" t="str">
        <x:v>Cidade de destino</x:v>
      </x:c>
      <x:c r="B8" s="36" t="str">
        <x:v>Cuiabá</x:v>
      </x:c>
      <x:c r="D8" s="90" t="str">
        <x:v>Custo da passagem</x:v>
      </x:c>
      <x:c r="E8" s="63" t="n">
        <x:f>B13</x:f>
        <x:v>1250</x:v>
      </x:c>
      <x:c r="H8" s="19" t="str">
        <x:v>Alimentação</x:v>
      </x:c>
      <x:c r="I8" s="55" t="n">
        <x:f>E10</x:f>
        <x:v>570</x:v>
      </x:c>
    </x:row>
    <x:row r="9">
      <x:c r="A9" s="90" t="str">
        <x:v>Data de ida</x:v>
      </x:c>
      <x:c r="B9" s="59" t="n">
        <x:v>46305</x:v>
      </x:c>
      <x:c r="D9" s="90" t="str">
        <x:v>Custo total de hospedagem</x:v>
      </x:c>
      <x:c r="E9" s="63" t="n">
        <x:f>B14*MAX(B11-1,0)</x:f>
        <x:v>1100</x:v>
      </x:c>
      <x:c r="H9" s="19" t="str">
        <x:v>Transporte local</x:v>
      </x:c>
      <x:c r="I9" s="55" t="n">
        <x:f>E11</x:f>
        <x:v>270</x:v>
      </x:c>
    </x:row>
    <x:row r="10">
      <x:c r="A10" s="90" t="str">
        <x:v>Data de volta</x:v>
      </x:c>
      <x:c r="B10" s="59" t="n">
        <x:v>46310</x:v>
      </x:c>
      <x:c r="D10" s="90" t="str">
        <x:v>Custo total de alimentação</x:v>
      </x:c>
      <x:c r="E10" s="63" t="n">
        <x:f>B15*B11</x:f>
        <x:v>570</x:v>
      </x:c>
      <x:c r="H10" s="19" t="str">
        <x:v>Lazer</x:v>
      </x:c>
      <x:c r="I10" s="55" t="n">
        <x:f>E12</x:f>
        <x:v>420</x:v>
      </x:c>
    </x:row>
    <x:row r="11">
      <x:c r="A11" s="90" t="str">
        <x:v>Quantidade de dias</x:v>
      </x:c>
      <x:c r="B11" s="91" t="n">
        <x:v>6</x:v>
      </x:c>
      <x:c r="D11" s="90" t="str">
        <x:v>Custo total de transporte local</x:v>
      </x:c>
      <x:c r="E11" s="63" t="n">
        <x:f>B16*B11</x:f>
        <x:v>270</x:v>
      </x:c>
      <x:c r="H11" s="19" t="str">
        <x:v>Imprevistos</x:v>
      </x:c>
      <x:c r="I11" s="55" t="n">
        <x:f>E13</x:f>
        <x:v>836.4</x:v>
      </x:c>
    </x:row>
    <x:row r="12">
      <x:c r="A12" s="90" t="str">
        <x:v>Tipo de hospedagem</x:v>
      </x:c>
      <x:c r="B12" s="36" t="str">
        <x:v>Airbnb</x:v>
      </x:c>
      <x:c r="D12" s="90" t="str">
        <x:v>Custo total de lazer</x:v>
      </x:c>
      <x:c r="E12" s="63" t="n">
        <x:f>B17*B11</x:f>
        <x:v>420</x:v>
      </x:c>
    </x:row>
    <x:row r="13">
      <x:c r="A13" s="90" t="str">
        <x:v>Valor estimado da passagem</x:v>
      </x:c>
      <x:c r="B13" s="37" t="n">
        <x:v>1250</x:v>
      </x:c>
      <x:c r="D13" s="90" t="str">
        <x:v>Custo total de imprevistos</x:v>
      </x:c>
      <x:c r="E13" s="63" t="n">
        <x:f>B21+(SUM(B13,B14*MAX(B11-1,0),B15*B11,B16*B11,B17*B11,B18,B19,B20,B21)*B22)</x:f>
        <x:v>836.4</x:v>
      </x:c>
    </x:row>
    <x:row r="14">
      <x:c r="A14" s="90" t="str">
        <x:v>Valor estimado de hospedagem por noite</x:v>
      </x:c>
      <x:c r="B14" s="37" t="n">
        <x:v>220</x:v>
      </x:c>
      <x:c r="D14" s="90" t="str">
        <x:v>Custo para Pedro</x:v>
      </x:c>
      <x:c r="E14" s="63" t="n">
        <x:f>E6*B23</x:f>
        <x:v>2503.2000000000003</x:v>
      </x:c>
    </x:row>
    <x:row r="15">
      <x:c r="A15" s="90" t="str">
        <x:v>Valor médio de alimentação por dia</x:v>
      </x:c>
      <x:c r="B15" s="37" t="n">
        <x:v>95</x:v>
      </x:c>
      <x:c r="D15" s="90" t="str">
        <x:v>Custo para Camilly</x:v>
      </x:c>
      <x:c r="E15" s="63" t="n">
        <x:f>E6*B24</x:f>
        <x:v>2503.2000000000003</x:v>
      </x:c>
    </x:row>
    <x:row r="16">
      <x:c r="A16" s="90" t="str">
        <x:v>Valor médio de transporte local por dia</x:v>
      </x:c>
      <x:c r="B16" s="37" t="n">
        <x:v>45</x:v>
      </x:c>
      <x:c r="D16" s="90" t="str">
        <x:v>Valor recomendado para economizar por mês</x:v>
      </x:c>
      <x:c r="E16" s="63" t="n">
        <x:f>IFERROR(MAX(E6-B26,0)/MAX(B25,1),0)</x:f>
        <x:v>1026.6000000000001</x:v>
      </x:c>
    </x:row>
    <x:row r="17">
      <x:c r="A17" s="90" t="str">
        <x:v>Valor médio de lazer por dia</x:v>
      </x:c>
      <x:c r="B17" s="37" t="n">
        <x:v>70</x:v>
      </x:c>
      <x:c r="D17" s="90" t="str">
        <x:v>Comparação com orçamento mensal</x:v>
      </x:c>
      <x:c r="E17" s="65" t="n">
        <x:f>IFERROR(E16/'Configurações'!$B$12,0)</x:f>
        <x:v>0.25665000000000004</x:v>
      </x:c>
    </x:row>
    <x:row r="18">
      <x:c r="A18" s="90" t="str">
        <x:v>Valor de presentes/mimos</x:v>
      </x:c>
      <x:c r="B18" s="37" t="n">
        <x:v>180</x:v>
      </x:c>
      <x:c r="D18" s="90" t="str">
        <x:v>Viabilidade financeira</x:v>
      </x:c>
      <x:c r="E18" s="67" t="str">
        <x:f>IF(E17=0,"Viável",IF(E17&lt;=0.25,"Viável",IF(E17&lt;=0.4,"Atenção","Risco alto")))</x:f>
        <x:v>Atenção</x:v>
      </x:c>
    </x:row>
    <x:row r="19">
      <x:c r="A19" s="90" t="str">
        <x:v>Valor de beleza/autocuidado</x:v>
      </x:c>
      <x:c r="B19" s="37" t="n">
        <x:v>120</x:v>
      </x:c>
      <x:c r="D19" s="90" t="str">
        <x:v>Alerta de risco financeiro</x:v>
      </x:c>
      <x:c r="E19" s="67" t="str">
        <x:f>IF(E18="Risco alto","Reduza passagem, hospedagem ou lazer antes de confirmar.",IF(E18="Atenção","Cabe no orçamento, mas exige disciplina.","Plano confortável para a meta atual."))</x:f>
        <x:v>Cabe no orçamento, mas exige disciplina.</x:v>
      </x:c>
    </x:row>
    <x:row r="20">
      <x:c r="A20" s="90" t="str">
        <x:v>Valor de mercado/casa</x:v>
      </x:c>
      <x:c r="B20" s="37" t="n">
        <x:v>260</x:v>
      </x:c>
      <x:c r="D20" s="90" t="str">
        <x:v>Sugestão de redução de custo</x:v>
      </x:c>
      <x:c r="E20" s="67" t="str">
        <x:f>IF(E18="Risco alto","Priorize hospedagem mais barata e passagem com antecedência.","Manter margem de segurança e revisar preços semanalmente.")</x:f>
        <x:v>Manter margem de segurança e revisar preços semanalmente.</x:v>
      </x:c>
    </x:row>
    <x:row r="21">
      <x:c r="A21" s="90" t="str">
        <x:v>Valor para emergências</x:v>
      </x:c>
      <x:c r="B21" s="37" t="n">
        <x:v>300</x:v>
      </x:c>
      <x:c r="D21" s="90" t="str">
        <x:v>Valor mínimo recomendado com emergência</x:v>
      </x:c>
      <x:c r="E21" s="63" t="n">
        <x:f>SUM(B13,B14*MAX(B11-1,0),B15*B11,B16*B11,B17*B11,B18,B19,B20,B21)</x:f>
        <x:v>4470</x:v>
      </x:c>
    </x:row>
    <x:row r="22">
      <x:c r="A22" s="90" t="str">
        <x:v>Margem de segurança %</x:v>
      </x:c>
      <x:c r="B22" s="38" t="n">
        <x:v>0.12</x:v>
      </x:c>
      <x:c r="D22" s="90" t="str">
        <x:v>Valor ideal recomendado</x:v>
      </x:c>
      <x:c r="E22" s="63" t="n">
        <x:f>E6</x:f>
        <x:v>5006.400000000001</x:v>
      </x:c>
    </x:row>
    <x:row r="23">
      <x:c r="A23" s="90" t="str">
        <x:v>Divisão Pedro %</x:v>
      </x:c>
      <x:c r="B23" s="38" t="n">
        <x:v>0.5</x:v>
      </x:c>
    </x:row>
    <x:row r="24">
      <x:c r="A24" s="90" t="str">
        <x:v>Divisão Camilly %</x:v>
      </x:c>
      <x:c r="B24" s="38" t="n">
        <x:v>0.5</x:v>
      </x:c>
    </x:row>
    <x:row r="25">
      <x:c r="A25" s="90" t="str">
        <x:v>Meses até a viagem</x:v>
      </x:c>
      <x:c r="B25" s="91" t="n">
        <x:v>4</x:v>
      </x:c>
    </x:row>
    <x:row r="26">
      <x:c r="A26" s="90" t="str">
        <x:v>Economia atual disponível</x:v>
      </x:c>
      <x:c r="B26" s="37" t="n">
        <x:v>900</x:v>
      </x:c>
    </x:row>
  </x:sheetData>
  <x:mergeCells>
    <x:mergeCell ref="A1:N1"/>
    <x:mergeCell ref="A2:N2"/>
  </x:mergeCells>
  <x:dataValidations count="3">
    <x:dataValidation type="list" sqref="B6">
      <x:formula1>'Base de Categorias'!$A$2:$A$4</x:formula1>
    </x:dataValidation>
    <x:dataValidation type="list" sqref="B7:B8">
      <x:formula1>'Base de Categorias'!$O$2:$O$30</x:formula1>
    </x:dataValidation>
    <x:dataValidation type="list" sqref="B12">
      <x:formula1>'Base de Categorias'!$J$2:$J$12</x:formula1>
    </x:dataValidation>
  </x:dataValidations>
  <x:pageMargins left="0.7" right="0.7" top="0.75" bottom="0.75" header="0.3" footer="0.3"/>
  <x:drawing xmlns:r="http://schemas.openxmlformats.org/officeDocument/2006/relationships" r:id="R51ea3ced72394345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30" hidden="0" customWidth="1"/>
    <x:col min="3" max="3" width="16.25" hidden="0" customWidth="1"/>
    <x:col min="4" max="4" width="22.5" hidden="0" customWidth="1"/>
    <x:col min="5" max="5" width="13.75" hidden="0" customWidth="1"/>
    <x:col min="6" max="6" width="16.25" hidden="0" customWidth="1"/>
    <x:col min="7" max="7" width="13.75" hidden="0" customWidth="1"/>
    <x:col min="8" max="8" width="13.75" hidden="0" customWidth="1"/>
    <x:col min="9" max="9" width="30" hidden="0" customWidth="1"/>
  </x:cols>
  <x:sheetData>
    <x:row r="1" ht="25.5" customHeight="1">
      <x:c r="A1" s="4" t="str">
        <x:v>Checklist de Viagem</x:v>
      </x:c>
      <x:c r="B1" s="4"/>
      <x:c r="C1" s="4"/>
      <x:c r="D1" s="4"/>
      <x:c r="E1" s="4"/>
      <x:c r="F1" s="4"/>
      <x:c r="G1" s="4"/>
      <x:c r="H1" s="4"/>
      <x:c r="I1" s="4"/>
    </x:row>
    <x:row r="2" ht="21" customHeight="1">
      <x:c r="A2" s="9" t="str">
        <x:v>Acompanhe tarefas críticas para cada visita, com prazos e prioridade.</x:v>
      </x:c>
      <x:c r="B2" s="9"/>
      <x:c r="C2" s="9"/>
      <x:c r="D2" s="9"/>
      <x:c r="E2" s="9"/>
      <x:c r="F2" s="9"/>
      <x:c r="G2" s="9"/>
      <x:c r="H2" s="9"/>
      <x:c r="I2" s="9"/>
    </x:row>
    <x:row r="3" ht="22.5" customHeight="1">
      <x:c r="A3" s="47" t="str">
        <x:v>Células em azul são preenchidas manualmente. Células em cinza são calculadas automaticamente.</x:v>
      </x:c>
      <x:c r="B3" s="48"/>
      <x:c r="C3" s="48"/>
      <x:c r="D3" s="48"/>
      <x:c r="E3" s="48"/>
      <x:c r="F3" s="48"/>
      <x:c r="G3" s="48"/>
      <x:c r="H3" s="48"/>
      <x:c r="I3" s="49"/>
    </x:row>
    <x:row r="5">
      <x:c r="A5" s="25" t="str">
        <x:v>ID da viagem</x:v>
      </x:c>
      <x:c r="B5" s="25" t="str">
        <x:v>Item</x:v>
      </x:c>
      <x:c r="C5" s="25" t="str">
        <x:v>Categoria</x:v>
      </x:c>
      <x:c r="D5" s="25" t="str">
        <x:v>Responsável</x:v>
      </x:c>
      <x:c r="E5" s="25" t="str">
        <x:v>Prazo</x:v>
      </x:c>
      <x:c r="F5" s="25" t="str">
        <x:v>Status</x:v>
      </x:c>
      <x:c r="G5" s="25" t="str">
        <x:v>Prioridade</x:v>
      </x:c>
      <x:c r="H5" s="25" t="str">
        <x:v>Concluído?</x:v>
      </x:c>
      <x:c r="I5" s="25" t="str">
        <x:v>Observações</x:v>
      </x:c>
    </x:row>
    <x:row r="6">
      <x:c r="A6" s="19" t="str">
        <x:v>V001</x:v>
      </x:c>
      <x:c r="B6" s="19" t="str">
        <x:v>Confirmar datas</x:v>
      </x:c>
      <x:c r="C6" s="19" t="str">
        <x:v>Planejamento</x:v>
      </x:c>
      <x:c r="D6" s="19" t="str">
        <x:v>Camilly Queiroz</x:v>
      </x:c>
      <x:c r="E6" s="53" t="n">
        <x:v>46183</x:v>
      </x:c>
      <x:c r="F6" s="19" t="str">
        <x:v>Concluído</x:v>
      </x:c>
      <x:c r="G6" s="19" t="str">
        <x:v>Alta</x:v>
      </x:c>
      <x:c r="H6" s="19" t="str">
        <x:v>Sim</x:v>
      </x:c>
      <x:c r="I6" s="19" t="str"/>
    </x:row>
    <x:row r="7">
      <x:c r="A7" s="19" t="str">
        <x:v>V001</x:v>
      </x:c>
      <x:c r="B7" s="19" t="str">
        <x:v>Comprar passagem</x:v>
      </x:c>
      <x:c r="C7" s="19" t="str">
        <x:v>Transporte</x:v>
      </x:c>
      <x:c r="D7" s="19" t="str">
        <x:v>Camilly Queiroz</x:v>
      </x:c>
      <x:c r="E7" s="53" t="n">
        <x:v>46193</x:v>
      </x:c>
      <x:c r="F7" s="19" t="str">
        <x:v>Em andamento</x:v>
      </x:c>
      <x:c r="G7" s="19" t="str">
        <x:v>Alta</x:v>
      </x:c>
      <x:c r="H7" s="19" t="str">
        <x:v>Não</x:v>
      </x:c>
      <x:c r="I7" s="19" t="str"/>
    </x:row>
    <x:row r="8">
      <x:c r="A8" s="19" t="str">
        <x:v>V001</x:v>
      </x:c>
      <x:c r="B8" s="19" t="str">
        <x:v>Reservar hospedagem</x:v>
      </x:c>
      <x:c r="C8" s="19" t="str">
        <x:v>Hospedagem</x:v>
      </x:c>
      <x:c r="D8" s="19" t="str">
        <x:v>Pedro Américo Paletot</x:v>
      </x:c>
      <x:c r="E8" s="53" t="n">
        <x:v>46198</x:v>
      </x:c>
      <x:c r="F8" s="19" t="str">
        <x:v>Pendente</x:v>
      </x:c>
      <x:c r="G8" s="19" t="str">
        <x:v>Alta</x:v>
      </x:c>
      <x:c r="H8" s="19" t="str">
        <x:v>Não</x:v>
      </x:c>
      <x:c r="I8" s="19" t="str"/>
    </x:row>
    <x:row r="9">
      <x:c r="A9" s="19" t="str">
        <x:v>V001</x:v>
      </x:c>
      <x:c r="B9" s="19" t="str">
        <x:v>Planejar roteiro</x:v>
      </x:c>
      <x:c r="C9" s="19" t="str">
        <x:v>Roteiro</x:v>
      </x:c>
      <x:c r="D9" s="19" t="str">
        <x:v>Ambos</x:v>
      </x:c>
      <x:c r="E9" s="53" t="n">
        <x:v>46206</x:v>
      </x:c>
      <x:c r="F9" s="19" t="str">
        <x:v>Pendente</x:v>
      </x:c>
      <x:c r="G9" s="19" t="str">
        <x:v>Média</x:v>
      </x:c>
      <x:c r="H9" s="19" t="str">
        <x:v>Não</x:v>
      </x:c>
      <x:c r="I9" s="19" t="str"/>
    </x:row>
    <x:row r="10">
      <x:c r="A10" s="19" t="str">
        <x:v>V001</x:v>
      </x:c>
      <x:c r="B10" s="19" t="str">
        <x:v>Separar remédios</x:v>
      </x:c>
      <x:c r="C10" s="19" t="str">
        <x:v>Saúde</x:v>
      </x:c>
      <x:c r="D10" s="19" t="str">
        <x:v>Camilly Queiroz</x:v>
      </x:c>
      <x:c r="E10" s="53" t="n">
        <x:v>46211</x:v>
      </x:c>
      <x:c r="F10" s="19" t="str">
        <x:v>Pendente</x:v>
      </x:c>
      <x:c r="G10" s="19" t="str">
        <x:v>Média</x:v>
      </x:c>
      <x:c r="H10" s="19" t="str">
        <x:v>Não</x:v>
      </x:c>
      <x:c r="I10" s="19" t="str"/>
    </x:row>
    <x:row r="11">
      <x:c r="A11" s="19" t="str">
        <x:v>V002</x:v>
      </x:c>
      <x:c r="B11" s="19" t="str">
        <x:v>Confirmar datas</x:v>
      </x:c>
      <x:c r="C11" s="19" t="str">
        <x:v>Planejamento</x:v>
      </x:c>
      <x:c r="D11" s="19" t="str">
        <x:v>Pedro Américo Paletot</x:v>
      </x:c>
      <x:c r="E11" s="53" t="n">
        <x:v>46204</x:v>
      </x:c>
      <x:c r="F11" s="19" t="str">
        <x:v>Concluído</x:v>
      </x:c>
      <x:c r="G11" s="19" t="str">
        <x:v>Alta</x:v>
      </x:c>
      <x:c r="H11" s="19" t="str">
        <x:v>Sim</x:v>
      </x:c>
      <x:c r="I11" s="19" t="str"/>
    </x:row>
    <x:row r="12">
      <x:c r="A12" s="19" t="str">
        <x:v>V002</x:v>
      </x:c>
      <x:c r="B12" s="19" t="str">
        <x:v>Comprar passagem</x:v>
      </x:c>
      <x:c r="C12" s="19" t="str">
        <x:v>Transporte</x:v>
      </x:c>
      <x:c r="D12" s="19" t="str">
        <x:v>Pedro Américo Paletot</x:v>
      </x:c>
      <x:c r="E12" s="53" t="n">
        <x:v>46217</x:v>
      </x:c>
      <x:c r="F12" s="19" t="str">
        <x:v>Pendente</x:v>
      </x:c>
      <x:c r="G12" s="19" t="str">
        <x:v>Alta</x:v>
      </x:c>
      <x:c r="H12" s="19" t="str">
        <x:v>Não</x:v>
      </x:c>
      <x:c r="I12" s="19" t="str"/>
    </x:row>
    <x:row r="13">
      <x:c r="A13" s="19" t="str">
        <x:v>V002</x:v>
      </x:c>
      <x:c r="B13" s="19" t="str">
        <x:v>Fazer check-in</x:v>
      </x:c>
      <x:c r="C13" s="19" t="str">
        <x:v>Transporte</x:v>
      </x:c>
      <x:c r="D13" s="19" t="str">
        <x:v>Pedro Américo Paletot</x:v>
      </x:c>
      <x:c r="E13" s="53" t="n">
        <x:v>46254</x:v>
      </x:c>
      <x:c r="F13" s="19" t="str">
        <x:v>Pendente</x:v>
      </x:c>
      <x:c r="G13" s="19" t="str">
        <x:v>Alta</x:v>
      </x:c>
      <x:c r="H13" s="19" t="str">
        <x:v>Não</x:v>
      </x:c>
      <x:c r="I13" s="19" t="str"/>
    </x:row>
    <x:row r="14">
      <x:c r="A14" s="19" t="str">
        <x:v>V002</x:v>
      </x:c>
      <x:c r="B14" s="19" t="str">
        <x:v>Reservar restaurantes</x:v>
      </x:c>
      <x:c r="C14" s="19" t="str">
        <x:v>Lazer</x:v>
      </x:c>
      <x:c r="D14" s="19" t="str">
        <x:v>Camilly Queiroz</x:v>
      </x:c>
      <x:c r="E14" s="53" t="n">
        <x:v>46244</x:v>
      </x:c>
      <x:c r="F14" s="19" t="str">
        <x:v>Pendente</x:v>
      </x:c>
      <x:c r="G14" s="19" t="str">
        <x:v>Média</x:v>
      </x:c>
      <x:c r="H14" s="19" t="str">
        <x:v>Não</x:v>
      </x:c>
      <x:c r="I14" s="19" t="str"/>
    </x:row>
    <x:row r="15">
      <x:c r="A15" s="19" t="str">
        <x:v>V002</x:v>
      </x:c>
      <x:c r="B15" s="19" t="str">
        <x:v>Revisar orçamento final</x:v>
      </x:c>
      <x:c r="C15" s="19" t="str">
        <x:v>Finanças</x:v>
      </x:c>
      <x:c r="D15" s="19" t="str">
        <x:v>Ambos</x:v>
      </x:c>
      <x:c r="E15" s="53" t="n">
        <x:v>46249</x:v>
      </x:c>
      <x:c r="F15" s="19" t="str">
        <x:v>Pendente</x:v>
      </x:c>
      <x:c r="G15" s="19" t="str">
        <x:v>Alta</x:v>
      </x:c>
      <x:c r="H15" s="19" t="str">
        <x:v>Não</x:v>
      </x:c>
      <x:c r="I15" s="19" t="str"/>
    </x:row>
    <x:row r="16">
      <x:c r="A16" s="19" t="str">
        <x:v>V003</x:v>
      </x:c>
      <x:c r="B16" s="19" t="str">
        <x:v>Comprar passagem</x:v>
      </x:c>
      <x:c r="C16" s="19" t="str">
        <x:v>Transporte</x:v>
      </x:c>
      <x:c r="D16" s="19" t="str">
        <x:v>Pedro Américo Paletot</x:v>
      </x:c>
      <x:c r="E16" s="53" t="n">
        <x:v>46132</x:v>
      </x:c>
      <x:c r="F16" s="19" t="str">
        <x:v>Concluído</x:v>
      </x:c>
      <x:c r="G16" s="19" t="str">
        <x:v>Alta</x:v>
      </x:c>
      <x:c r="H16" s="19" t="str">
        <x:v>Sim</x:v>
      </x:c>
      <x:c r="I16" s="19" t="str"/>
    </x:row>
    <x:row r="17">
      <x:c r="A17" s="19" t="str">
        <x:v>V003</x:v>
      </x:c>
      <x:c r="B17" s="19" t="str">
        <x:v>Reservar hospedagem</x:v>
      </x:c>
      <x:c r="C17" s="19" t="str">
        <x:v>Hospedagem</x:v>
      </x:c>
      <x:c r="D17" s="19" t="str">
        <x:v>Camilly Queiroz</x:v>
      </x:c>
      <x:c r="E17" s="53" t="n">
        <x:v>46137</x:v>
      </x:c>
      <x:c r="F17" s="19" t="str">
        <x:v>Concluído</x:v>
      </x:c>
      <x:c r="G17" s="19" t="str">
        <x:v>Alta</x:v>
      </x:c>
      <x:c r="H17" s="19" t="str">
        <x:v>Sim</x:v>
      </x:c>
      <x:c r="I17" s="19" t="str"/>
    </x:row>
    <x:row r="18">
      <x:c r="A18" s="19" t="str">
        <x:v>V003</x:v>
      </x:c>
      <x:c r="B18" s="19" t="str">
        <x:v>Salvar comprovantes</x:v>
      </x:c>
      <x:c r="C18" s="19" t="str">
        <x:v>Finanças</x:v>
      </x:c>
      <x:c r="D18" s="19" t="str">
        <x:v>Ambos</x:v>
      </x:c>
      <x:c r="E18" s="53" t="n">
        <x:v>46160</x:v>
      </x:c>
      <x:c r="F18" s="19" t="str">
        <x:v>Concluído</x:v>
      </x:c>
      <x:c r="G18" s="19" t="str">
        <x:v>Média</x:v>
      </x:c>
      <x:c r="H18" s="19" t="str">
        <x:v>Sim</x:v>
      </x:c>
      <x:c r="I18" s="19" t="str"/>
    </x:row>
    <x:row r="19">
      <x:c r="A19" s="19"/>
      <x:c r="B19" s="19"/>
      <x:c r="C19" s="19"/>
      <x:c r="D19" s="19"/>
      <x:c r="E19" s="53"/>
      <x:c r="F19" s="19"/>
      <x:c r="G19" s="19"/>
      <x:c r="H19" s="19"/>
      <x:c r="I19" s="19"/>
    </x:row>
    <x:row r="20">
      <x:c r="A20" s="19"/>
      <x:c r="B20" s="19"/>
      <x:c r="C20" s="19"/>
      <x:c r="D20" s="19"/>
      <x:c r="E20" s="53"/>
      <x:c r="F20" s="19"/>
      <x:c r="G20" s="19"/>
      <x:c r="H20" s="19"/>
      <x:c r="I20" s="19"/>
    </x:row>
    <x:row r="21">
      <x:c r="A21" s="19"/>
      <x:c r="B21" s="19"/>
      <x:c r="C21" s="19"/>
      <x:c r="D21" s="19"/>
      <x:c r="E21" s="53"/>
      <x:c r="F21" s="19"/>
      <x:c r="G21" s="19"/>
      <x:c r="H21" s="19"/>
      <x:c r="I21" s="19"/>
    </x:row>
    <x:row r="22">
      <x:c r="A22" s="19"/>
      <x:c r="B22" s="19"/>
      <x:c r="C22" s="19"/>
      <x:c r="D22" s="19"/>
      <x:c r="E22" s="53"/>
      <x:c r="F22" s="19"/>
      <x:c r="G22" s="19"/>
      <x:c r="H22" s="19"/>
      <x:c r="I22" s="19"/>
    </x:row>
    <x:row r="23">
      <x:c r="A23" s="19"/>
      <x:c r="B23" s="19"/>
      <x:c r="C23" s="19"/>
      <x:c r="D23" s="19"/>
      <x:c r="E23" s="53"/>
      <x:c r="F23" s="19"/>
      <x:c r="G23" s="19"/>
      <x:c r="H23" s="19"/>
      <x:c r="I23" s="19"/>
    </x:row>
    <x:row r="24">
      <x:c r="A24" s="19"/>
      <x:c r="B24" s="19"/>
      <x:c r="C24" s="19"/>
      <x:c r="D24" s="19"/>
      <x:c r="E24" s="53"/>
      <x:c r="F24" s="19"/>
      <x:c r="G24" s="19"/>
      <x:c r="H24" s="19"/>
      <x:c r="I24" s="19"/>
    </x:row>
    <x:row r="25">
      <x:c r="A25" s="19"/>
      <x:c r="B25" s="19"/>
      <x:c r="C25" s="19"/>
      <x:c r="D25" s="19"/>
      <x:c r="E25" s="53"/>
      <x:c r="F25" s="19"/>
      <x:c r="G25" s="19"/>
      <x:c r="H25" s="19"/>
      <x:c r="I25" s="19"/>
    </x:row>
    <x:row r="26">
      <x:c r="A26" s="19"/>
      <x:c r="B26" s="19"/>
      <x:c r="C26" s="19"/>
      <x:c r="D26" s="19"/>
      <x:c r="E26" s="53"/>
      <x:c r="F26" s="19"/>
      <x:c r="G26" s="19"/>
      <x:c r="H26" s="19"/>
      <x:c r="I26" s="19"/>
    </x:row>
    <x:row r="27">
      <x:c r="A27" s="19"/>
      <x:c r="B27" s="19"/>
      <x:c r="C27" s="19"/>
      <x:c r="D27" s="19"/>
      <x:c r="E27" s="53"/>
      <x:c r="F27" s="19"/>
      <x:c r="G27" s="19"/>
      <x:c r="H27" s="19"/>
      <x:c r="I27" s="19"/>
    </x:row>
    <x:row r="28">
      <x:c r="A28" s="19"/>
      <x:c r="B28" s="19"/>
      <x:c r="C28" s="19"/>
      <x:c r="D28" s="19"/>
      <x:c r="E28" s="53"/>
      <x:c r="F28" s="19"/>
      <x:c r="G28" s="19"/>
      <x:c r="H28" s="19"/>
      <x:c r="I28" s="19"/>
    </x:row>
    <x:row r="29">
      <x:c r="A29" s="19"/>
      <x:c r="B29" s="19"/>
      <x:c r="C29" s="19"/>
      <x:c r="D29" s="19"/>
      <x:c r="E29" s="53"/>
      <x:c r="F29" s="19"/>
      <x:c r="G29" s="19"/>
      <x:c r="H29" s="19"/>
      <x:c r="I29" s="19"/>
    </x:row>
    <x:row r="30">
      <x:c r="A30" s="19"/>
      <x:c r="B30" s="19"/>
      <x:c r="C30" s="19"/>
      <x:c r="D30" s="19"/>
      <x:c r="E30" s="53"/>
      <x:c r="F30" s="19"/>
      <x:c r="G30" s="19"/>
      <x:c r="H30" s="19"/>
      <x:c r="I30" s="19"/>
    </x:row>
    <x:row r="31">
      <x:c r="A31" s="19"/>
      <x:c r="B31" s="19"/>
      <x:c r="C31" s="19"/>
      <x:c r="D31" s="19"/>
      <x:c r="E31" s="53"/>
      <x:c r="F31" s="19"/>
      <x:c r="G31" s="19"/>
      <x:c r="H31" s="19"/>
      <x:c r="I31" s="19"/>
    </x:row>
    <x:row r="32">
      <x:c r="A32" s="19"/>
      <x:c r="B32" s="19"/>
      <x:c r="C32" s="19"/>
      <x:c r="D32" s="19"/>
      <x:c r="E32" s="53"/>
      <x:c r="F32" s="19"/>
      <x:c r="G32" s="19"/>
      <x:c r="H32" s="19"/>
      <x:c r="I32" s="19"/>
    </x:row>
    <x:row r="33">
      <x:c r="A33" s="19"/>
      <x:c r="B33" s="19"/>
      <x:c r="C33" s="19"/>
      <x:c r="D33" s="19"/>
      <x:c r="E33" s="53"/>
      <x:c r="F33" s="19"/>
      <x:c r="G33" s="19"/>
      <x:c r="H33" s="19"/>
      <x:c r="I33" s="19"/>
    </x:row>
    <x:row r="34">
      <x:c r="A34" s="19"/>
      <x:c r="B34" s="19"/>
      <x:c r="C34" s="19"/>
      <x:c r="D34" s="19"/>
      <x:c r="E34" s="53"/>
      <x:c r="F34" s="19"/>
      <x:c r="G34" s="19"/>
      <x:c r="H34" s="19"/>
      <x:c r="I34" s="19"/>
    </x:row>
    <x:row r="35">
      <x:c r="A35" s="19"/>
      <x:c r="B35" s="19"/>
      <x:c r="C35" s="19"/>
      <x:c r="D35" s="19"/>
      <x:c r="E35" s="53"/>
      <x:c r="F35" s="19"/>
      <x:c r="G35" s="19"/>
      <x:c r="H35" s="19"/>
      <x:c r="I35" s="19"/>
    </x:row>
    <x:row r="36">
      <x:c r="A36" s="19"/>
      <x:c r="B36" s="19"/>
      <x:c r="C36" s="19"/>
      <x:c r="D36" s="19"/>
      <x:c r="E36" s="53"/>
      <x:c r="F36" s="19"/>
      <x:c r="G36" s="19"/>
      <x:c r="H36" s="19"/>
      <x:c r="I36" s="19"/>
    </x:row>
    <x:row r="37">
      <x:c r="A37" s="19"/>
      <x:c r="B37" s="19"/>
      <x:c r="C37" s="19"/>
      <x:c r="D37" s="19"/>
      <x:c r="E37" s="53"/>
      <x:c r="F37" s="19"/>
      <x:c r="G37" s="19"/>
      <x:c r="H37" s="19"/>
      <x:c r="I37" s="19"/>
    </x:row>
    <x:row r="38">
      <x:c r="A38" s="19"/>
      <x:c r="B38" s="19"/>
      <x:c r="C38" s="19"/>
      <x:c r="D38" s="19"/>
      <x:c r="E38" s="53"/>
      <x:c r="F38" s="19"/>
      <x:c r="G38" s="19"/>
      <x:c r="H38" s="19"/>
      <x:c r="I38" s="19"/>
    </x:row>
    <x:row r="39">
      <x:c r="A39" s="19"/>
      <x:c r="B39" s="19"/>
      <x:c r="C39" s="19"/>
      <x:c r="D39" s="19"/>
      <x:c r="E39" s="53"/>
      <x:c r="F39" s="19"/>
      <x:c r="G39" s="19"/>
      <x:c r="H39" s="19"/>
      <x:c r="I39" s="19"/>
    </x:row>
    <x:row r="40">
      <x:c r="A40" s="19"/>
      <x:c r="B40" s="19"/>
      <x:c r="C40" s="19"/>
      <x:c r="D40" s="19"/>
      <x:c r="E40" s="53"/>
      <x:c r="F40" s="19"/>
      <x:c r="G40" s="19"/>
      <x:c r="H40" s="19"/>
      <x:c r="I40" s="19"/>
    </x:row>
    <x:row r="41">
      <x:c r="A41" s="19"/>
      <x:c r="B41" s="19"/>
      <x:c r="C41" s="19"/>
      <x:c r="D41" s="19"/>
      <x:c r="E41" s="53"/>
      <x:c r="F41" s="19"/>
      <x:c r="G41" s="19"/>
      <x:c r="H41" s="19"/>
      <x:c r="I41" s="19"/>
    </x:row>
    <x:row r="42">
      <x:c r="A42" s="19"/>
      <x:c r="B42" s="19"/>
      <x:c r="C42" s="19"/>
      <x:c r="D42" s="19"/>
      <x:c r="E42" s="53"/>
      <x:c r="F42" s="19"/>
      <x:c r="G42" s="19"/>
      <x:c r="H42" s="19"/>
      <x:c r="I42" s="19"/>
    </x:row>
    <x:row r="43">
      <x:c r="A43" s="19"/>
      <x:c r="B43" s="19"/>
      <x:c r="C43" s="19"/>
      <x:c r="D43" s="19"/>
      <x:c r="E43" s="53"/>
      <x:c r="F43" s="19"/>
      <x:c r="G43" s="19"/>
      <x:c r="H43" s="19"/>
      <x:c r="I43" s="19"/>
    </x:row>
    <x:row r="44">
      <x:c r="A44" s="19"/>
      <x:c r="B44" s="19"/>
      <x:c r="C44" s="19"/>
      <x:c r="D44" s="19"/>
      <x:c r="E44" s="53"/>
      <x:c r="F44" s="19"/>
      <x:c r="G44" s="19"/>
      <x:c r="H44" s="19"/>
      <x:c r="I44" s="19"/>
    </x:row>
    <x:row r="45">
      <x:c r="A45" s="19"/>
      <x:c r="B45" s="19"/>
      <x:c r="C45" s="19"/>
      <x:c r="D45" s="19"/>
      <x:c r="E45" s="53"/>
      <x:c r="F45" s="19"/>
      <x:c r="G45" s="19"/>
      <x:c r="H45" s="19"/>
      <x:c r="I45" s="19"/>
    </x:row>
    <x:row r="46">
      <x:c r="A46" s="19"/>
      <x:c r="B46" s="19"/>
      <x:c r="C46" s="19"/>
      <x:c r="D46" s="19"/>
      <x:c r="E46" s="53"/>
      <x:c r="F46" s="19"/>
      <x:c r="G46" s="19"/>
      <x:c r="H46" s="19"/>
      <x:c r="I46" s="19"/>
    </x:row>
    <x:row r="47">
      <x:c r="A47" s="19"/>
      <x:c r="B47" s="19"/>
      <x:c r="C47" s="19"/>
      <x:c r="D47" s="19"/>
      <x:c r="E47" s="53"/>
      <x:c r="F47" s="19"/>
      <x:c r="G47" s="19"/>
      <x:c r="H47" s="19"/>
      <x:c r="I47" s="19"/>
    </x:row>
    <x:row r="48">
      <x:c r="A48" s="19"/>
      <x:c r="B48" s="19"/>
      <x:c r="C48" s="19"/>
      <x:c r="D48" s="19"/>
      <x:c r="E48" s="53"/>
      <x:c r="F48" s="19"/>
      <x:c r="G48" s="19"/>
      <x:c r="H48" s="19"/>
      <x:c r="I48" s="19"/>
    </x:row>
    <x:row r="49">
      <x:c r="A49" s="19"/>
      <x:c r="B49" s="19"/>
      <x:c r="C49" s="19"/>
      <x:c r="D49" s="19"/>
      <x:c r="E49" s="53"/>
      <x:c r="F49" s="19"/>
      <x:c r="G49" s="19"/>
      <x:c r="H49" s="19"/>
      <x:c r="I49" s="19"/>
    </x:row>
    <x:row r="50">
      <x:c r="A50" s="19"/>
      <x:c r="B50" s="19"/>
      <x:c r="C50" s="19"/>
      <x:c r="D50" s="19"/>
      <x:c r="E50" s="53"/>
      <x:c r="F50" s="19"/>
      <x:c r="G50" s="19"/>
      <x:c r="H50" s="19"/>
      <x:c r="I50" s="19"/>
    </x:row>
    <x:row r="51">
      <x:c r="A51" s="19"/>
      <x:c r="B51" s="19"/>
      <x:c r="C51" s="19"/>
      <x:c r="D51" s="19"/>
      <x:c r="E51" s="53"/>
      <x:c r="F51" s="19"/>
      <x:c r="G51" s="19"/>
      <x:c r="H51" s="19"/>
      <x:c r="I51" s="19"/>
    </x:row>
    <x:row r="52">
      <x:c r="A52" s="19"/>
      <x:c r="B52" s="19"/>
      <x:c r="C52" s="19"/>
      <x:c r="D52" s="19"/>
      <x:c r="E52" s="53"/>
      <x:c r="F52" s="19"/>
      <x:c r="G52" s="19"/>
      <x:c r="H52" s="19"/>
      <x:c r="I52" s="19"/>
    </x:row>
    <x:row r="53">
      <x:c r="A53" s="19"/>
      <x:c r="B53" s="19"/>
      <x:c r="C53" s="19"/>
      <x:c r="D53" s="19"/>
      <x:c r="E53" s="53"/>
      <x:c r="F53" s="19"/>
      <x:c r="G53" s="19"/>
      <x:c r="H53" s="19"/>
      <x:c r="I53" s="19"/>
    </x:row>
    <x:row r="54">
      <x:c r="A54" s="19"/>
      <x:c r="B54" s="19"/>
      <x:c r="C54" s="19"/>
      <x:c r="D54" s="19"/>
      <x:c r="E54" s="53"/>
      <x:c r="F54" s="19"/>
      <x:c r="G54" s="19"/>
      <x:c r="H54" s="19"/>
      <x:c r="I54" s="19"/>
    </x:row>
    <x:row r="55">
      <x:c r="A55" s="19"/>
      <x:c r="B55" s="19"/>
      <x:c r="C55" s="19"/>
      <x:c r="D55" s="19"/>
      <x:c r="E55" s="53"/>
      <x:c r="F55" s="19"/>
      <x:c r="G55" s="19"/>
      <x:c r="H55" s="19"/>
      <x:c r="I55" s="19"/>
    </x:row>
    <x:row r="56">
      <x:c r="A56" s="19"/>
      <x:c r="B56" s="19"/>
      <x:c r="C56" s="19"/>
      <x:c r="D56" s="19"/>
      <x:c r="E56" s="53"/>
      <x:c r="F56" s="19"/>
      <x:c r="G56" s="19"/>
      <x:c r="H56" s="19"/>
      <x:c r="I56" s="19"/>
    </x:row>
    <x:row r="57">
      <x:c r="A57" s="19"/>
      <x:c r="B57" s="19"/>
      <x:c r="C57" s="19"/>
      <x:c r="D57" s="19"/>
      <x:c r="E57" s="53"/>
      <x:c r="F57" s="19"/>
      <x:c r="G57" s="19"/>
      <x:c r="H57" s="19"/>
      <x:c r="I57" s="19"/>
    </x:row>
    <x:row r="58">
      <x:c r="A58" s="19"/>
      <x:c r="B58" s="19"/>
      <x:c r="C58" s="19"/>
      <x:c r="D58" s="19"/>
      <x:c r="E58" s="53"/>
      <x:c r="F58" s="19"/>
      <x:c r="G58" s="19"/>
      <x:c r="H58" s="19"/>
      <x:c r="I58" s="19"/>
    </x:row>
    <x:row r="59">
      <x:c r="A59" s="19"/>
      <x:c r="B59" s="19"/>
      <x:c r="C59" s="19"/>
      <x:c r="D59" s="19"/>
      <x:c r="E59" s="53"/>
      <x:c r="F59" s="19"/>
      <x:c r="G59" s="19"/>
      <x:c r="H59" s="19"/>
      <x:c r="I59" s="19"/>
    </x:row>
    <x:row r="60">
      <x:c r="A60" s="19"/>
      <x:c r="B60" s="19"/>
      <x:c r="C60" s="19"/>
      <x:c r="D60" s="19"/>
      <x:c r="E60" s="53"/>
      <x:c r="F60" s="19"/>
      <x:c r="G60" s="19"/>
      <x:c r="H60" s="19"/>
      <x:c r="I60" s="19"/>
    </x:row>
    <x:row r="61">
      <x:c r="A61" s="19"/>
      <x:c r="B61" s="19"/>
      <x:c r="C61" s="19"/>
      <x:c r="D61" s="19"/>
      <x:c r="E61" s="53"/>
      <x:c r="F61" s="19"/>
      <x:c r="G61" s="19"/>
      <x:c r="H61" s="19"/>
      <x:c r="I61" s="19"/>
    </x:row>
    <x:row r="62">
      <x:c r="A62" s="19"/>
      <x:c r="B62" s="19"/>
      <x:c r="C62" s="19"/>
      <x:c r="D62" s="19"/>
      <x:c r="E62" s="53"/>
      <x:c r="F62" s="19"/>
      <x:c r="G62" s="19"/>
      <x:c r="H62" s="19"/>
      <x:c r="I62" s="19"/>
    </x:row>
    <x:row r="63">
      <x:c r="A63" s="19"/>
      <x:c r="B63" s="19"/>
      <x:c r="C63" s="19"/>
      <x:c r="D63" s="19"/>
      <x:c r="E63" s="53"/>
      <x:c r="F63" s="19"/>
      <x:c r="G63" s="19"/>
      <x:c r="H63" s="19"/>
      <x:c r="I63" s="19"/>
    </x:row>
    <x:row r="64">
      <x:c r="A64" s="19"/>
      <x:c r="B64" s="19"/>
      <x:c r="C64" s="19"/>
      <x:c r="D64" s="19"/>
      <x:c r="E64" s="53"/>
      <x:c r="F64" s="19"/>
      <x:c r="G64" s="19"/>
      <x:c r="H64" s="19"/>
      <x:c r="I64" s="19"/>
    </x:row>
    <x:row r="65">
      <x:c r="A65" s="19"/>
      <x:c r="B65" s="19"/>
      <x:c r="C65" s="19"/>
      <x:c r="D65" s="19"/>
      <x:c r="E65" s="53"/>
      <x:c r="F65" s="19"/>
      <x:c r="G65" s="19"/>
      <x:c r="H65" s="19"/>
      <x:c r="I65" s="19"/>
    </x:row>
    <x:row r="66">
      <x:c r="A66" s="19"/>
      <x:c r="B66" s="19"/>
      <x:c r="C66" s="19"/>
      <x:c r="D66" s="19"/>
      <x:c r="E66" s="53"/>
      <x:c r="F66" s="19"/>
      <x:c r="G66" s="19"/>
      <x:c r="H66" s="19"/>
      <x:c r="I66" s="19"/>
    </x:row>
    <x:row r="67">
      <x:c r="A67" s="19"/>
      <x:c r="B67" s="19"/>
      <x:c r="C67" s="19"/>
      <x:c r="D67" s="19"/>
      <x:c r="E67" s="53"/>
      <x:c r="F67" s="19"/>
      <x:c r="G67" s="19"/>
      <x:c r="H67" s="19"/>
      <x:c r="I67" s="19"/>
    </x:row>
    <x:row r="68">
      <x:c r="A68" s="19"/>
      <x:c r="B68" s="19"/>
      <x:c r="C68" s="19"/>
      <x:c r="D68" s="19"/>
      <x:c r="E68" s="53"/>
      <x:c r="F68" s="19"/>
      <x:c r="G68" s="19"/>
      <x:c r="H68" s="19"/>
      <x:c r="I68" s="19"/>
    </x:row>
    <x:row r="69">
      <x:c r="A69" s="19"/>
      <x:c r="B69" s="19"/>
      <x:c r="C69" s="19"/>
      <x:c r="D69" s="19"/>
      <x:c r="E69" s="53"/>
      <x:c r="F69" s="19"/>
      <x:c r="G69" s="19"/>
      <x:c r="H69" s="19"/>
      <x:c r="I69" s="19"/>
    </x:row>
    <x:row r="70">
      <x:c r="A70" s="19"/>
      <x:c r="B70" s="19"/>
      <x:c r="C70" s="19"/>
      <x:c r="D70" s="19"/>
      <x:c r="E70" s="53"/>
      <x:c r="F70" s="19"/>
      <x:c r="G70" s="19"/>
      <x:c r="H70" s="19"/>
      <x:c r="I70" s="19"/>
    </x:row>
    <x:row r="71">
      <x:c r="A71" s="19"/>
      <x:c r="B71" s="19"/>
      <x:c r="C71" s="19"/>
      <x:c r="D71" s="19"/>
      <x:c r="E71" s="53"/>
      <x:c r="F71" s="19"/>
      <x:c r="G71" s="19"/>
      <x:c r="H71" s="19"/>
      <x:c r="I71" s="19"/>
    </x:row>
    <x:row r="72">
      <x:c r="A72" s="19"/>
      <x:c r="B72" s="19"/>
      <x:c r="C72" s="19"/>
      <x:c r="D72" s="19"/>
      <x:c r="E72" s="53"/>
      <x:c r="F72" s="19"/>
      <x:c r="G72" s="19"/>
      <x:c r="H72" s="19"/>
      <x:c r="I72" s="19"/>
    </x:row>
    <x:row r="73">
      <x:c r="A73" s="19"/>
      <x:c r="B73" s="19"/>
      <x:c r="C73" s="19"/>
      <x:c r="D73" s="19"/>
      <x:c r="E73" s="53"/>
      <x:c r="F73" s="19"/>
      <x:c r="G73" s="19"/>
      <x:c r="H73" s="19"/>
      <x:c r="I73" s="19"/>
    </x:row>
    <x:row r="74">
      <x:c r="A74" s="19"/>
      <x:c r="B74" s="19"/>
      <x:c r="C74" s="19"/>
      <x:c r="D74" s="19"/>
      <x:c r="E74" s="53"/>
      <x:c r="F74" s="19"/>
      <x:c r="G74" s="19"/>
      <x:c r="H74" s="19"/>
      <x:c r="I74" s="19"/>
    </x:row>
    <x:row r="75">
      <x:c r="A75" s="19"/>
      <x:c r="B75" s="19"/>
      <x:c r="C75" s="19"/>
      <x:c r="D75" s="19"/>
      <x:c r="E75" s="53"/>
      <x:c r="F75" s="19"/>
      <x:c r="G75" s="19"/>
      <x:c r="H75" s="19"/>
      <x:c r="I75" s="19"/>
    </x:row>
    <x:row r="76">
      <x:c r="A76" s="19"/>
      <x:c r="B76" s="19"/>
      <x:c r="C76" s="19"/>
      <x:c r="D76" s="19"/>
      <x:c r="E76" s="53"/>
      <x:c r="F76" s="19"/>
      <x:c r="G76" s="19"/>
      <x:c r="H76" s="19"/>
      <x:c r="I76" s="19"/>
    </x:row>
    <x:row r="77">
      <x:c r="A77" s="19"/>
      <x:c r="B77" s="19"/>
      <x:c r="C77" s="19"/>
      <x:c r="D77" s="19"/>
      <x:c r="E77" s="53"/>
      <x:c r="F77" s="19"/>
      <x:c r="G77" s="19"/>
      <x:c r="H77" s="19"/>
      <x:c r="I77" s="19"/>
    </x:row>
    <x:row r="78">
      <x:c r="A78" s="19"/>
      <x:c r="B78" s="19"/>
      <x:c r="C78" s="19"/>
      <x:c r="D78" s="19"/>
      <x:c r="E78" s="53"/>
      <x:c r="F78" s="19"/>
      <x:c r="G78" s="19"/>
      <x:c r="H78" s="19"/>
      <x:c r="I78" s="19"/>
    </x:row>
    <x:row r="79">
      <x:c r="A79" s="19"/>
      <x:c r="B79" s="19"/>
      <x:c r="C79" s="19"/>
      <x:c r="D79" s="19"/>
      <x:c r="E79" s="53"/>
      <x:c r="F79" s="19"/>
      <x:c r="G79" s="19"/>
      <x:c r="H79" s="19"/>
      <x:c r="I79" s="19"/>
    </x:row>
    <x:row r="80">
      <x:c r="A80" s="19"/>
      <x:c r="B80" s="19"/>
      <x:c r="C80" s="19"/>
      <x:c r="D80" s="19"/>
      <x:c r="E80" s="53"/>
      <x:c r="F80" s="19"/>
      <x:c r="G80" s="19"/>
      <x:c r="H80" s="19"/>
      <x:c r="I80" s="19"/>
    </x:row>
    <x:row r="81">
      <x:c r="A81" s="19"/>
      <x:c r="B81" s="19"/>
      <x:c r="C81" s="19"/>
      <x:c r="D81" s="19"/>
      <x:c r="E81" s="53"/>
      <x:c r="F81" s="19"/>
      <x:c r="G81" s="19"/>
      <x:c r="H81" s="19"/>
      <x:c r="I81" s="19"/>
    </x:row>
    <x:row r="82">
      <x:c r="A82" s="19"/>
      <x:c r="B82" s="19"/>
      <x:c r="C82" s="19"/>
      <x:c r="D82" s="19"/>
      <x:c r="E82" s="53"/>
      <x:c r="F82" s="19"/>
      <x:c r="G82" s="19"/>
      <x:c r="H82" s="19"/>
      <x:c r="I82" s="19"/>
    </x:row>
    <x:row r="83">
      <x:c r="A83" s="19"/>
      <x:c r="B83" s="19"/>
      <x:c r="C83" s="19"/>
      <x:c r="D83" s="19"/>
      <x:c r="E83" s="53"/>
      <x:c r="F83" s="19"/>
      <x:c r="G83" s="19"/>
      <x:c r="H83" s="19"/>
      <x:c r="I83" s="19"/>
    </x:row>
    <x:row r="84">
      <x:c r="A84" s="19"/>
      <x:c r="B84" s="19"/>
      <x:c r="C84" s="19"/>
      <x:c r="D84" s="19"/>
      <x:c r="E84" s="53"/>
      <x:c r="F84" s="19"/>
      <x:c r="G84" s="19"/>
      <x:c r="H84" s="19"/>
      <x:c r="I84" s="19"/>
    </x:row>
    <x:row r="85">
      <x:c r="A85" s="19"/>
      <x:c r="B85" s="19"/>
      <x:c r="C85" s="19"/>
      <x:c r="D85" s="19"/>
      <x:c r="E85" s="53"/>
      <x:c r="F85" s="19"/>
      <x:c r="G85" s="19"/>
      <x:c r="H85" s="19"/>
      <x:c r="I85" s="19"/>
    </x:row>
    <x:row r="86">
      <x:c r="A86" s="19"/>
      <x:c r="B86" s="19"/>
      <x:c r="C86" s="19"/>
      <x:c r="D86" s="19"/>
      <x:c r="E86" s="53"/>
      <x:c r="F86" s="19"/>
      <x:c r="G86" s="19"/>
      <x:c r="H86" s="19"/>
      <x:c r="I86" s="19"/>
    </x:row>
    <x:row r="87">
      <x:c r="A87" s="19"/>
      <x:c r="B87" s="19"/>
      <x:c r="C87" s="19"/>
      <x:c r="D87" s="19"/>
      <x:c r="E87" s="53"/>
      <x:c r="F87" s="19"/>
      <x:c r="G87" s="19"/>
      <x:c r="H87" s="19"/>
      <x:c r="I87" s="19"/>
    </x:row>
    <x:row r="88">
      <x:c r="A88" s="19"/>
      <x:c r="B88" s="19"/>
      <x:c r="C88" s="19"/>
      <x:c r="D88" s="19"/>
      <x:c r="E88" s="53"/>
      <x:c r="F88" s="19"/>
      <x:c r="G88" s="19"/>
      <x:c r="H88" s="19"/>
      <x:c r="I88" s="19"/>
    </x:row>
    <x:row r="89">
      <x:c r="A89" s="19"/>
      <x:c r="B89" s="19"/>
      <x:c r="C89" s="19"/>
      <x:c r="D89" s="19"/>
      <x:c r="E89" s="53"/>
      <x:c r="F89" s="19"/>
      <x:c r="G89" s="19"/>
      <x:c r="H89" s="19"/>
      <x:c r="I89" s="19"/>
    </x:row>
    <x:row r="90">
      <x:c r="A90" s="19"/>
      <x:c r="B90" s="19"/>
      <x:c r="C90" s="19"/>
      <x:c r="D90" s="19"/>
      <x:c r="E90" s="53"/>
      <x:c r="F90" s="19"/>
      <x:c r="G90" s="19"/>
      <x:c r="H90" s="19"/>
      <x:c r="I90" s="19"/>
    </x:row>
    <x:row r="91">
      <x:c r="A91" s="19"/>
      <x:c r="B91" s="19"/>
      <x:c r="C91" s="19"/>
      <x:c r="D91" s="19"/>
      <x:c r="E91" s="53"/>
      <x:c r="F91" s="19"/>
      <x:c r="G91" s="19"/>
      <x:c r="H91" s="19"/>
      <x:c r="I91" s="19"/>
    </x:row>
    <x:row r="92">
      <x:c r="A92" s="19"/>
      <x:c r="B92" s="19"/>
      <x:c r="C92" s="19"/>
      <x:c r="D92" s="19"/>
      <x:c r="E92" s="53"/>
      <x:c r="F92" s="19"/>
      <x:c r="G92" s="19"/>
      <x:c r="H92" s="19"/>
      <x:c r="I92" s="19"/>
    </x:row>
    <x:row r="93">
      <x:c r="A93" s="19"/>
      <x:c r="B93" s="19"/>
      <x:c r="C93" s="19"/>
      <x:c r="D93" s="19"/>
      <x:c r="E93" s="53"/>
      <x:c r="F93" s="19"/>
      <x:c r="G93" s="19"/>
      <x:c r="H93" s="19"/>
      <x:c r="I93" s="19"/>
    </x:row>
    <x:row r="94">
      <x:c r="A94" s="19"/>
      <x:c r="B94" s="19"/>
      <x:c r="C94" s="19"/>
      <x:c r="D94" s="19"/>
      <x:c r="E94" s="53"/>
      <x:c r="F94" s="19"/>
      <x:c r="G94" s="19"/>
      <x:c r="H94" s="19"/>
      <x:c r="I94" s="19"/>
    </x:row>
    <x:row r="95">
      <x:c r="A95" s="19"/>
      <x:c r="B95" s="19"/>
      <x:c r="C95" s="19"/>
      <x:c r="D95" s="19"/>
      <x:c r="E95" s="53"/>
      <x:c r="F95" s="19"/>
      <x:c r="G95" s="19"/>
      <x:c r="H95" s="19"/>
      <x:c r="I95" s="19"/>
    </x:row>
    <x:row r="96">
      <x:c r="A96" s="19"/>
      <x:c r="B96" s="19"/>
      <x:c r="C96" s="19"/>
      <x:c r="D96" s="19"/>
      <x:c r="E96" s="53"/>
      <x:c r="F96" s="19"/>
      <x:c r="G96" s="19"/>
      <x:c r="H96" s="19"/>
      <x:c r="I96" s="19"/>
    </x:row>
    <x:row r="97">
      <x:c r="A97" s="19"/>
      <x:c r="B97" s="19"/>
      <x:c r="C97" s="19"/>
      <x:c r="D97" s="19"/>
      <x:c r="E97" s="53"/>
      <x:c r="F97" s="19"/>
      <x:c r="G97" s="19"/>
      <x:c r="H97" s="19"/>
      <x:c r="I97" s="19"/>
    </x:row>
    <x:row r="98">
      <x:c r="A98" s="19"/>
      <x:c r="B98" s="19"/>
      <x:c r="C98" s="19"/>
      <x:c r="D98" s="19"/>
      <x:c r="E98" s="53"/>
      <x:c r="F98" s="19"/>
      <x:c r="G98" s="19"/>
      <x:c r="H98" s="19"/>
      <x:c r="I98" s="19"/>
    </x:row>
    <x:row r="99">
      <x:c r="A99" s="19"/>
      <x:c r="B99" s="19"/>
      <x:c r="C99" s="19"/>
      <x:c r="D99" s="19"/>
      <x:c r="E99" s="53"/>
      <x:c r="F99" s="19"/>
      <x:c r="G99" s="19"/>
      <x:c r="H99" s="19"/>
      <x:c r="I99" s="19"/>
    </x:row>
    <x:row r="100">
      <x:c r="A100" s="19"/>
      <x:c r="B100" s="19"/>
      <x:c r="C100" s="19"/>
      <x:c r="D100" s="19"/>
      <x:c r="E100" s="53"/>
      <x:c r="F100" s="19"/>
      <x:c r="G100" s="19"/>
      <x:c r="H100" s="19"/>
      <x:c r="I100" s="19"/>
    </x:row>
    <x:row r="101">
      <x:c r="A101" s="19"/>
      <x:c r="B101" s="19"/>
      <x:c r="C101" s="19"/>
      <x:c r="D101" s="19"/>
      <x:c r="E101" s="53"/>
      <x:c r="F101" s="19"/>
      <x:c r="G101" s="19"/>
      <x:c r="H101" s="19"/>
      <x:c r="I101" s="19"/>
    </x:row>
    <x:row r="102">
      <x:c r="A102" s="19"/>
      <x:c r="B102" s="19"/>
      <x:c r="C102" s="19"/>
      <x:c r="D102" s="19"/>
      <x:c r="E102" s="53"/>
      <x:c r="F102" s="19"/>
      <x:c r="G102" s="19"/>
      <x:c r="H102" s="19"/>
      <x:c r="I102" s="19"/>
    </x:row>
    <x:row r="103">
      <x:c r="A103" s="19"/>
      <x:c r="B103" s="19"/>
      <x:c r="C103" s="19"/>
      <x:c r="D103" s="19"/>
      <x:c r="E103" s="53"/>
      <x:c r="F103" s="19"/>
      <x:c r="G103" s="19"/>
      <x:c r="H103" s="19"/>
      <x:c r="I103" s="19"/>
    </x:row>
    <x:row r="104">
      <x:c r="A104" s="19"/>
      <x:c r="B104" s="19"/>
      <x:c r="C104" s="19"/>
      <x:c r="D104" s="19"/>
      <x:c r="E104" s="53"/>
      <x:c r="F104" s="19"/>
      <x:c r="G104" s="19"/>
      <x:c r="H104" s="19"/>
      <x:c r="I104" s="19"/>
    </x:row>
    <x:row r="105">
      <x:c r="A105" s="19"/>
      <x:c r="B105" s="19"/>
      <x:c r="C105" s="19"/>
      <x:c r="D105" s="19"/>
      <x:c r="E105" s="53"/>
      <x:c r="F105" s="19"/>
      <x:c r="G105" s="19"/>
      <x:c r="H105" s="19"/>
      <x:c r="I105" s="19"/>
    </x:row>
    <x:row r="106">
      <x:c r="A106" s="19"/>
      <x:c r="B106" s="19"/>
      <x:c r="C106" s="19"/>
      <x:c r="D106" s="19"/>
      <x:c r="E106" s="53"/>
      <x:c r="F106" s="19"/>
      <x:c r="G106" s="19"/>
      <x:c r="H106" s="19"/>
      <x:c r="I106" s="19"/>
    </x:row>
    <x:row r="107">
      <x:c r="A107" s="19"/>
      <x:c r="B107" s="19"/>
      <x:c r="C107" s="19"/>
      <x:c r="D107" s="19"/>
      <x:c r="E107" s="53"/>
      <x:c r="F107" s="19"/>
      <x:c r="G107" s="19"/>
      <x:c r="H107" s="19"/>
      <x:c r="I107" s="19"/>
    </x:row>
    <x:row r="108">
      <x:c r="A108" s="19"/>
      <x:c r="B108" s="19"/>
      <x:c r="C108" s="19"/>
      <x:c r="D108" s="19"/>
      <x:c r="E108" s="53"/>
      <x:c r="F108" s="19"/>
      <x:c r="G108" s="19"/>
      <x:c r="H108" s="19"/>
      <x:c r="I108" s="19"/>
    </x:row>
    <x:row r="109">
      <x:c r="A109" s="19"/>
      <x:c r="B109" s="19"/>
      <x:c r="C109" s="19"/>
      <x:c r="D109" s="19"/>
      <x:c r="E109" s="53"/>
      <x:c r="F109" s="19"/>
      <x:c r="G109" s="19"/>
      <x:c r="H109" s="19"/>
      <x:c r="I109" s="19"/>
    </x:row>
    <x:row r="110">
      <x:c r="A110" s="19"/>
      <x:c r="B110" s="19"/>
      <x:c r="C110" s="19"/>
      <x:c r="D110" s="19"/>
      <x:c r="E110" s="53"/>
      <x:c r="F110" s="19"/>
      <x:c r="G110" s="19"/>
      <x:c r="H110" s="19"/>
      <x:c r="I110" s="19"/>
    </x:row>
    <x:row r="111">
      <x:c r="A111" s="19"/>
      <x:c r="B111" s="19"/>
      <x:c r="C111" s="19"/>
      <x:c r="D111" s="19"/>
      <x:c r="E111" s="53"/>
      <x:c r="F111" s="19"/>
      <x:c r="G111" s="19"/>
      <x:c r="H111" s="19"/>
      <x:c r="I111" s="19"/>
    </x:row>
    <x:row r="112">
      <x:c r="A112" s="19"/>
      <x:c r="B112" s="19"/>
      <x:c r="C112" s="19"/>
      <x:c r="D112" s="19"/>
      <x:c r="E112" s="53"/>
      <x:c r="F112" s="19"/>
      <x:c r="G112" s="19"/>
      <x:c r="H112" s="19"/>
      <x:c r="I112" s="19"/>
    </x:row>
    <x:row r="113">
      <x:c r="A113" s="19"/>
      <x:c r="B113" s="19"/>
      <x:c r="C113" s="19"/>
      <x:c r="D113" s="19"/>
      <x:c r="E113" s="53"/>
      <x:c r="F113" s="19"/>
      <x:c r="G113" s="19"/>
      <x:c r="H113" s="19"/>
      <x:c r="I113" s="19"/>
    </x:row>
    <x:row r="114">
      <x:c r="A114" s="19"/>
      <x:c r="B114" s="19"/>
      <x:c r="C114" s="19"/>
      <x:c r="D114" s="19"/>
      <x:c r="E114" s="53"/>
      <x:c r="F114" s="19"/>
      <x:c r="G114" s="19"/>
      <x:c r="H114" s="19"/>
      <x:c r="I114" s="19"/>
    </x:row>
    <x:row r="115">
      <x:c r="A115" s="19"/>
      <x:c r="B115" s="19"/>
      <x:c r="C115" s="19"/>
      <x:c r="D115" s="19"/>
      <x:c r="E115" s="53"/>
      <x:c r="F115" s="19"/>
      <x:c r="G115" s="19"/>
      <x:c r="H115" s="19"/>
      <x:c r="I115" s="19"/>
    </x:row>
    <x:row r="116">
      <x:c r="A116" s="19"/>
      <x:c r="B116" s="19"/>
      <x:c r="C116" s="19"/>
      <x:c r="D116" s="19"/>
      <x:c r="E116" s="53"/>
      <x:c r="F116" s="19"/>
      <x:c r="G116" s="19"/>
      <x:c r="H116" s="19"/>
      <x:c r="I116" s="19"/>
    </x:row>
    <x:row r="117">
      <x:c r="A117" s="19"/>
      <x:c r="B117" s="19"/>
      <x:c r="C117" s="19"/>
      <x:c r="D117" s="19"/>
      <x:c r="E117" s="53"/>
      <x:c r="F117" s="19"/>
      <x:c r="G117" s="19"/>
      <x:c r="H117" s="19"/>
      <x:c r="I117" s="19"/>
    </x:row>
    <x:row r="118">
      <x:c r="A118" s="19"/>
      <x:c r="B118" s="19"/>
      <x:c r="C118" s="19"/>
      <x:c r="D118" s="19"/>
      <x:c r="E118" s="53"/>
      <x:c r="F118" s="19"/>
      <x:c r="G118" s="19"/>
      <x:c r="H118" s="19"/>
      <x:c r="I118" s="19"/>
    </x:row>
    <x:row r="119">
      <x:c r="A119" s="19"/>
      <x:c r="B119" s="19"/>
      <x:c r="C119" s="19"/>
      <x:c r="D119" s="19"/>
      <x:c r="E119" s="53"/>
      <x:c r="F119" s="19"/>
      <x:c r="G119" s="19"/>
      <x:c r="H119" s="19"/>
      <x:c r="I119" s="19"/>
    </x:row>
    <x:row r="120">
      <x:c r="A120" s="19"/>
      <x:c r="B120" s="19"/>
      <x:c r="C120" s="19"/>
      <x:c r="D120" s="19"/>
      <x:c r="E120" s="53"/>
      <x:c r="F120" s="19"/>
      <x:c r="G120" s="19"/>
      <x:c r="H120" s="19"/>
      <x:c r="I120" s="19"/>
    </x:row>
    <x:row r="121">
      <x:c r="A121" s="19"/>
      <x:c r="B121" s="19"/>
      <x:c r="C121" s="19"/>
      <x:c r="D121" s="19"/>
      <x:c r="E121" s="53"/>
      <x:c r="F121" s="19"/>
      <x:c r="G121" s="19"/>
      <x:c r="H121" s="19"/>
      <x:c r="I121" s="19"/>
    </x:row>
    <x:row r="122">
      <x:c r="A122" s="19"/>
      <x:c r="B122" s="19"/>
      <x:c r="C122" s="19"/>
      <x:c r="D122" s="19"/>
      <x:c r="E122" s="53"/>
      <x:c r="F122" s="19"/>
      <x:c r="G122" s="19"/>
      <x:c r="H122" s="19"/>
      <x:c r="I122" s="19"/>
    </x:row>
    <x:row r="123">
      <x:c r="A123" s="19"/>
      <x:c r="B123" s="19"/>
      <x:c r="C123" s="19"/>
      <x:c r="D123" s="19"/>
      <x:c r="E123" s="53"/>
      <x:c r="F123" s="19"/>
      <x:c r="G123" s="19"/>
      <x:c r="H123" s="19"/>
      <x:c r="I123" s="19"/>
    </x:row>
    <x:row r="124">
      <x:c r="A124" s="19"/>
      <x:c r="B124" s="19"/>
      <x:c r="C124" s="19"/>
      <x:c r="D124" s="19"/>
      <x:c r="E124" s="53"/>
      <x:c r="F124" s="19"/>
      <x:c r="G124" s="19"/>
      <x:c r="H124" s="19"/>
      <x:c r="I124" s="19"/>
    </x:row>
    <x:row r="125">
      <x:c r="A125" s="19"/>
      <x:c r="B125" s="19"/>
      <x:c r="C125" s="19"/>
      <x:c r="D125" s="19"/>
      <x:c r="E125" s="53"/>
      <x:c r="F125" s="19"/>
      <x:c r="G125" s="19"/>
      <x:c r="H125" s="19"/>
      <x:c r="I125" s="19"/>
    </x:row>
    <x:row r="126">
      <x:c r="A126" s="19"/>
      <x:c r="B126" s="19"/>
      <x:c r="C126" s="19"/>
      <x:c r="D126" s="19"/>
      <x:c r="E126" s="53"/>
      <x:c r="F126" s="19"/>
      <x:c r="G126" s="19"/>
      <x:c r="H126" s="19"/>
      <x:c r="I126" s="19"/>
    </x:row>
    <x:row r="127">
      <x:c r="A127" s="19"/>
      <x:c r="B127" s="19"/>
      <x:c r="C127" s="19"/>
      <x:c r="D127" s="19"/>
      <x:c r="E127" s="53"/>
      <x:c r="F127" s="19"/>
      <x:c r="G127" s="19"/>
      <x:c r="H127" s="19"/>
      <x:c r="I127" s="19"/>
    </x:row>
    <x:row r="128">
      <x:c r="A128" s="19"/>
      <x:c r="B128" s="19"/>
      <x:c r="C128" s="19"/>
      <x:c r="D128" s="19"/>
      <x:c r="E128" s="53"/>
      <x:c r="F128" s="19"/>
      <x:c r="G128" s="19"/>
      <x:c r="H128" s="19"/>
      <x:c r="I128" s="19"/>
    </x:row>
    <x:row r="129">
      <x:c r="A129" s="19"/>
      <x:c r="B129" s="19"/>
      <x:c r="C129" s="19"/>
      <x:c r="D129" s="19"/>
      <x:c r="E129" s="53"/>
      <x:c r="F129" s="19"/>
      <x:c r="G129" s="19"/>
      <x:c r="H129" s="19"/>
      <x:c r="I129" s="19"/>
    </x:row>
    <x:row r="130">
      <x:c r="A130" s="19"/>
      <x:c r="B130" s="19"/>
      <x:c r="C130" s="19"/>
      <x:c r="D130" s="19"/>
      <x:c r="E130" s="53"/>
      <x:c r="F130" s="19"/>
      <x:c r="G130" s="19"/>
      <x:c r="H130" s="19"/>
      <x:c r="I130" s="19"/>
    </x:row>
    <x:row r="131">
      <x:c r="A131" s="19"/>
      <x:c r="B131" s="19"/>
      <x:c r="C131" s="19"/>
      <x:c r="D131" s="19"/>
      <x:c r="E131" s="53"/>
      <x:c r="F131" s="19"/>
      <x:c r="G131" s="19"/>
      <x:c r="H131" s="19"/>
      <x:c r="I131" s="19"/>
    </x:row>
    <x:row r="132">
      <x:c r="A132" s="19"/>
      <x:c r="B132" s="19"/>
      <x:c r="C132" s="19"/>
      <x:c r="D132" s="19"/>
      <x:c r="E132" s="53"/>
      <x:c r="F132" s="19"/>
      <x:c r="G132" s="19"/>
      <x:c r="H132" s="19"/>
      <x:c r="I132" s="19"/>
    </x:row>
    <x:row r="133">
      <x:c r="A133" s="19"/>
      <x:c r="B133" s="19"/>
      <x:c r="C133" s="19"/>
      <x:c r="D133" s="19"/>
      <x:c r="E133" s="53"/>
      <x:c r="F133" s="19"/>
      <x:c r="G133" s="19"/>
      <x:c r="H133" s="19"/>
      <x:c r="I133" s="19"/>
    </x:row>
    <x:row r="134">
      <x:c r="A134" s="19"/>
      <x:c r="B134" s="19"/>
      <x:c r="C134" s="19"/>
      <x:c r="D134" s="19"/>
      <x:c r="E134" s="53"/>
      <x:c r="F134" s="19"/>
      <x:c r="G134" s="19"/>
      <x:c r="H134" s="19"/>
      <x:c r="I134" s="19"/>
    </x:row>
    <x:row r="135">
      <x:c r="A135" s="19"/>
      <x:c r="B135" s="19"/>
      <x:c r="C135" s="19"/>
      <x:c r="D135" s="19"/>
      <x:c r="E135" s="53"/>
      <x:c r="F135" s="19"/>
      <x:c r="G135" s="19"/>
      <x:c r="H135" s="19"/>
      <x:c r="I135" s="19"/>
    </x:row>
    <x:row r="136">
      <x:c r="A136" s="19"/>
      <x:c r="B136" s="19"/>
      <x:c r="C136" s="19"/>
      <x:c r="D136" s="19"/>
      <x:c r="E136" s="53"/>
      <x:c r="F136" s="19"/>
      <x:c r="G136" s="19"/>
      <x:c r="H136" s="19"/>
      <x:c r="I136" s="19"/>
    </x:row>
    <x:row r="137">
      <x:c r="A137" s="19"/>
      <x:c r="B137" s="19"/>
      <x:c r="C137" s="19"/>
      <x:c r="D137" s="19"/>
      <x:c r="E137" s="53"/>
      <x:c r="F137" s="19"/>
      <x:c r="G137" s="19"/>
      <x:c r="H137" s="19"/>
      <x:c r="I137" s="19"/>
    </x:row>
    <x:row r="138">
      <x:c r="A138" s="19"/>
      <x:c r="B138" s="19"/>
      <x:c r="C138" s="19"/>
      <x:c r="D138" s="19"/>
      <x:c r="E138" s="53"/>
      <x:c r="F138" s="19"/>
      <x:c r="G138" s="19"/>
      <x:c r="H138" s="19"/>
      <x:c r="I138" s="19"/>
    </x:row>
    <x:row r="139">
      <x:c r="A139" s="19"/>
      <x:c r="B139" s="19"/>
      <x:c r="C139" s="19"/>
      <x:c r="D139" s="19"/>
      <x:c r="E139" s="53"/>
      <x:c r="F139" s="19"/>
      <x:c r="G139" s="19"/>
      <x:c r="H139" s="19"/>
      <x:c r="I139" s="19"/>
    </x:row>
    <x:row r="140">
      <x:c r="A140" s="19"/>
      <x:c r="B140" s="19"/>
      <x:c r="C140" s="19"/>
      <x:c r="D140" s="19"/>
      <x:c r="E140" s="53"/>
      <x:c r="F140" s="19"/>
      <x:c r="G140" s="19"/>
      <x:c r="H140" s="19"/>
      <x:c r="I140" s="19"/>
    </x:row>
    <x:row r="141">
      <x:c r="A141" s="19"/>
      <x:c r="B141" s="19"/>
      <x:c r="C141" s="19"/>
      <x:c r="D141" s="19"/>
      <x:c r="E141" s="53"/>
      <x:c r="F141" s="19"/>
      <x:c r="G141" s="19"/>
      <x:c r="H141" s="19"/>
      <x:c r="I141" s="19"/>
    </x:row>
    <x:row r="142">
      <x:c r="A142" s="19"/>
      <x:c r="B142" s="19"/>
      <x:c r="C142" s="19"/>
      <x:c r="D142" s="19"/>
      <x:c r="E142" s="53"/>
      <x:c r="F142" s="19"/>
      <x:c r="G142" s="19"/>
      <x:c r="H142" s="19"/>
      <x:c r="I142" s="19"/>
    </x:row>
    <x:row r="143">
      <x:c r="A143" s="19"/>
      <x:c r="B143" s="19"/>
      <x:c r="C143" s="19"/>
      <x:c r="D143" s="19"/>
      <x:c r="E143" s="53"/>
      <x:c r="F143" s="19"/>
      <x:c r="G143" s="19"/>
      <x:c r="H143" s="19"/>
      <x:c r="I143" s="19"/>
    </x:row>
    <x:row r="144">
      <x:c r="A144" s="19"/>
      <x:c r="B144" s="19"/>
      <x:c r="C144" s="19"/>
      <x:c r="D144" s="19"/>
      <x:c r="E144" s="53"/>
      <x:c r="F144" s="19"/>
      <x:c r="G144" s="19"/>
      <x:c r="H144" s="19"/>
      <x:c r="I144" s="19"/>
    </x:row>
    <x:row r="145">
      <x:c r="A145" s="19"/>
      <x:c r="B145" s="19"/>
      <x:c r="C145" s="19"/>
      <x:c r="D145" s="19"/>
      <x:c r="E145" s="53"/>
      <x:c r="F145" s="19"/>
      <x:c r="G145" s="19"/>
      <x:c r="H145" s="19"/>
      <x:c r="I145" s="19"/>
    </x:row>
    <x:row r="146">
      <x:c r="A146" s="19"/>
      <x:c r="B146" s="19"/>
      <x:c r="C146" s="19"/>
      <x:c r="D146" s="19"/>
      <x:c r="E146" s="53"/>
      <x:c r="F146" s="19"/>
      <x:c r="G146" s="19"/>
      <x:c r="H146" s="19"/>
      <x:c r="I146" s="19"/>
    </x:row>
    <x:row r="147">
      <x:c r="A147" s="19"/>
      <x:c r="B147" s="19"/>
      <x:c r="C147" s="19"/>
      <x:c r="D147" s="19"/>
      <x:c r="E147" s="53"/>
      <x:c r="F147" s="19"/>
      <x:c r="G147" s="19"/>
      <x:c r="H147" s="19"/>
      <x:c r="I147" s="19"/>
    </x:row>
    <x:row r="148">
      <x:c r="A148" s="19"/>
      <x:c r="B148" s="19"/>
      <x:c r="C148" s="19"/>
      <x:c r="D148" s="19"/>
      <x:c r="E148" s="53"/>
      <x:c r="F148" s="19"/>
      <x:c r="G148" s="19"/>
      <x:c r="H148" s="19"/>
      <x:c r="I148" s="19"/>
    </x:row>
    <x:row r="149">
      <x:c r="A149" s="19"/>
      <x:c r="B149" s="19"/>
      <x:c r="C149" s="19"/>
      <x:c r="D149" s="19"/>
      <x:c r="E149" s="53"/>
      <x:c r="F149" s="19"/>
      <x:c r="G149" s="19"/>
      <x:c r="H149" s="19"/>
      <x:c r="I149" s="19"/>
    </x:row>
    <x:row r="150">
      <x:c r="A150" s="19"/>
      <x:c r="B150" s="19"/>
      <x:c r="C150" s="19"/>
      <x:c r="D150" s="19"/>
      <x:c r="E150" s="53"/>
      <x:c r="F150" s="19"/>
      <x:c r="G150" s="19"/>
      <x:c r="H150" s="19"/>
      <x:c r="I150" s="19"/>
    </x:row>
    <x:row r="151">
      <x:c r="A151" s="19"/>
      <x:c r="B151" s="19"/>
      <x:c r="C151" s="19"/>
      <x:c r="D151" s="19"/>
      <x:c r="E151" s="53"/>
      <x:c r="F151" s="19"/>
      <x:c r="G151" s="19"/>
      <x:c r="H151" s="19"/>
      <x:c r="I151" s="19"/>
    </x:row>
    <x:row r="152">
      <x:c r="A152" s="19"/>
      <x:c r="B152" s="19"/>
      <x:c r="C152" s="19"/>
      <x:c r="D152" s="19"/>
      <x:c r="E152" s="53"/>
      <x:c r="F152" s="19"/>
      <x:c r="G152" s="19"/>
      <x:c r="H152" s="19"/>
      <x:c r="I152" s="19"/>
    </x:row>
    <x:row r="153">
      <x:c r="A153" s="19"/>
      <x:c r="B153" s="19"/>
      <x:c r="C153" s="19"/>
      <x:c r="D153" s="19"/>
      <x:c r="E153" s="53"/>
      <x:c r="F153" s="19"/>
      <x:c r="G153" s="19"/>
      <x:c r="H153" s="19"/>
      <x:c r="I153" s="19"/>
    </x:row>
    <x:row r="154">
      <x:c r="A154" s="19"/>
      <x:c r="B154" s="19"/>
      <x:c r="C154" s="19"/>
      <x:c r="D154" s="19"/>
      <x:c r="E154" s="53"/>
      <x:c r="F154" s="19"/>
      <x:c r="G154" s="19"/>
      <x:c r="H154" s="19"/>
      <x:c r="I154" s="19"/>
    </x:row>
    <x:row r="155">
      <x:c r="A155" s="19"/>
      <x:c r="B155" s="19"/>
      <x:c r="C155" s="19"/>
      <x:c r="D155" s="19"/>
      <x:c r="E155" s="53"/>
      <x:c r="F155" s="19"/>
      <x:c r="G155" s="19"/>
      <x:c r="H155" s="19"/>
      <x:c r="I155" s="19"/>
    </x:row>
    <x:row r="156">
      <x:c r="A156" s="19"/>
      <x:c r="B156" s="19"/>
      <x:c r="C156" s="19"/>
      <x:c r="D156" s="19"/>
      <x:c r="E156" s="53"/>
      <x:c r="F156" s="19"/>
      <x:c r="G156" s="19"/>
      <x:c r="H156" s="19"/>
      <x:c r="I156" s="19"/>
    </x:row>
    <x:row r="157">
      <x:c r="A157" s="19"/>
      <x:c r="B157" s="19"/>
      <x:c r="C157" s="19"/>
      <x:c r="D157" s="19"/>
      <x:c r="E157" s="53"/>
      <x:c r="F157" s="19"/>
      <x:c r="G157" s="19"/>
      <x:c r="H157" s="19"/>
      <x:c r="I157" s="19"/>
    </x:row>
    <x:row r="158">
      <x:c r="A158" s="19"/>
      <x:c r="B158" s="19"/>
      <x:c r="C158" s="19"/>
      <x:c r="D158" s="19"/>
      <x:c r="E158" s="53"/>
      <x:c r="F158" s="19"/>
      <x:c r="G158" s="19"/>
      <x:c r="H158" s="19"/>
      <x:c r="I158" s="19"/>
    </x:row>
    <x:row r="159">
      <x:c r="A159" s="19"/>
      <x:c r="B159" s="19"/>
      <x:c r="C159" s="19"/>
      <x:c r="D159" s="19"/>
      <x:c r="E159" s="53"/>
      <x:c r="F159" s="19"/>
      <x:c r="G159" s="19"/>
      <x:c r="H159" s="19"/>
      <x:c r="I159" s="19"/>
    </x:row>
    <x:row r="160">
      <x:c r="A160" s="19"/>
      <x:c r="B160" s="19"/>
      <x:c r="C160" s="19"/>
      <x:c r="D160" s="19"/>
      <x:c r="E160" s="53"/>
      <x:c r="F160" s="19"/>
      <x:c r="G160" s="19"/>
      <x:c r="H160" s="19"/>
      <x:c r="I160" s="19"/>
    </x:row>
    <x:row r="161">
      <x:c r="A161" s="19"/>
      <x:c r="B161" s="19"/>
      <x:c r="C161" s="19"/>
      <x:c r="D161" s="19"/>
      <x:c r="E161" s="53"/>
      <x:c r="F161" s="19"/>
      <x:c r="G161" s="19"/>
      <x:c r="H161" s="19"/>
      <x:c r="I161" s="19"/>
    </x:row>
    <x:row r="162">
      <x:c r="A162" s="19"/>
      <x:c r="B162" s="19"/>
      <x:c r="C162" s="19"/>
      <x:c r="D162" s="19"/>
      <x:c r="E162" s="53"/>
      <x:c r="F162" s="19"/>
      <x:c r="G162" s="19"/>
      <x:c r="H162" s="19"/>
      <x:c r="I162" s="19"/>
    </x:row>
    <x:row r="163">
      <x:c r="A163" s="19"/>
      <x:c r="B163" s="19"/>
      <x:c r="C163" s="19"/>
      <x:c r="D163" s="19"/>
      <x:c r="E163" s="53"/>
      <x:c r="F163" s="19"/>
      <x:c r="G163" s="19"/>
      <x:c r="H163" s="19"/>
      <x:c r="I163" s="19"/>
    </x:row>
    <x:row r="164">
      <x:c r="A164" s="19"/>
      <x:c r="B164" s="19"/>
      <x:c r="C164" s="19"/>
      <x:c r="D164" s="19"/>
      <x:c r="E164" s="53"/>
      <x:c r="F164" s="19"/>
      <x:c r="G164" s="19"/>
      <x:c r="H164" s="19"/>
      <x:c r="I164" s="19"/>
    </x:row>
    <x:row r="165">
      <x:c r="A165" s="19"/>
      <x:c r="B165" s="19"/>
      <x:c r="C165" s="19"/>
      <x:c r="D165" s="19"/>
      <x:c r="E165" s="53"/>
      <x:c r="F165" s="19"/>
      <x:c r="G165" s="19"/>
      <x:c r="H165" s="19"/>
      <x:c r="I165" s="19"/>
    </x:row>
    <x:row r="166">
      <x:c r="A166" s="19"/>
      <x:c r="B166" s="19"/>
      <x:c r="C166" s="19"/>
      <x:c r="D166" s="19"/>
      <x:c r="E166" s="53"/>
      <x:c r="F166" s="19"/>
      <x:c r="G166" s="19"/>
      <x:c r="H166" s="19"/>
      <x:c r="I166" s="19"/>
    </x:row>
    <x:row r="167">
      <x:c r="A167" s="19"/>
      <x:c r="B167" s="19"/>
      <x:c r="C167" s="19"/>
      <x:c r="D167" s="19"/>
      <x:c r="E167" s="53"/>
      <x:c r="F167" s="19"/>
      <x:c r="G167" s="19"/>
      <x:c r="H167" s="19"/>
      <x:c r="I167" s="19"/>
    </x:row>
    <x:row r="168">
      <x:c r="A168" s="19"/>
      <x:c r="B168" s="19"/>
      <x:c r="C168" s="19"/>
      <x:c r="D168" s="19"/>
      <x:c r="E168" s="53"/>
      <x:c r="F168" s="19"/>
      <x:c r="G168" s="19"/>
      <x:c r="H168" s="19"/>
      <x:c r="I168" s="19"/>
    </x:row>
    <x:row r="169">
      <x:c r="A169" s="19"/>
      <x:c r="B169" s="19"/>
      <x:c r="C169" s="19"/>
      <x:c r="D169" s="19"/>
      <x:c r="E169" s="53"/>
      <x:c r="F169" s="19"/>
      <x:c r="G169" s="19"/>
      <x:c r="H169" s="19"/>
      <x:c r="I169" s="19"/>
    </x:row>
    <x:row r="170">
      <x:c r="A170" s="19"/>
      <x:c r="B170" s="19"/>
      <x:c r="C170" s="19"/>
      <x:c r="D170" s="19"/>
      <x:c r="E170" s="53"/>
      <x:c r="F170" s="19"/>
      <x:c r="G170" s="19"/>
      <x:c r="H170" s="19"/>
      <x:c r="I170" s="19"/>
    </x:row>
    <x:row r="171">
      <x:c r="A171" s="19"/>
      <x:c r="B171" s="19"/>
      <x:c r="C171" s="19"/>
      <x:c r="D171" s="19"/>
      <x:c r="E171" s="53"/>
      <x:c r="F171" s="19"/>
      <x:c r="G171" s="19"/>
      <x:c r="H171" s="19"/>
      <x:c r="I171" s="19"/>
    </x:row>
    <x:row r="172">
      <x:c r="A172" s="19"/>
      <x:c r="B172" s="19"/>
      <x:c r="C172" s="19"/>
      <x:c r="D172" s="19"/>
      <x:c r="E172" s="53"/>
      <x:c r="F172" s="19"/>
      <x:c r="G172" s="19"/>
      <x:c r="H172" s="19"/>
      <x:c r="I172" s="19"/>
    </x:row>
    <x:row r="173">
      <x:c r="A173" s="19"/>
      <x:c r="B173" s="19"/>
      <x:c r="C173" s="19"/>
      <x:c r="D173" s="19"/>
      <x:c r="E173" s="53"/>
      <x:c r="F173" s="19"/>
      <x:c r="G173" s="19"/>
      <x:c r="H173" s="19"/>
      <x:c r="I173" s="19"/>
    </x:row>
    <x:row r="174">
      <x:c r="A174" s="19"/>
      <x:c r="B174" s="19"/>
      <x:c r="C174" s="19"/>
      <x:c r="D174" s="19"/>
      <x:c r="E174" s="53"/>
      <x:c r="F174" s="19"/>
      <x:c r="G174" s="19"/>
      <x:c r="H174" s="19"/>
      <x:c r="I174" s="19"/>
    </x:row>
    <x:row r="175">
      <x:c r="A175" s="19"/>
      <x:c r="B175" s="19"/>
      <x:c r="C175" s="19"/>
      <x:c r="D175" s="19"/>
      <x:c r="E175" s="53"/>
      <x:c r="F175" s="19"/>
      <x:c r="G175" s="19"/>
      <x:c r="H175" s="19"/>
      <x:c r="I175" s="19"/>
    </x:row>
    <x:row r="176">
      <x:c r="A176" s="19"/>
      <x:c r="B176" s="19"/>
      <x:c r="C176" s="19"/>
      <x:c r="D176" s="19"/>
      <x:c r="E176" s="53"/>
      <x:c r="F176" s="19"/>
      <x:c r="G176" s="19"/>
      <x:c r="H176" s="19"/>
      <x:c r="I176" s="19"/>
    </x:row>
    <x:row r="177">
      <x:c r="A177" s="19"/>
      <x:c r="B177" s="19"/>
      <x:c r="C177" s="19"/>
      <x:c r="D177" s="19"/>
      <x:c r="E177" s="53"/>
      <x:c r="F177" s="19"/>
      <x:c r="G177" s="19"/>
      <x:c r="H177" s="19"/>
      <x:c r="I177" s="19"/>
    </x:row>
    <x:row r="178">
      <x:c r="A178" s="19"/>
      <x:c r="B178" s="19"/>
      <x:c r="C178" s="19"/>
      <x:c r="D178" s="19"/>
      <x:c r="E178" s="53"/>
      <x:c r="F178" s="19"/>
      <x:c r="G178" s="19"/>
      <x:c r="H178" s="19"/>
      <x:c r="I178" s="19"/>
    </x:row>
    <x:row r="179">
      <x:c r="A179" s="19"/>
      <x:c r="B179" s="19"/>
      <x:c r="C179" s="19"/>
      <x:c r="D179" s="19"/>
      <x:c r="E179" s="53"/>
      <x:c r="F179" s="19"/>
      <x:c r="G179" s="19"/>
      <x:c r="H179" s="19"/>
      <x:c r="I179" s="19"/>
    </x:row>
    <x:row r="180">
      <x:c r="A180" s="19"/>
      <x:c r="B180" s="19"/>
      <x:c r="C180" s="19"/>
      <x:c r="D180" s="19"/>
      <x:c r="E180" s="53"/>
      <x:c r="F180" s="19"/>
      <x:c r="G180" s="19"/>
      <x:c r="H180" s="19"/>
      <x:c r="I180" s="19"/>
    </x:row>
    <x:row r="181">
      <x:c r="A181" s="19"/>
      <x:c r="B181" s="19"/>
      <x:c r="C181" s="19"/>
      <x:c r="D181" s="19"/>
      <x:c r="E181" s="53"/>
      <x:c r="F181" s="19"/>
      <x:c r="G181" s="19"/>
      <x:c r="H181" s="19"/>
      <x:c r="I181" s="19"/>
    </x:row>
    <x:row r="182">
      <x:c r="A182" s="19"/>
      <x:c r="B182" s="19"/>
      <x:c r="C182" s="19"/>
      <x:c r="D182" s="19"/>
      <x:c r="E182" s="53"/>
      <x:c r="F182" s="19"/>
      <x:c r="G182" s="19"/>
      <x:c r="H182" s="19"/>
      <x:c r="I182" s="19"/>
    </x:row>
    <x:row r="183">
      <x:c r="A183" s="19"/>
      <x:c r="B183" s="19"/>
      <x:c r="C183" s="19"/>
      <x:c r="D183" s="19"/>
      <x:c r="E183" s="53"/>
      <x:c r="F183" s="19"/>
      <x:c r="G183" s="19"/>
      <x:c r="H183" s="19"/>
      <x:c r="I183" s="19"/>
    </x:row>
    <x:row r="184">
      <x:c r="A184" s="19"/>
      <x:c r="B184" s="19"/>
      <x:c r="C184" s="19"/>
      <x:c r="D184" s="19"/>
      <x:c r="E184" s="53"/>
      <x:c r="F184" s="19"/>
      <x:c r="G184" s="19"/>
      <x:c r="H184" s="19"/>
      <x:c r="I184" s="19"/>
    </x:row>
    <x:row r="185">
      <x:c r="A185" s="19"/>
      <x:c r="B185" s="19"/>
      <x:c r="C185" s="19"/>
      <x:c r="D185" s="19"/>
      <x:c r="E185" s="53"/>
      <x:c r="F185" s="19"/>
      <x:c r="G185" s="19"/>
      <x:c r="H185" s="19"/>
      <x:c r="I185" s="19"/>
    </x:row>
    <x:row r="186">
      <x:c r="A186" s="19"/>
      <x:c r="B186" s="19"/>
      <x:c r="C186" s="19"/>
      <x:c r="D186" s="19"/>
      <x:c r="E186" s="53"/>
      <x:c r="F186" s="19"/>
      <x:c r="G186" s="19"/>
      <x:c r="H186" s="19"/>
      <x:c r="I186" s="19"/>
    </x:row>
    <x:row r="187">
      <x:c r="A187" s="19"/>
      <x:c r="B187" s="19"/>
      <x:c r="C187" s="19"/>
      <x:c r="D187" s="19"/>
      <x:c r="E187" s="53"/>
      <x:c r="F187" s="19"/>
      <x:c r="G187" s="19"/>
      <x:c r="H187" s="19"/>
      <x:c r="I187" s="19"/>
    </x:row>
    <x:row r="188">
      <x:c r="A188" s="19"/>
      <x:c r="B188" s="19"/>
      <x:c r="C188" s="19"/>
      <x:c r="D188" s="19"/>
      <x:c r="E188" s="53"/>
      <x:c r="F188" s="19"/>
      <x:c r="G188" s="19"/>
      <x:c r="H188" s="19"/>
      <x:c r="I188" s="19"/>
    </x:row>
    <x:row r="189">
      <x:c r="A189" s="19"/>
      <x:c r="B189" s="19"/>
      <x:c r="C189" s="19"/>
      <x:c r="D189" s="19"/>
      <x:c r="E189" s="53"/>
      <x:c r="F189" s="19"/>
      <x:c r="G189" s="19"/>
      <x:c r="H189" s="19"/>
      <x:c r="I189" s="19"/>
    </x:row>
    <x:row r="190">
      <x:c r="A190" s="19"/>
      <x:c r="B190" s="19"/>
      <x:c r="C190" s="19"/>
      <x:c r="D190" s="19"/>
      <x:c r="E190" s="53"/>
      <x:c r="F190" s="19"/>
      <x:c r="G190" s="19"/>
      <x:c r="H190" s="19"/>
      <x:c r="I190" s="19"/>
    </x:row>
    <x:row r="191">
      <x:c r="A191" s="19"/>
      <x:c r="B191" s="19"/>
      <x:c r="C191" s="19"/>
      <x:c r="D191" s="19"/>
      <x:c r="E191" s="53"/>
      <x:c r="F191" s="19"/>
      <x:c r="G191" s="19"/>
      <x:c r="H191" s="19"/>
      <x:c r="I191" s="19"/>
    </x:row>
    <x:row r="192">
      <x:c r="A192" s="19"/>
      <x:c r="B192" s="19"/>
      <x:c r="C192" s="19"/>
      <x:c r="D192" s="19"/>
      <x:c r="E192" s="53"/>
      <x:c r="F192" s="19"/>
      <x:c r="G192" s="19"/>
      <x:c r="H192" s="19"/>
      <x:c r="I192" s="19"/>
    </x:row>
    <x:row r="193">
      <x:c r="A193" s="19"/>
      <x:c r="B193" s="19"/>
      <x:c r="C193" s="19"/>
      <x:c r="D193" s="19"/>
      <x:c r="E193" s="53"/>
      <x:c r="F193" s="19"/>
      <x:c r="G193" s="19"/>
      <x:c r="H193" s="19"/>
      <x:c r="I193" s="19"/>
    </x:row>
    <x:row r="194">
      <x:c r="A194" s="19"/>
      <x:c r="B194" s="19"/>
      <x:c r="C194" s="19"/>
      <x:c r="D194" s="19"/>
      <x:c r="E194" s="53"/>
      <x:c r="F194" s="19"/>
      <x:c r="G194" s="19"/>
      <x:c r="H194" s="19"/>
      <x:c r="I194" s="19"/>
    </x:row>
    <x:row r="195">
      <x:c r="A195" s="19"/>
      <x:c r="B195" s="19"/>
      <x:c r="C195" s="19"/>
      <x:c r="D195" s="19"/>
      <x:c r="E195" s="53"/>
      <x:c r="F195" s="19"/>
      <x:c r="G195" s="19"/>
      <x:c r="H195" s="19"/>
      <x:c r="I195" s="19"/>
    </x:row>
    <x:row r="196">
      <x:c r="A196" s="19"/>
      <x:c r="B196" s="19"/>
      <x:c r="C196" s="19"/>
      <x:c r="D196" s="19"/>
      <x:c r="E196" s="53"/>
      <x:c r="F196" s="19"/>
      <x:c r="G196" s="19"/>
      <x:c r="H196" s="19"/>
      <x:c r="I196" s="19"/>
    </x:row>
    <x:row r="197">
      <x:c r="A197" s="19"/>
      <x:c r="B197" s="19"/>
      <x:c r="C197" s="19"/>
      <x:c r="D197" s="19"/>
      <x:c r="E197" s="53"/>
      <x:c r="F197" s="19"/>
      <x:c r="G197" s="19"/>
      <x:c r="H197" s="19"/>
      <x:c r="I197" s="19"/>
    </x:row>
    <x:row r="198">
      <x:c r="A198" s="19"/>
      <x:c r="B198" s="19"/>
      <x:c r="C198" s="19"/>
      <x:c r="D198" s="19"/>
      <x:c r="E198" s="53"/>
      <x:c r="F198" s="19"/>
      <x:c r="G198" s="19"/>
      <x:c r="H198" s="19"/>
      <x:c r="I198" s="19"/>
    </x:row>
    <x:row r="199">
      <x:c r="A199" s="19"/>
      <x:c r="B199" s="19"/>
      <x:c r="C199" s="19"/>
      <x:c r="D199" s="19"/>
      <x:c r="E199" s="53"/>
      <x:c r="F199" s="19"/>
      <x:c r="G199" s="19"/>
      <x:c r="H199" s="19"/>
      <x:c r="I199" s="19"/>
    </x:row>
    <x:row r="200">
      <x:c r="A200" s="19"/>
      <x:c r="B200" s="19"/>
      <x:c r="C200" s="19"/>
      <x:c r="D200" s="19"/>
      <x:c r="E200" s="53"/>
      <x:c r="F200" s="19"/>
      <x:c r="G200" s="19"/>
      <x:c r="H200" s="19"/>
      <x:c r="I200" s="19"/>
    </x:row>
    <x:row r="201">
      <x:c r="A201" s="19"/>
      <x:c r="B201" s="19"/>
      <x:c r="C201" s="19"/>
      <x:c r="D201" s="19"/>
      <x:c r="E201" s="53"/>
      <x:c r="F201" s="19"/>
      <x:c r="G201" s="19"/>
      <x:c r="H201" s="19"/>
      <x:c r="I201" s="19"/>
    </x:row>
    <x:row r="202">
      <x:c r="A202" s="19"/>
      <x:c r="B202" s="19"/>
      <x:c r="C202" s="19"/>
      <x:c r="D202" s="19"/>
      <x:c r="E202" s="53"/>
      <x:c r="F202" s="19"/>
      <x:c r="G202" s="19"/>
      <x:c r="H202" s="19"/>
      <x:c r="I202" s="19"/>
    </x:row>
    <x:row r="203">
      <x:c r="A203" s="19"/>
      <x:c r="B203" s="19"/>
      <x:c r="C203" s="19"/>
      <x:c r="D203" s="19"/>
      <x:c r="E203" s="53"/>
      <x:c r="F203" s="19"/>
      <x:c r="G203" s="19"/>
      <x:c r="H203" s="19"/>
      <x:c r="I203" s="19"/>
    </x:row>
    <x:row r="204">
      <x:c r="A204" s="19"/>
      <x:c r="B204" s="19"/>
      <x:c r="C204" s="19"/>
      <x:c r="D204" s="19"/>
      <x:c r="E204" s="53"/>
      <x:c r="F204" s="19"/>
      <x:c r="G204" s="19"/>
      <x:c r="H204" s="19"/>
      <x:c r="I204" s="19"/>
    </x:row>
    <x:row r="205">
      <x:c r="A205" s="19"/>
      <x:c r="B205" s="19"/>
      <x:c r="C205" s="19"/>
      <x:c r="D205" s="19"/>
      <x:c r="E205" s="53"/>
      <x:c r="F205" s="19"/>
      <x:c r="G205" s="19"/>
      <x:c r="H205" s="19"/>
      <x:c r="I205" s="19"/>
    </x:row>
  </x:sheetData>
  <x:mergeCells>
    <x:mergeCell ref="A1:I1"/>
    <x:mergeCell ref="A2:I2"/>
    <x:mergeCell ref="A3:I3"/>
  </x:mergeCells>
  <x:conditionalFormatting sqref="E6:E205">
    <x:cfRule type="timePeriod" dxfId="11" priority="1" timePeriod="today"/>
    <x:cfRule type="cellIs" dxfId="12" priority="2" operator="lessThan">
      <x:formula>TODAY()</x:formula>
    </x:cfRule>
  </x:conditionalFormatting>
  <x:conditionalFormatting sqref="H6:H205">
    <x:cfRule type="containsText" dxfId="13" priority="3" operator="containsText" text="Sim"/>
  </x:conditionalFormatting>
  <x:conditionalFormatting sqref="G6:G205">
    <x:cfRule type="containsText" dxfId="14" priority="4" operator="containsText" text="Alta"/>
  </x:conditionalFormatting>
  <x:dataValidations count="5">
    <x:dataValidation type="list" sqref="A6:A205">
      <x:formula1>'Planejamento de Viagens'!$A$6:$A$205</x:formula1>
    </x:dataValidation>
    <x:dataValidation type="list" sqref="D6:D205">
      <x:formula1>'Base de Categorias'!$A$2:$A$4</x:formula1>
    </x:dataValidation>
    <x:dataValidation type="list" sqref="F6:F205">
      <x:formula1>'Base de Categorias'!$F$2:$F$12</x:formula1>
    </x:dataValidation>
    <x:dataValidation type="list" sqref="G6:G205">
      <x:formula1>'Base de Categorias'!$H$2:$H$8</x:formula1>
    </x:dataValidation>
    <x:dataValidation type="list" sqref="H6:H205">
      <x:formula1>'Base de Categorias'!$M$2:$M$3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625949dfce42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3.130000114440918" hidden="0" customWidth="1"/>
    <x:col min="3" max="3" width="10" hidden="0" customWidth="1"/>
    <x:col min="4" max="4" width="30" hidden="0" customWidth="1"/>
    <x:col min="5" max="5" width="18.75" hidden="0" customWidth="1"/>
    <x:col min="6" max="6" width="20" hidden="0" customWidth="1"/>
    <x:col min="7" max="7" width="15" hidden="0" customWidth="1"/>
    <x:col min="8" max="8" width="15" hidden="0" customWidth="1"/>
    <x:col min="9" max="9" width="22.5" hidden="0" customWidth="1"/>
    <x:col min="10" max="10" width="17.5" hidden="0" customWidth="1"/>
    <x:col min="11" max="11" width="26.25" hidden="0" customWidth="1"/>
    <x:col min="12" max="12" width="15" hidden="0" customWidth="1"/>
    <x:col min="13" max="13" width="30" hidden="0" customWidth="1"/>
    <x:col min="14" max="14" width="3" hidden="0" customWidth="1"/>
    <x:col min="15" max="15" width="21.25" hidden="0" customWidth="1"/>
    <x:col min="16" max="16" width="16.25" hidden="0" customWidth="1"/>
  </x:cols>
  <x:sheetData>
    <x:row r="1" ht="25.5" customHeight="1">
      <x:c r="A1" s="4" t="str">
        <x:v>Roteiro e Agenda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1" customHeight="1">
      <x:c r="A2" s="9" t="str">
        <x:v>Organize atividades por dia e acompanhe custos estimados e reais do roteiro.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3" ht="22.5" customHeight="1">
      <x:c r="A3" s="47" t="str">
        <x:v>Células em azul são preenchidas manualmente. Células em cinza são calculadas automaticamente.</x:v>
      </x:c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9"/>
    </x:row>
    <x:row r="5">
      <x:c r="A5" s="101" t="str">
        <x:v>ID da viagem</x:v>
      </x:c>
      <x:c r="B5" s="101" t="str">
        <x:v>Data</x:v>
      </x:c>
      <x:c r="C5" s="101" t="str">
        <x:v>Horário</x:v>
      </x:c>
      <x:c r="D5" s="101" t="str">
        <x:v>Atividade</x:v>
      </x:c>
      <x:c r="E5" s="101" t="str">
        <x:v>Local</x:v>
      </x:c>
      <x:c r="F5" s="101" t="str">
        <x:v>Categoria</x:v>
      </x:c>
      <x:c r="G5" s="101" t="str">
        <x:v>Custo estimado</x:v>
      </x:c>
      <x:c r="H5" s="101" t="str">
        <x:v>Custo real</x:v>
      </x:c>
      <x:c r="I5" s="101" t="str">
        <x:v>Responsável</x:v>
      </x:c>
      <x:c r="J5" s="101" t="str">
        <x:v>Reserva necessária?</x:v>
      </x:c>
      <x:c r="K5" s="101" t="str">
        <x:v>Link da reserva</x:v>
      </x:c>
      <x:c r="L5" s="101" t="str">
        <x:v>Status</x:v>
      </x:c>
      <x:c r="M5" s="101" t="str">
        <x:v>Observações</x:v>
      </x:c>
      <x:c r="O5" s="14" t="str">
        <x:v>Resumo do roteiro</x:v>
      </x:c>
      <x:c r="P5" s="14" t="str">
        <x:v>Valor</x:v>
      </x:c>
    </x:row>
    <x:row r="6">
      <x:c r="A6" s="19" t="str">
        <x:v>V001</x:v>
      </x:c>
      <x:c r="B6" s="53" t="n">
        <x:v>46215</x:v>
      </x:c>
      <x:c r="C6" s="19" t="str">
        <x:v>18:30</x:v>
      </x:c>
      <x:c r="D6" s="19" t="str">
        <x:v>Chegada e jantar em casa</x:v>
      </x:c>
      <x:c r="E6" s="19" t="str">
        <x:v>João Pessoa</x:v>
      </x:c>
      <x:c r="F6" s="19" t="str">
        <x:v>Alimentação</x:v>
      </x:c>
      <x:c r="G6" s="55" t="n">
        <x:v>120</x:v>
      </x:c>
      <x:c r="H6" s="55" t="n">
        <x:v>0</x:v>
      </x:c>
      <x:c r="I6" s="19" t="str">
        <x:v>Ambos</x:v>
      </x:c>
      <x:c r="J6" s="19" t="str">
        <x:v>Não</x:v>
      </x:c>
      <x:c r="K6" s="19" t="str"/>
      <x:c r="L6" s="19" t="str">
        <x:v>Planejado</x:v>
      </x:c>
      <x:c r="M6" s="19" t="str"/>
      <x:c r="O6" t="str">
        <x:v>Total estimado</x:v>
      </x:c>
      <x:c r="P6" s="63" t="n">
        <x:f>SUM(G6:G205)</x:f>
        <x:v>1020</x:v>
      </x:c>
    </x:row>
    <x:row r="7">
      <x:c r="A7" s="19" t="str">
        <x:v>V001</x:v>
      </x:c>
      <x:c r="B7" s="53" t="n">
        <x:v>46216</x:v>
      </x:c>
      <x:c r="C7" s="19" t="str">
        <x:v>10:00</x:v>
      </x:c>
      <x:c r="D7" s="19" t="str">
        <x:v>Praia e almoço</x:v>
      </x:c>
      <x:c r="E7" s="19" t="str">
        <x:v>Cabo Branco</x:v>
      </x:c>
      <x:c r="F7" s="19" t="str">
        <x:v>Lazer e encontros</x:v>
      </x:c>
      <x:c r="G7" s="55" t="n">
        <x:v>190</x:v>
      </x:c>
      <x:c r="H7" s="55" t="n">
        <x:v>0</x:v>
      </x:c>
      <x:c r="I7" s="19" t="str">
        <x:v>Pedro Américo Paletot</x:v>
      </x:c>
      <x:c r="J7" s="19" t="str">
        <x:v>Não</x:v>
      </x:c>
      <x:c r="K7" s="19" t="str"/>
      <x:c r="L7" s="19" t="str">
        <x:v>Planejado</x:v>
      </x:c>
      <x:c r="M7" s="19" t="str"/>
      <x:c r="O7" t="str">
        <x:v>Total real</x:v>
      </x:c>
      <x:c r="P7" s="63" t="n">
        <x:f>SUM(H6:H205)</x:f>
        <x:v>124</x:v>
      </x:c>
    </x:row>
    <x:row r="8">
      <x:c r="A8" s="19" t="str">
        <x:v>V001</x:v>
      </x:c>
      <x:c r="B8" s="53" t="n">
        <x:v>46218</x:v>
      </x:c>
      <x:c r="C8" s="19" t="str">
        <x:v>20:00</x:v>
      </x:c>
      <x:c r="D8" s="19" t="str">
        <x:v>Restaurante especial</x:v>
      </x:c>
      <x:c r="E8" s="19" t="str">
        <x:v>João Pessoa</x:v>
      </x:c>
      <x:c r="F8" s="19" t="str">
        <x:v>Alimentação</x:v>
      </x:c>
      <x:c r="G8" s="55" t="n">
        <x:v>240</x:v>
      </x:c>
      <x:c r="H8" s="55" t="n">
        <x:v>0</x:v>
      </x:c>
      <x:c r="I8" s="19" t="str">
        <x:v>Ambos</x:v>
      </x:c>
      <x:c r="J8" s="19" t="str">
        <x:v>Sim</x:v>
      </x:c>
      <x:c r="K8" s="19" t="str">
        <x:v>https://exemplo.com/reserva</x:v>
      </x:c>
      <x:c r="L8" s="19" t="str">
        <x:v>Planejado</x:v>
      </x:c>
      <x:c r="M8" s="19" t="str"/>
      <x:c r="O8" t="str">
        <x:v>Custo por dia</x:v>
      </x:c>
      <x:c r="P8" s="63" t="n">
        <x:f>IFERROR(P7/MAX(COUNT(B6:B205),1),0)</x:f>
        <x:v>17.714285714285715</x:v>
      </x:c>
    </x:row>
    <x:row r="9">
      <x:c r="A9" s="19" t="str">
        <x:v>V002</x:v>
      </x:c>
      <x:c r="B9" s="53" t="n">
        <x:v>46257</x:v>
      </x:c>
      <x:c r="C9" s="19" t="str">
        <x:v>19:30</x:v>
      </x:c>
      <x:c r="D9" s="19" t="str">
        <x:v>Jantar especial</x:v>
      </x:c>
      <x:c r="E9" s="19" t="str">
        <x:v>Cuiabá</x:v>
      </x:c>
      <x:c r="F9" s="19" t="str">
        <x:v>Alimentação</x:v>
      </x:c>
      <x:c r="G9" s="55" t="n">
        <x:v>240</x:v>
      </x:c>
      <x:c r="H9" s="55" t="n">
        <x:v>0</x:v>
      </x:c>
      <x:c r="I9" s="19" t="str">
        <x:v>Camilly Queiroz</x:v>
      </x:c>
      <x:c r="J9" s="19" t="str">
        <x:v>Sim</x:v>
      </x:c>
      <x:c r="K9" s="19" t="str"/>
      <x:c r="L9" s="19" t="str">
        <x:v>Ideia</x:v>
      </x:c>
      <x:c r="M9" s="19" t="str"/>
      <x:c r="O9" t="str">
        <x:v>Dia mais caro</x:v>
      </x:c>
      <x:c r="P9" s="67" t="n">
        <x:f>IFERROR(INDEX(B6:B205,MATCH(MAX(H6:H205),H6:H205,0)),"")</x:f>
        <x:v>46159</x:v>
      </x:c>
    </x:row>
    <x:row r="10">
      <x:c r="A10" s="19" t="str">
        <x:v>V002</x:v>
      </x:c>
      <x:c r="B10" s="53" t="n">
        <x:v>46258</x:v>
      </x:c>
      <x:c r="C10" s="19" t="str">
        <x:v>16:00</x:v>
      </x:c>
      <x:c r="D10" s="19" t="str">
        <x:v>Cinema</x:v>
      </x:c>
      <x:c r="E10" s="19" t="str">
        <x:v>Shopping</x:v>
      </x:c>
      <x:c r="F10" s="19" t="str">
        <x:v>Lazer e encontros</x:v>
      </x:c>
      <x:c r="G10" s="55" t="n">
        <x:v>120</x:v>
      </x:c>
      <x:c r="H10" s="55" t="n">
        <x:v>0</x:v>
      </x:c>
      <x:c r="I10" s="19" t="str">
        <x:v>Ambos</x:v>
      </x:c>
      <x:c r="J10" s="19" t="str">
        <x:v>Não</x:v>
      </x:c>
      <x:c r="K10" s="19" t="str"/>
      <x:c r="L10" s="19" t="str">
        <x:v>Ideia</x:v>
      </x:c>
      <x:c r="M10" s="19" t="str"/>
      <x:c r="O10" t="str">
        <x:v>Atividades pagas</x:v>
      </x:c>
      <x:c r="P10" s="67" t="n">
        <x:f>COUNTIF(G6:G205,"&gt;0")</x:f>
        <x:v>6</x:v>
      </x:c>
    </x:row>
    <x:row r="11">
      <x:c r="A11" s="19" t="str">
        <x:v>V003</x:v>
      </x:c>
      <x:c r="B11" s="53" t="n">
        <x:v>46158</x:v>
      </x:c>
      <x:c r="C11" s="19" t="str">
        <x:v>14:00</x:v>
      </x:c>
      <x:c r="D11" s="19" t="str">
        <x:v>Check-in hotel</x:v>
      </x:c>
      <x:c r="E11" s="19" t="str">
        <x:v>Recife</x:v>
      </x:c>
      <x:c r="F11" s="19" t="str">
        <x:v>Hospedagem</x:v>
      </x:c>
      <x:c r="G11" s="55" t="n">
        <x:v>0</x:v>
      </x:c>
      <x:c r="H11" s="55" t="n">
        <x:v>0</x:v>
      </x:c>
      <x:c r="I11" s="19" t="str">
        <x:v>Camilly Queiroz</x:v>
      </x:c>
      <x:c r="J11" s="19" t="str">
        <x:v>Sim</x:v>
      </x:c>
      <x:c r="K11" s="19" t="str">
        <x:v>https://exemplo.com/hotel</x:v>
      </x:c>
      <x:c r="L11" s="19" t="str">
        <x:v>Concluído</x:v>
      </x:c>
      <x:c r="M11" s="19" t="str"/>
    </x:row>
    <x:row r="12">
      <x:c r="A12" s="19" t="str">
        <x:v>V003</x:v>
      </x:c>
      <x:c r="B12" s="53" t="n">
        <x:v>46159</x:v>
      </x:c>
      <x:c r="C12" s="19" t="str">
        <x:v>15:00</x:v>
      </x:c>
      <x:c r="D12" s="19" t="str">
        <x:v>Passeio pelo centro antigo</x:v>
      </x:c>
      <x:c r="E12" s="19" t="str">
        <x:v>Recife</x:v>
      </x:c>
      <x:c r="F12" s="19" t="str">
        <x:v>Lazer e encontros</x:v>
      </x:c>
      <x:c r="G12" s="55" t="n">
        <x:v>110</x:v>
      </x:c>
      <x:c r="H12" s="55" t="n">
        <x:v>124</x:v>
      </x:c>
      <x:c r="I12" s="19" t="str">
        <x:v>Pedro Américo Paletot</x:v>
      </x:c>
      <x:c r="J12" s="19" t="str">
        <x:v>Não</x:v>
      </x:c>
      <x:c r="K12" s="19" t="str"/>
      <x:c r="L12" s="19" t="str">
        <x:v>Concluído</x:v>
      </x:c>
      <x:c r="M12" s="19" t="str"/>
    </x:row>
    <x:row r="13">
      <x:c r="A13" s="19"/>
      <x:c r="B13" s="53"/>
      <x:c r="C13" s="19"/>
      <x:c r="D13" s="19"/>
      <x:c r="E13" s="19"/>
      <x:c r="F13" s="19"/>
      <x:c r="G13" s="55"/>
      <x:c r="H13" s="55"/>
      <x:c r="I13" s="19"/>
      <x:c r="J13" s="19"/>
      <x:c r="K13" s="19"/>
      <x:c r="L13" s="19"/>
      <x:c r="M13" s="19"/>
    </x:row>
    <x:row r="14">
      <x:c r="A14" s="19"/>
      <x:c r="B14" s="53"/>
      <x:c r="C14" s="19"/>
      <x:c r="D14" s="19"/>
      <x:c r="E14" s="19"/>
      <x:c r="F14" s="19"/>
      <x:c r="G14" s="55"/>
      <x:c r="H14" s="55"/>
      <x:c r="I14" s="19"/>
      <x:c r="J14" s="19"/>
      <x:c r="K14" s="19"/>
      <x:c r="L14" s="19"/>
      <x:c r="M14" s="19"/>
    </x:row>
    <x:row r="15">
      <x:c r="A15" s="19"/>
      <x:c r="B15" s="53"/>
      <x:c r="C15" s="19"/>
      <x:c r="D15" s="19"/>
      <x:c r="E15" s="19"/>
      <x:c r="F15" s="19"/>
      <x:c r="G15" s="55"/>
      <x:c r="H15" s="55"/>
      <x:c r="I15" s="19"/>
      <x:c r="J15" s="19"/>
      <x:c r="K15" s="19"/>
      <x:c r="L15" s="19"/>
      <x:c r="M15" s="19"/>
    </x:row>
    <x:row r="16">
      <x:c r="A16" s="19"/>
      <x:c r="B16" s="53"/>
      <x:c r="C16" s="19"/>
      <x:c r="D16" s="19"/>
      <x:c r="E16" s="19"/>
      <x:c r="F16" s="19"/>
      <x:c r="G16" s="55"/>
      <x:c r="H16" s="55"/>
      <x:c r="I16" s="19"/>
      <x:c r="J16" s="19"/>
      <x:c r="K16" s="19"/>
      <x:c r="L16" s="19"/>
      <x:c r="M16" s="19"/>
    </x:row>
    <x:row r="17">
      <x:c r="A17" s="19"/>
      <x:c r="B17" s="53"/>
      <x:c r="C17" s="19"/>
      <x:c r="D17" s="19"/>
      <x:c r="E17" s="19"/>
      <x:c r="F17" s="19"/>
      <x:c r="G17" s="55"/>
      <x:c r="H17" s="55"/>
      <x:c r="I17" s="19"/>
      <x:c r="J17" s="19"/>
      <x:c r="K17" s="19"/>
      <x:c r="L17" s="19"/>
      <x:c r="M17" s="19"/>
    </x:row>
    <x:row r="18">
      <x:c r="A18" s="19"/>
      <x:c r="B18" s="53"/>
      <x:c r="C18" s="19"/>
      <x:c r="D18" s="19"/>
      <x:c r="E18" s="19"/>
      <x:c r="F18" s="19"/>
      <x:c r="G18" s="55"/>
      <x:c r="H18" s="55"/>
      <x:c r="I18" s="19"/>
      <x:c r="J18" s="19"/>
      <x:c r="K18" s="19"/>
      <x:c r="L18" s="19"/>
      <x:c r="M18" s="19"/>
    </x:row>
    <x:row r="19">
      <x:c r="A19" s="19"/>
      <x:c r="B19" s="53"/>
      <x:c r="C19" s="19"/>
      <x:c r="D19" s="19"/>
      <x:c r="E19" s="19"/>
      <x:c r="F19" s="19"/>
      <x:c r="G19" s="55"/>
      <x:c r="H19" s="55"/>
      <x:c r="I19" s="19"/>
      <x:c r="J19" s="19"/>
      <x:c r="K19" s="19"/>
      <x:c r="L19" s="19"/>
      <x:c r="M19" s="19"/>
    </x:row>
    <x:row r="20">
      <x:c r="A20" s="19"/>
      <x:c r="B20" s="53"/>
      <x:c r="C20" s="19"/>
      <x:c r="D20" s="19"/>
      <x:c r="E20" s="19"/>
      <x:c r="F20" s="19"/>
      <x:c r="G20" s="55"/>
      <x:c r="H20" s="55"/>
      <x:c r="I20" s="19"/>
      <x:c r="J20" s="19"/>
      <x:c r="K20" s="19"/>
      <x:c r="L20" s="19"/>
      <x:c r="M20" s="19"/>
    </x:row>
    <x:row r="21">
      <x:c r="A21" s="19"/>
      <x:c r="B21" s="53"/>
      <x:c r="C21" s="19"/>
      <x:c r="D21" s="19"/>
      <x:c r="E21" s="19"/>
      <x:c r="F21" s="19"/>
      <x:c r="G21" s="55"/>
      <x:c r="H21" s="55"/>
      <x:c r="I21" s="19"/>
      <x:c r="J21" s="19"/>
      <x:c r="K21" s="19"/>
      <x:c r="L21" s="19"/>
      <x:c r="M21" s="19"/>
    </x:row>
    <x:row r="22">
      <x:c r="A22" s="19"/>
      <x:c r="B22" s="53"/>
      <x:c r="C22" s="19"/>
      <x:c r="D22" s="19"/>
      <x:c r="E22" s="19"/>
      <x:c r="F22" s="19"/>
      <x:c r="G22" s="55"/>
      <x:c r="H22" s="55"/>
      <x:c r="I22" s="19"/>
      <x:c r="J22" s="19"/>
      <x:c r="K22" s="19"/>
      <x:c r="L22" s="19"/>
      <x:c r="M22" s="19"/>
    </x:row>
    <x:row r="23">
      <x:c r="A23" s="19"/>
      <x:c r="B23" s="53"/>
      <x:c r="C23" s="19"/>
      <x:c r="D23" s="19"/>
      <x:c r="E23" s="19"/>
      <x:c r="F23" s="19"/>
      <x:c r="G23" s="55"/>
      <x:c r="H23" s="55"/>
      <x:c r="I23" s="19"/>
      <x:c r="J23" s="19"/>
      <x:c r="K23" s="19"/>
      <x:c r="L23" s="19"/>
      <x:c r="M23" s="19"/>
    </x:row>
    <x:row r="24">
      <x:c r="A24" s="19"/>
      <x:c r="B24" s="53"/>
      <x:c r="C24" s="19"/>
      <x:c r="D24" s="19"/>
      <x:c r="E24" s="19"/>
      <x:c r="F24" s="19"/>
      <x:c r="G24" s="55"/>
      <x:c r="H24" s="55"/>
      <x:c r="I24" s="19"/>
      <x:c r="J24" s="19"/>
      <x:c r="K24" s="19"/>
      <x:c r="L24" s="19"/>
      <x:c r="M24" s="19"/>
    </x:row>
    <x:row r="25">
      <x:c r="A25" s="19"/>
      <x:c r="B25" s="53"/>
      <x:c r="C25" s="19"/>
      <x:c r="D25" s="19"/>
      <x:c r="E25" s="19"/>
      <x:c r="F25" s="19"/>
      <x:c r="G25" s="55"/>
      <x:c r="H25" s="55"/>
      <x:c r="I25" s="19"/>
      <x:c r="J25" s="19"/>
      <x:c r="K25" s="19"/>
      <x:c r="L25" s="19"/>
      <x:c r="M25" s="19"/>
    </x:row>
    <x:row r="26">
      <x:c r="A26" s="19"/>
      <x:c r="B26" s="53"/>
      <x:c r="C26" s="19"/>
      <x:c r="D26" s="19"/>
      <x:c r="E26" s="19"/>
      <x:c r="F26" s="19"/>
      <x:c r="G26" s="55"/>
      <x:c r="H26" s="55"/>
      <x:c r="I26" s="19"/>
      <x:c r="J26" s="19"/>
      <x:c r="K26" s="19"/>
      <x:c r="L26" s="19"/>
      <x:c r="M26" s="19"/>
    </x:row>
    <x:row r="27">
      <x:c r="A27" s="19"/>
      <x:c r="B27" s="53"/>
      <x:c r="C27" s="19"/>
      <x:c r="D27" s="19"/>
      <x:c r="E27" s="19"/>
      <x:c r="F27" s="19"/>
      <x:c r="G27" s="55"/>
      <x:c r="H27" s="55"/>
      <x:c r="I27" s="19"/>
      <x:c r="J27" s="19"/>
      <x:c r="K27" s="19"/>
      <x:c r="L27" s="19"/>
      <x:c r="M27" s="19"/>
    </x:row>
    <x:row r="28">
      <x:c r="A28" s="19"/>
      <x:c r="B28" s="53"/>
      <x:c r="C28" s="19"/>
      <x:c r="D28" s="19"/>
      <x:c r="E28" s="19"/>
      <x:c r="F28" s="19"/>
      <x:c r="G28" s="55"/>
      <x:c r="H28" s="55"/>
      <x:c r="I28" s="19"/>
      <x:c r="J28" s="19"/>
      <x:c r="K28" s="19"/>
      <x:c r="L28" s="19"/>
      <x:c r="M28" s="19"/>
    </x:row>
    <x:row r="29">
      <x:c r="A29" s="19"/>
      <x:c r="B29" s="53"/>
      <x:c r="C29" s="19"/>
      <x:c r="D29" s="19"/>
      <x:c r="E29" s="19"/>
      <x:c r="F29" s="19"/>
      <x:c r="G29" s="55"/>
      <x:c r="H29" s="55"/>
      <x:c r="I29" s="19"/>
      <x:c r="J29" s="19"/>
      <x:c r="K29" s="19"/>
      <x:c r="L29" s="19"/>
      <x:c r="M29" s="19"/>
    </x:row>
    <x:row r="30">
      <x:c r="A30" s="19"/>
      <x:c r="B30" s="53"/>
      <x:c r="C30" s="19"/>
      <x:c r="D30" s="19"/>
      <x:c r="E30" s="19"/>
      <x:c r="F30" s="19"/>
      <x:c r="G30" s="55"/>
      <x:c r="H30" s="55"/>
      <x:c r="I30" s="19"/>
      <x:c r="J30" s="19"/>
      <x:c r="K30" s="19"/>
      <x:c r="L30" s="19"/>
      <x:c r="M30" s="19"/>
    </x:row>
    <x:row r="31">
      <x:c r="A31" s="19"/>
      <x:c r="B31" s="53"/>
      <x:c r="C31" s="19"/>
      <x:c r="D31" s="19"/>
      <x:c r="E31" s="19"/>
      <x:c r="F31" s="19"/>
      <x:c r="G31" s="55"/>
      <x:c r="H31" s="55"/>
      <x:c r="I31" s="19"/>
      <x:c r="J31" s="19"/>
      <x:c r="K31" s="19"/>
      <x:c r="L31" s="19"/>
      <x:c r="M31" s="19"/>
    </x:row>
    <x:row r="32">
      <x:c r="A32" s="19"/>
      <x:c r="B32" s="53"/>
      <x:c r="C32" s="19"/>
      <x:c r="D32" s="19"/>
      <x:c r="E32" s="19"/>
      <x:c r="F32" s="19"/>
      <x:c r="G32" s="55"/>
      <x:c r="H32" s="55"/>
      <x:c r="I32" s="19"/>
      <x:c r="J32" s="19"/>
      <x:c r="K32" s="19"/>
      <x:c r="L32" s="19"/>
      <x:c r="M32" s="19"/>
    </x:row>
    <x:row r="33">
      <x:c r="A33" s="19"/>
      <x:c r="B33" s="53"/>
      <x:c r="C33" s="19"/>
      <x:c r="D33" s="19"/>
      <x:c r="E33" s="19"/>
      <x:c r="F33" s="19"/>
      <x:c r="G33" s="55"/>
      <x:c r="H33" s="55"/>
      <x:c r="I33" s="19"/>
      <x:c r="J33" s="19"/>
      <x:c r="K33" s="19"/>
      <x:c r="L33" s="19"/>
      <x:c r="M33" s="19"/>
    </x:row>
    <x:row r="34">
      <x:c r="A34" s="19"/>
      <x:c r="B34" s="53"/>
      <x:c r="C34" s="19"/>
      <x:c r="D34" s="19"/>
      <x:c r="E34" s="19"/>
      <x:c r="F34" s="19"/>
      <x:c r="G34" s="55"/>
      <x:c r="H34" s="55"/>
      <x:c r="I34" s="19"/>
      <x:c r="J34" s="19"/>
      <x:c r="K34" s="19"/>
      <x:c r="L34" s="19"/>
      <x:c r="M34" s="19"/>
    </x:row>
    <x:row r="35">
      <x:c r="A35" s="19"/>
      <x:c r="B35" s="53"/>
      <x:c r="C35" s="19"/>
      <x:c r="D35" s="19"/>
      <x:c r="E35" s="19"/>
      <x:c r="F35" s="19"/>
      <x:c r="G35" s="55"/>
      <x:c r="H35" s="55"/>
      <x:c r="I35" s="19"/>
      <x:c r="J35" s="19"/>
      <x:c r="K35" s="19"/>
      <x:c r="L35" s="19"/>
      <x:c r="M35" s="19"/>
    </x:row>
    <x:row r="36">
      <x:c r="A36" s="19"/>
      <x:c r="B36" s="53"/>
      <x:c r="C36" s="19"/>
      <x:c r="D36" s="19"/>
      <x:c r="E36" s="19"/>
      <x:c r="F36" s="19"/>
      <x:c r="G36" s="55"/>
      <x:c r="H36" s="55"/>
      <x:c r="I36" s="19"/>
      <x:c r="J36" s="19"/>
      <x:c r="K36" s="19"/>
      <x:c r="L36" s="19"/>
      <x:c r="M36" s="19"/>
    </x:row>
    <x:row r="37">
      <x:c r="A37" s="19"/>
      <x:c r="B37" s="53"/>
      <x:c r="C37" s="19"/>
      <x:c r="D37" s="19"/>
      <x:c r="E37" s="19"/>
      <x:c r="F37" s="19"/>
      <x:c r="G37" s="55"/>
      <x:c r="H37" s="55"/>
      <x:c r="I37" s="19"/>
      <x:c r="J37" s="19"/>
      <x:c r="K37" s="19"/>
      <x:c r="L37" s="19"/>
      <x:c r="M37" s="19"/>
    </x:row>
    <x:row r="38">
      <x:c r="A38" s="19"/>
      <x:c r="B38" s="53"/>
      <x:c r="C38" s="19"/>
      <x:c r="D38" s="19"/>
      <x:c r="E38" s="19"/>
      <x:c r="F38" s="19"/>
      <x:c r="G38" s="55"/>
      <x:c r="H38" s="55"/>
      <x:c r="I38" s="19"/>
      <x:c r="J38" s="19"/>
      <x:c r="K38" s="19"/>
      <x:c r="L38" s="19"/>
      <x:c r="M38" s="19"/>
    </x:row>
    <x:row r="39">
      <x:c r="A39" s="19"/>
      <x:c r="B39" s="53"/>
      <x:c r="C39" s="19"/>
      <x:c r="D39" s="19"/>
      <x:c r="E39" s="19"/>
      <x:c r="F39" s="19"/>
      <x:c r="G39" s="55"/>
      <x:c r="H39" s="55"/>
      <x:c r="I39" s="19"/>
      <x:c r="J39" s="19"/>
      <x:c r="K39" s="19"/>
      <x:c r="L39" s="19"/>
      <x:c r="M39" s="19"/>
    </x:row>
    <x:row r="40">
      <x:c r="A40" s="19"/>
      <x:c r="B40" s="53"/>
      <x:c r="C40" s="19"/>
      <x:c r="D40" s="19"/>
      <x:c r="E40" s="19"/>
      <x:c r="F40" s="19"/>
      <x:c r="G40" s="55"/>
      <x:c r="H40" s="55"/>
      <x:c r="I40" s="19"/>
      <x:c r="J40" s="19"/>
      <x:c r="K40" s="19"/>
      <x:c r="L40" s="19"/>
      <x:c r="M40" s="19"/>
    </x:row>
    <x:row r="41">
      <x:c r="A41" s="19"/>
      <x:c r="B41" s="53"/>
      <x:c r="C41" s="19"/>
      <x:c r="D41" s="19"/>
      <x:c r="E41" s="19"/>
      <x:c r="F41" s="19"/>
      <x:c r="G41" s="55"/>
      <x:c r="H41" s="55"/>
      <x:c r="I41" s="19"/>
      <x:c r="J41" s="19"/>
      <x:c r="K41" s="19"/>
      <x:c r="L41" s="19"/>
      <x:c r="M41" s="19"/>
    </x:row>
    <x:row r="42">
      <x:c r="A42" s="19"/>
      <x:c r="B42" s="53"/>
      <x:c r="C42" s="19"/>
      <x:c r="D42" s="19"/>
      <x:c r="E42" s="19"/>
      <x:c r="F42" s="19"/>
      <x:c r="G42" s="55"/>
      <x:c r="H42" s="55"/>
      <x:c r="I42" s="19"/>
      <x:c r="J42" s="19"/>
      <x:c r="K42" s="19"/>
      <x:c r="L42" s="19"/>
      <x:c r="M42" s="19"/>
    </x:row>
    <x:row r="43">
      <x:c r="A43" s="19"/>
      <x:c r="B43" s="53"/>
      <x:c r="C43" s="19"/>
      <x:c r="D43" s="19"/>
      <x:c r="E43" s="19"/>
      <x:c r="F43" s="19"/>
      <x:c r="G43" s="55"/>
      <x:c r="H43" s="55"/>
      <x:c r="I43" s="19"/>
      <x:c r="J43" s="19"/>
      <x:c r="K43" s="19"/>
      <x:c r="L43" s="19"/>
      <x:c r="M43" s="19"/>
    </x:row>
    <x:row r="44">
      <x:c r="A44" s="19"/>
      <x:c r="B44" s="53"/>
      <x:c r="C44" s="19"/>
      <x:c r="D44" s="19"/>
      <x:c r="E44" s="19"/>
      <x:c r="F44" s="19"/>
      <x:c r="G44" s="55"/>
      <x:c r="H44" s="55"/>
      <x:c r="I44" s="19"/>
      <x:c r="J44" s="19"/>
      <x:c r="K44" s="19"/>
      <x:c r="L44" s="19"/>
      <x:c r="M44" s="19"/>
    </x:row>
    <x:row r="45">
      <x:c r="A45" s="19"/>
      <x:c r="B45" s="53"/>
      <x:c r="C45" s="19"/>
      <x:c r="D45" s="19"/>
      <x:c r="E45" s="19"/>
      <x:c r="F45" s="19"/>
      <x:c r="G45" s="55"/>
      <x:c r="H45" s="55"/>
      <x:c r="I45" s="19"/>
      <x:c r="J45" s="19"/>
      <x:c r="K45" s="19"/>
      <x:c r="L45" s="19"/>
      <x:c r="M45" s="19"/>
    </x:row>
    <x:row r="46">
      <x:c r="A46" s="19"/>
      <x:c r="B46" s="53"/>
      <x:c r="C46" s="19"/>
      <x:c r="D46" s="19"/>
      <x:c r="E46" s="19"/>
      <x:c r="F46" s="19"/>
      <x:c r="G46" s="55"/>
      <x:c r="H46" s="55"/>
      <x:c r="I46" s="19"/>
      <x:c r="J46" s="19"/>
      <x:c r="K46" s="19"/>
      <x:c r="L46" s="19"/>
      <x:c r="M46" s="19"/>
    </x:row>
    <x:row r="47">
      <x:c r="A47" s="19"/>
      <x:c r="B47" s="53"/>
      <x:c r="C47" s="19"/>
      <x:c r="D47" s="19"/>
      <x:c r="E47" s="19"/>
      <x:c r="F47" s="19"/>
      <x:c r="G47" s="55"/>
      <x:c r="H47" s="55"/>
      <x:c r="I47" s="19"/>
      <x:c r="J47" s="19"/>
      <x:c r="K47" s="19"/>
      <x:c r="L47" s="19"/>
      <x:c r="M47" s="19"/>
    </x:row>
    <x:row r="48">
      <x:c r="A48" s="19"/>
      <x:c r="B48" s="53"/>
      <x:c r="C48" s="19"/>
      <x:c r="D48" s="19"/>
      <x:c r="E48" s="19"/>
      <x:c r="F48" s="19"/>
      <x:c r="G48" s="55"/>
      <x:c r="H48" s="55"/>
      <x:c r="I48" s="19"/>
      <x:c r="J48" s="19"/>
      <x:c r="K48" s="19"/>
      <x:c r="L48" s="19"/>
      <x:c r="M48" s="19"/>
    </x:row>
    <x:row r="49">
      <x:c r="A49" s="19"/>
      <x:c r="B49" s="53"/>
      <x:c r="C49" s="19"/>
      <x:c r="D49" s="19"/>
      <x:c r="E49" s="19"/>
      <x:c r="F49" s="19"/>
      <x:c r="G49" s="55"/>
      <x:c r="H49" s="55"/>
      <x:c r="I49" s="19"/>
      <x:c r="J49" s="19"/>
      <x:c r="K49" s="19"/>
      <x:c r="L49" s="19"/>
      <x:c r="M49" s="19"/>
    </x:row>
    <x:row r="50">
      <x:c r="A50" s="19"/>
      <x:c r="B50" s="53"/>
      <x:c r="C50" s="19"/>
      <x:c r="D50" s="19"/>
      <x:c r="E50" s="19"/>
      <x:c r="F50" s="19"/>
      <x:c r="G50" s="55"/>
      <x:c r="H50" s="55"/>
      <x:c r="I50" s="19"/>
      <x:c r="J50" s="19"/>
      <x:c r="K50" s="19"/>
      <x:c r="L50" s="19"/>
      <x:c r="M50" s="19"/>
    </x:row>
    <x:row r="51">
      <x:c r="A51" s="19"/>
      <x:c r="B51" s="53"/>
      <x:c r="C51" s="19"/>
      <x:c r="D51" s="19"/>
      <x:c r="E51" s="19"/>
      <x:c r="F51" s="19"/>
      <x:c r="G51" s="55"/>
      <x:c r="H51" s="55"/>
      <x:c r="I51" s="19"/>
      <x:c r="J51" s="19"/>
      <x:c r="K51" s="19"/>
      <x:c r="L51" s="19"/>
      <x:c r="M51" s="19"/>
    </x:row>
    <x:row r="52">
      <x:c r="A52" s="19"/>
      <x:c r="B52" s="53"/>
      <x:c r="C52" s="19"/>
      <x:c r="D52" s="19"/>
      <x:c r="E52" s="19"/>
      <x:c r="F52" s="19"/>
      <x:c r="G52" s="55"/>
      <x:c r="H52" s="55"/>
      <x:c r="I52" s="19"/>
      <x:c r="J52" s="19"/>
      <x:c r="K52" s="19"/>
      <x:c r="L52" s="19"/>
      <x:c r="M52" s="19"/>
    </x:row>
    <x:row r="53">
      <x:c r="A53" s="19"/>
      <x:c r="B53" s="53"/>
      <x:c r="C53" s="19"/>
      <x:c r="D53" s="19"/>
      <x:c r="E53" s="19"/>
      <x:c r="F53" s="19"/>
      <x:c r="G53" s="55"/>
      <x:c r="H53" s="55"/>
      <x:c r="I53" s="19"/>
      <x:c r="J53" s="19"/>
      <x:c r="K53" s="19"/>
      <x:c r="L53" s="19"/>
      <x:c r="M53" s="19"/>
    </x:row>
    <x:row r="54">
      <x:c r="A54" s="19"/>
      <x:c r="B54" s="53"/>
      <x:c r="C54" s="19"/>
      <x:c r="D54" s="19"/>
      <x:c r="E54" s="19"/>
      <x:c r="F54" s="19"/>
      <x:c r="G54" s="55"/>
      <x:c r="H54" s="55"/>
      <x:c r="I54" s="19"/>
      <x:c r="J54" s="19"/>
      <x:c r="K54" s="19"/>
      <x:c r="L54" s="19"/>
      <x:c r="M54" s="19"/>
    </x:row>
    <x:row r="55">
      <x:c r="A55" s="19"/>
      <x:c r="B55" s="53"/>
      <x:c r="C55" s="19"/>
      <x:c r="D55" s="19"/>
      <x:c r="E55" s="19"/>
      <x:c r="F55" s="19"/>
      <x:c r="G55" s="55"/>
      <x:c r="H55" s="55"/>
      <x:c r="I55" s="19"/>
      <x:c r="J55" s="19"/>
      <x:c r="K55" s="19"/>
      <x:c r="L55" s="19"/>
      <x:c r="M55" s="19"/>
    </x:row>
    <x:row r="56">
      <x:c r="A56" s="19"/>
      <x:c r="B56" s="53"/>
      <x:c r="C56" s="19"/>
      <x:c r="D56" s="19"/>
      <x:c r="E56" s="19"/>
      <x:c r="F56" s="19"/>
      <x:c r="G56" s="55"/>
      <x:c r="H56" s="55"/>
      <x:c r="I56" s="19"/>
      <x:c r="J56" s="19"/>
      <x:c r="K56" s="19"/>
      <x:c r="L56" s="19"/>
      <x:c r="M56" s="19"/>
    </x:row>
    <x:row r="57">
      <x:c r="A57" s="19"/>
      <x:c r="B57" s="53"/>
      <x:c r="C57" s="19"/>
      <x:c r="D57" s="19"/>
      <x:c r="E57" s="19"/>
      <x:c r="F57" s="19"/>
      <x:c r="G57" s="55"/>
      <x:c r="H57" s="55"/>
      <x:c r="I57" s="19"/>
      <x:c r="J57" s="19"/>
      <x:c r="K57" s="19"/>
      <x:c r="L57" s="19"/>
      <x:c r="M57" s="19"/>
    </x:row>
    <x:row r="58">
      <x:c r="A58" s="19"/>
      <x:c r="B58" s="53"/>
      <x:c r="C58" s="19"/>
      <x:c r="D58" s="19"/>
      <x:c r="E58" s="19"/>
      <x:c r="F58" s="19"/>
      <x:c r="G58" s="55"/>
      <x:c r="H58" s="55"/>
      <x:c r="I58" s="19"/>
      <x:c r="J58" s="19"/>
      <x:c r="K58" s="19"/>
      <x:c r="L58" s="19"/>
      <x:c r="M58" s="19"/>
    </x:row>
    <x:row r="59">
      <x:c r="A59" s="19"/>
      <x:c r="B59" s="53"/>
      <x:c r="C59" s="19"/>
      <x:c r="D59" s="19"/>
      <x:c r="E59" s="19"/>
      <x:c r="F59" s="19"/>
      <x:c r="G59" s="55"/>
      <x:c r="H59" s="55"/>
      <x:c r="I59" s="19"/>
      <x:c r="J59" s="19"/>
      <x:c r="K59" s="19"/>
      <x:c r="L59" s="19"/>
      <x:c r="M59" s="19"/>
    </x:row>
    <x:row r="60">
      <x:c r="A60" s="19"/>
      <x:c r="B60" s="53"/>
      <x:c r="C60" s="19"/>
      <x:c r="D60" s="19"/>
      <x:c r="E60" s="19"/>
      <x:c r="F60" s="19"/>
      <x:c r="G60" s="55"/>
      <x:c r="H60" s="55"/>
      <x:c r="I60" s="19"/>
      <x:c r="J60" s="19"/>
      <x:c r="K60" s="19"/>
      <x:c r="L60" s="19"/>
      <x:c r="M60" s="19"/>
    </x:row>
    <x:row r="61">
      <x:c r="A61" s="19"/>
      <x:c r="B61" s="53"/>
      <x:c r="C61" s="19"/>
      <x:c r="D61" s="19"/>
      <x:c r="E61" s="19"/>
      <x:c r="F61" s="19"/>
      <x:c r="G61" s="55"/>
      <x:c r="H61" s="55"/>
      <x:c r="I61" s="19"/>
      <x:c r="J61" s="19"/>
      <x:c r="K61" s="19"/>
      <x:c r="L61" s="19"/>
      <x:c r="M61" s="19"/>
    </x:row>
    <x:row r="62">
      <x:c r="A62" s="19"/>
      <x:c r="B62" s="53"/>
      <x:c r="C62" s="19"/>
      <x:c r="D62" s="19"/>
      <x:c r="E62" s="19"/>
      <x:c r="F62" s="19"/>
      <x:c r="G62" s="55"/>
      <x:c r="H62" s="55"/>
      <x:c r="I62" s="19"/>
      <x:c r="J62" s="19"/>
      <x:c r="K62" s="19"/>
      <x:c r="L62" s="19"/>
      <x:c r="M62" s="19"/>
    </x:row>
    <x:row r="63">
      <x:c r="A63" s="19"/>
      <x:c r="B63" s="53"/>
      <x:c r="C63" s="19"/>
      <x:c r="D63" s="19"/>
      <x:c r="E63" s="19"/>
      <x:c r="F63" s="19"/>
      <x:c r="G63" s="55"/>
      <x:c r="H63" s="55"/>
      <x:c r="I63" s="19"/>
      <x:c r="J63" s="19"/>
      <x:c r="K63" s="19"/>
      <x:c r="L63" s="19"/>
      <x:c r="M63" s="19"/>
    </x:row>
    <x:row r="64">
      <x:c r="A64" s="19"/>
      <x:c r="B64" s="53"/>
      <x:c r="C64" s="19"/>
      <x:c r="D64" s="19"/>
      <x:c r="E64" s="19"/>
      <x:c r="F64" s="19"/>
      <x:c r="G64" s="55"/>
      <x:c r="H64" s="55"/>
      <x:c r="I64" s="19"/>
      <x:c r="J64" s="19"/>
      <x:c r="K64" s="19"/>
      <x:c r="L64" s="19"/>
      <x:c r="M64" s="19"/>
    </x:row>
    <x:row r="65">
      <x:c r="A65" s="19"/>
      <x:c r="B65" s="53"/>
      <x:c r="C65" s="19"/>
      <x:c r="D65" s="19"/>
      <x:c r="E65" s="19"/>
      <x:c r="F65" s="19"/>
      <x:c r="G65" s="55"/>
      <x:c r="H65" s="55"/>
      <x:c r="I65" s="19"/>
      <x:c r="J65" s="19"/>
      <x:c r="K65" s="19"/>
      <x:c r="L65" s="19"/>
      <x:c r="M65" s="19"/>
    </x:row>
    <x:row r="66">
      <x:c r="A66" s="19"/>
      <x:c r="B66" s="53"/>
      <x:c r="C66" s="19"/>
      <x:c r="D66" s="19"/>
      <x:c r="E66" s="19"/>
      <x:c r="F66" s="19"/>
      <x:c r="G66" s="55"/>
      <x:c r="H66" s="55"/>
      <x:c r="I66" s="19"/>
      <x:c r="J66" s="19"/>
      <x:c r="K66" s="19"/>
      <x:c r="L66" s="19"/>
      <x:c r="M66" s="19"/>
    </x:row>
    <x:row r="67">
      <x:c r="A67" s="19"/>
      <x:c r="B67" s="53"/>
      <x:c r="C67" s="19"/>
      <x:c r="D67" s="19"/>
      <x:c r="E67" s="19"/>
      <x:c r="F67" s="19"/>
      <x:c r="G67" s="55"/>
      <x:c r="H67" s="55"/>
      <x:c r="I67" s="19"/>
      <x:c r="J67" s="19"/>
      <x:c r="K67" s="19"/>
      <x:c r="L67" s="19"/>
      <x:c r="M67" s="19"/>
    </x:row>
    <x:row r="68">
      <x:c r="A68" s="19"/>
      <x:c r="B68" s="53"/>
      <x:c r="C68" s="19"/>
      <x:c r="D68" s="19"/>
      <x:c r="E68" s="19"/>
      <x:c r="F68" s="19"/>
      <x:c r="G68" s="55"/>
      <x:c r="H68" s="55"/>
      <x:c r="I68" s="19"/>
      <x:c r="J68" s="19"/>
      <x:c r="K68" s="19"/>
      <x:c r="L68" s="19"/>
      <x:c r="M68" s="19"/>
    </x:row>
    <x:row r="69">
      <x:c r="A69" s="19"/>
      <x:c r="B69" s="53"/>
      <x:c r="C69" s="19"/>
      <x:c r="D69" s="19"/>
      <x:c r="E69" s="19"/>
      <x:c r="F69" s="19"/>
      <x:c r="G69" s="55"/>
      <x:c r="H69" s="55"/>
      <x:c r="I69" s="19"/>
      <x:c r="J69" s="19"/>
      <x:c r="K69" s="19"/>
      <x:c r="L69" s="19"/>
      <x:c r="M69" s="19"/>
    </x:row>
    <x:row r="70">
      <x:c r="A70" s="19"/>
      <x:c r="B70" s="53"/>
      <x:c r="C70" s="19"/>
      <x:c r="D70" s="19"/>
      <x:c r="E70" s="19"/>
      <x:c r="F70" s="19"/>
      <x:c r="G70" s="55"/>
      <x:c r="H70" s="55"/>
      <x:c r="I70" s="19"/>
      <x:c r="J70" s="19"/>
      <x:c r="K70" s="19"/>
      <x:c r="L70" s="19"/>
      <x:c r="M70" s="19"/>
    </x:row>
    <x:row r="71">
      <x:c r="A71" s="19"/>
      <x:c r="B71" s="53"/>
      <x:c r="C71" s="19"/>
      <x:c r="D71" s="19"/>
      <x:c r="E71" s="19"/>
      <x:c r="F71" s="19"/>
      <x:c r="G71" s="55"/>
      <x:c r="H71" s="55"/>
      <x:c r="I71" s="19"/>
      <x:c r="J71" s="19"/>
      <x:c r="K71" s="19"/>
      <x:c r="L71" s="19"/>
      <x:c r="M71" s="19"/>
    </x:row>
    <x:row r="72">
      <x:c r="A72" s="19"/>
      <x:c r="B72" s="53"/>
      <x:c r="C72" s="19"/>
      <x:c r="D72" s="19"/>
      <x:c r="E72" s="19"/>
      <x:c r="F72" s="19"/>
      <x:c r="G72" s="55"/>
      <x:c r="H72" s="55"/>
      <x:c r="I72" s="19"/>
      <x:c r="J72" s="19"/>
      <x:c r="K72" s="19"/>
      <x:c r="L72" s="19"/>
      <x:c r="M72" s="19"/>
    </x:row>
    <x:row r="73">
      <x:c r="A73" s="19"/>
      <x:c r="B73" s="53"/>
      <x:c r="C73" s="19"/>
      <x:c r="D73" s="19"/>
      <x:c r="E73" s="19"/>
      <x:c r="F73" s="19"/>
      <x:c r="G73" s="55"/>
      <x:c r="H73" s="55"/>
      <x:c r="I73" s="19"/>
      <x:c r="J73" s="19"/>
      <x:c r="K73" s="19"/>
      <x:c r="L73" s="19"/>
      <x:c r="M73" s="19"/>
    </x:row>
    <x:row r="74">
      <x:c r="A74" s="19"/>
      <x:c r="B74" s="53"/>
      <x:c r="C74" s="19"/>
      <x:c r="D74" s="19"/>
      <x:c r="E74" s="19"/>
      <x:c r="F74" s="19"/>
      <x:c r="G74" s="55"/>
      <x:c r="H74" s="55"/>
      <x:c r="I74" s="19"/>
      <x:c r="J74" s="19"/>
      <x:c r="K74" s="19"/>
      <x:c r="L74" s="19"/>
      <x:c r="M74" s="19"/>
    </x:row>
    <x:row r="75">
      <x:c r="A75" s="19"/>
      <x:c r="B75" s="53"/>
      <x:c r="C75" s="19"/>
      <x:c r="D75" s="19"/>
      <x:c r="E75" s="19"/>
      <x:c r="F75" s="19"/>
      <x:c r="G75" s="55"/>
      <x:c r="H75" s="55"/>
      <x:c r="I75" s="19"/>
      <x:c r="J75" s="19"/>
      <x:c r="K75" s="19"/>
      <x:c r="L75" s="19"/>
      <x:c r="M75" s="19"/>
    </x:row>
    <x:row r="76">
      <x:c r="A76" s="19"/>
      <x:c r="B76" s="53"/>
      <x:c r="C76" s="19"/>
      <x:c r="D76" s="19"/>
      <x:c r="E76" s="19"/>
      <x:c r="F76" s="19"/>
      <x:c r="G76" s="55"/>
      <x:c r="H76" s="55"/>
      <x:c r="I76" s="19"/>
      <x:c r="J76" s="19"/>
      <x:c r="K76" s="19"/>
      <x:c r="L76" s="19"/>
      <x:c r="M76" s="19"/>
    </x:row>
    <x:row r="77">
      <x:c r="A77" s="19"/>
      <x:c r="B77" s="53"/>
      <x:c r="C77" s="19"/>
      <x:c r="D77" s="19"/>
      <x:c r="E77" s="19"/>
      <x:c r="F77" s="19"/>
      <x:c r="G77" s="55"/>
      <x:c r="H77" s="55"/>
      <x:c r="I77" s="19"/>
      <x:c r="J77" s="19"/>
      <x:c r="K77" s="19"/>
      <x:c r="L77" s="19"/>
      <x:c r="M77" s="19"/>
    </x:row>
    <x:row r="78">
      <x:c r="A78" s="19"/>
      <x:c r="B78" s="53"/>
      <x:c r="C78" s="19"/>
      <x:c r="D78" s="19"/>
      <x:c r="E78" s="19"/>
      <x:c r="F78" s="19"/>
      <x:c r="G78" s="55"/>
      <x:c r="H78" s="55"/>
      <x:c r="I78" s="19"/>
      <x:c r="J78" s="19"/>
      <x:c r="K78" s="19"/>
      <x:c r="L78" s="19"/>
      <x:c r="M78" s="19"/>
    </x:row>
    <x:row r="79">
      <x:c r="A79" s="19"/>
      <x:c r="B79" s="53"/>
      <x:c r="C79" s="19"/>
      <x:c r="D79" s="19"/>
      <x:c r="E79" s="19"/>
      <x:c r="F79" s="19"/>
      <x:c r="G79" s="55"/>
      <x:c r="H79" s="55"/>
      <x:c r="I79" s="19"/>
      <x:c r="J79" s="19"/>
      <x:c r="K79" s="19"/>
      <x:c r="L79" s="19"/>
      <x:c r="M79" s="19"/>
    </x:row>
    <x:row r="80">
      <x:c r="A80" s="19"/>
      <x:c r="B80" s="53"/>
      <x:c r="C80" s="19"/>
      <x:c r="D80" s="19"/>
      <x:c r="E80" s="19"/>
      <x:c r="F80" s="19"/>
      <x:c r="G80" s="55"/>
      <x:c r="H80" s="55"/>
      <x:c r="I80" s="19"/>
      <x:c r="J80" s="19"/>
      <x:c r="K80" s="19"/>
      <x:c r="L80" s="19"/>
      <x:c r="M80" s="19"/>
    </x:row>
    <x:row r="81">
      <x:c r="A81" s="19"/>
      <x:c r="B81" s="53"/>
      <x:c r="C81" s="19"/>
      <x:c r="D81" s="19"/>
      <x:c r="E81" s="19"/>
      <x:c r="F81" s="19"/>
      <x:c r="G81" s="55"/>
      <x:c r="H81" s="55"/>
      <x:c r="I81" s="19"/>
      <x:c r="J81" s="19"/>
      <x:c r="K81" s="19"/>
      <x:c r="L81" s="19"/>
      <x:c r="M81" s="19"/>
    </x:row>
    <x:row r="82">
      <x:c r="A82" s="19"/>
      <x:c r="B82" s="53"/>
      <x:c r="C82" s="19"/>
      <x:c r="D82" s="19"/>
      <x:c r="E82" s="19"/>
      <x:c r="F82" s="19"/>
      <x:c r="G82" s="55"/>
      <x:c r="H82" s="55"/>
      <x:c r="I82" s="19"/>
      <x:c r="J82" s="19"/>
      <x:c r="K82" s="19"/>
      <x:c r="L82" s="19"/>
      <x:c r="M82" s="19"/>
    </x:row>
    <x:row r="83">
      <x:c r="A83" s="19"/>
      <x:c r="B83" s="53"/>
      <x:c r="C83" s="19"/>
      <x:c r="D83" s="19"/>
      <x:c r="E83" s="19"/>
      <x:c r="F83" s="19"/>
      <x:c r="G83" s="55"/>
      <x:c r="H83" s="55"/>
      <x:c r="I83" s="19"/>
      <x:c r="J83" s="19"/>
      <x:c r="K83" s="19"/>
      <x:c r="L83" s="19"/>
      <x:c r="M83" s="19"/>
    </x:row>
    <x:row r="84">
      <x:c r="A84" s="19"/>
      <x:c r="B84" s="53"/>
      <x:c r="C84" s="19"/>
      <x:c r="D84" s="19"/>
      <x:c r="E84" s="19"/>
      <x:c r="F84" s="19"/>
      <x:c r="G84" s="55"/>
      <x:c r="H84" s="55"/>
      <x:c r="I84" s="19"/>
      <x:c r="J84" s="19"/>
      <x:c r="K84" s="19"/>
      <x:c r="L84" s="19"/>
      <x:c r="M84" s="19"/>
    </x:row>
    <x:row r="85">
      <x:c r="A85" s="19"/>
      <x:c r="B85" s="53"/>
      <x:c r="C85" s="19"/>
      <x:c r="D85" s="19"/>
      <x:c r="E85" s="19"/>
      <x:c r="F85" s="19"/>
      <x:c r="G85" s="55"/>
      <x:c r="H85" s="55"/>
      <x:c r="I85" s="19"/>
      <x:c r="J85" s="19"/>
      <x:c r="K85" s="19"/>
      <x:c r="L85" s="19"/>
      <x:c r="M85" s="19"/>
    </x:row>
    <x:row r="86">
      <x:c r="A86" s="19"/>
      <x:c r="B86" s="53"/>
      <x:c r="C86" s="19"/>
      <x:c r="D86" s="19"/>
      <x:c r="E86" s="19"/>
      <x:c r="F86" s="19"/>
      <x:c r="G86" s="55"/>
      <x:c r="H86" s="55"/>
      <x:c r="I86" s="19"/>
      <x:c r="J86" s="19"/>
      <x:c r="K86" s="19"/>
      <x:c r="L86" s="19"/>
      <x:c r="M86" s="19"/>
    </x:row>
    <x:row r="87">
      <x:c r="A87" s="19"/>
      <x:c r="B87" s="53"/>
      <x:c r="C87" s="19"/>
      <x:c r="D87" s="19"/>
      <x:c r="E87" s="19"/>
      <x:c r="F87" s="19"/>
      <x:c r="G87" s="55"/>
      <x:c r="H87" s="55"/>
      <x:c r="I87" s="19"/>
      <x:c r="J87" s="19"/>
      <x:c r="K87" s="19"/>
      <x:c r="L87" s="19"/>
      <x:c r="M87" s="19"/>
    </x:row>
    <x:row r="88">
      <x:c r="A88" s="19"/>
      <x:c r="B88" s="53"/>
      <x:c r="C88" s="19"/>
      <x:c r="D88" s="19"/>
      <x:c r="E88" s="19"/>
      <x:c r="F88" s="19"/>
      <x:c r="G88" s="55"/>
      <x:c r="H88" s="55"/>
      <x:c r="I88" s="19"/>
      <x:c r="J88" s="19"/>
      <x:c r="K88" s="19"/>
      <x:c r="L88" s="19"/>
      <x:c r="M88" s="19"/>
    </x:row>
    <x:row r="89">
      <x:c r="A89" s="19"/>
      <x:c r="B89" s="53"/>
      <x:c r="C89" s="19"/>
      <x:c r="D89" s="19"/>
      <x:c r="E89" s="19"/>
      <x:c r="F89" s="19"/>
      <x:c r="G89" s="55"/>
      <x:c r="H89" s="55"/>
      <x:c r="I89" s="19"/>
      <x:c r="J89" s="19"/>
      <x:c r="K89" s="19"/>
      <x:c r="L89" s="19"/>
      <x:c r="M89" s="19"/>
    </x:row>
    <x:row r="90">
      <x:c r="A90" s="19"/>
      <x:c r="B90" s="53"/>
      <x:c r="C90" s="19"/>
      <x:c r="D90" s="19"/>
      <x:c r="E90" s="19"/>
      <x:c r="F90" s="19"/>
      <x:c r="G90" s="55"/>
      <x:c r="H90" s="55"/>
      <x:c r="I90" s="19"/>
      <x:c r="J90" s="19"/>
      <x:c r="K90" s="19"/>
      <x:c r="L90" s="19"/>
      <x:c r="M90" s="19"/>
    </x:row>
    <x:row r="91">
      <x:c r="A91" s="19"/>
      <x:c r="B91" s="53"/>
      <x:c r="C91" s="19"/>
      <x:c r="D91" s="19"/>
      <x:c r="E91" s="19"/>
      <x:c r="F91" s="19"/>
      <x:c r="G91" s="55"/>
      <x:c r="H91" s="55"/>
      <x:c r="I91" s="19"/>
      <x:c r="J91" s="19"/>
      <x:c r="K91" s="19"/>
      <x:c r="L91" s="19"/>
      <x:c r="M91" s="19"/>
    </x:row>
    <x:row r="92">
      <x:c r="A92" s="19"/>
      <x:c r="B92" s="53"/>
      <x:c r="C92" s="19"/>
      <x:c r="D92" s="19"/>
      <x:c r="E92" s="19"/>
      <x:c r="F92" s="19"/>
      <x:c r="G92" s="55"/>
      <x:c r="H92" s="55"/>
      <x:c r="I92" s="19"/>
      <x:c r="J92" s="19"/>
      <x:c r="K92" s="19"/>
      <x:c r="L92" s="19"/>
      <x:c r="M92" s="19"/>
    </x:row>
    <x:row r="93">
      <x:c r="A93" s="19"/>
      <x:c r="B93" s="53"/>
      <x:c r="C93" s="19"/>
      <x:c r="D93" s="19"/>
      <x:c r="E93" s="19"/>
      <x:c r="F93" s="19"/>
      <x:c r="G93" s="55"/>
      <x:c r="H93" s="55"/>
      <x:c r="I93" s="19"/>
      <x:c r="J93" s="19"/>
      <x:c r="K93" s="19"/>
      <x:c r="L93" s="19"/>
      <x:c r="M93" s="19"/>
    </x:row>
    <x:row r="94">
      <x:c r="A94" s="19"/>
      <x:c r="B94" s="53"/>
      <x:c r="C94" s="19"/>
      <x:c r="D94" s="19"/>
      <x:c r="E94" s="19"/>
      <x:c r="F94" s="19"/>
      <x:c r="G94" s="55"/>
      <x:c r="H94" s="55"/>
      <x:c r="I94" s="19"/>
      <x:c r="J94" s="19"/>
      <x:c r="K94" s="19"/>
      <x:c r="L94" s="19"/>
      <x:c r="M94" s="19"/>
    </x:row>
    <x:row r="95">
      <x:c r="A95" s="19"/>
      <x:c r="B95" s="53"/>
      <x:c r="C95" s="19"/>
      <x:c r="D95" s="19"/>
      <x:c r="E95" s="19"/>
      <x:c r="F95" s="19"/>
      <x:c r="G95" s="55"/>
      <x:c r="H95" s="55"/>
      <x:c r="I95" s="19"/>
      <x:c r="J95" s="19"/>
      <x:c r="K95" s="19"/>
      <x:c r="L95" s="19"/>
      <x:c r="M95" s="19"/>
    </x:row>
    <x:row r="96">
      <x:c r="A96" s="19"/>
      <x:c r="B96" s="53"/>
      <x:c r="C96" s="19"/>
      <x:c r="D96" s="19"/>
      <x:c r="E96" s="19"/>
      <x:c r="F96" s="19"/>
      <x:c r="G96" s="55"/>
      <x:c r="H96" s="55"/>
      <x:c r="I96" s="19"/>
      <x:c r="J96" s="19"/>
      <x:c r="K96" s="19"/>
      <x:c r="L96" s="19"/>
      <x:c r="M96" s="19"/>
    </x:row>
    <x:row r="97">
      <x:c r="A97" s="19"/>
      <x:c r="B97" s="53"/>
      <x:c r="C97" s="19"/>
      <x:c r="D97" s="19"/>
      <x:c r="E97" s="19"/>
      <x:c r="F97" s="19"/>
      <x:c r="G97" s="55"/>
      <x:c r="H97" s="55"/>
      <x:c r="I97" s="19"/>
      <x:c r="J97" s="19"/>
      <x:c r="K97" s="19"/>
      <x:c r="L97" s="19"/>
      <x:c r="M97" s="19"/>
    </x:row>
    <x:row r="98">
      <x:c r="A98" s="19"/>
      <x:c r="B98" s="53"/>
      <x:c r="C98" s="19"/>
      <x:c r="D98" s="19"/>
      <x:c r="E98" s="19"/>
      <x:c r="F98" s="19"/>
      <x:c r="G98" s="55"/>
      <x:c r="H98" s="55"/>
      <x:c r="I98" s="19"/>
      <x:c r="J98" s="19"/>
      <x:c r="K98" s="19"/>
      <x:c r="L98" s="19"/>
      <x:c r="M98" s="19"/>
    </x:row>
    <x:row r="99">
      <x:c r="A99" s="19"/>
      <x:c r="B99" s="53"/>
      <x:c r="C99" s="19"/>
      <x:c r="D99" s="19"/>
      <x:c r="E99" s="19"/>
      <x:c r="F99" s="19"/>
      <x:c r="G99" s="55"/>
      <x:c r="H99" s="55"/>
      <x:c r="I99" s="19"/>
      <x:c r="J99" s="19"/>
      <x:c r="K99" s="19"/>
      <x:c r="L99" s="19"/>
      <x:c r="M99" s="19"/>
    </x:row>
    <x:row r="100">
      <x:c r="A100" s="19"/>
      <x:c r="B100" s="53"/>
      <x:c r="C100" s="19"/>
      <x:c r="D100" s="19"/>
      <x:c r="E100" s="19"/>
      <x:c r="F100" s="19"/>
      <x:c r="G100" s="55"/>
      <x:c r="H100" s="55"/>
      <x:c r="I100" s="19"/>
      <x:c r="J100" s="19"/>
      <x:c r="K100" s="19"/>
      <x:c r="L100" s="19"/>
      <x:c r="M100" s="19"/>
    </x:row>
    <x:row r="101">
      <x:c r="A101" s="19"/>
      <x:c r="B101" s="53"/>
      <x:c r="C101" s="19"/>
      <x:c r="D101" s="19"/>
      <x:c r="E101" s="19"/>
      <x:c r="F101" s="19"/>
      <x:c r="G101" s="55"/>
      <x:c r="H101" s="55"/>
      <x:c r="I101" s="19"/>
      <x:c r="J101" s="19"/>
      <x:c r="K101" s="19"/>
      <x:c r="L101" s="19"/>
      <x:c r="M101" s="19"/>
    </x:row>
    <x:row r="102">
      <x:c r="A102" s="19"/>
      <x:c r="B102" s="53"/>
      <x:c r="C102" s="19"/>
      <x:c r="D102" s="19"/>
      <x:c r="E102" s="19"/>
      <x:c r="F102" s="19"/>
      <x:c r="G102" s="55"/>
      <x:c r="H102" s="55"/>
      <x:c r="I102" s="19"/>
      <x:c r="J102" s="19"/>
      <x:c r="K102" s="19"/>
      <x:c r="L102" s="19"/>
      <x:c r="M102" s="19"/>
    </x:row>
    <x:row r="103">
      <x:c r="A103" s="19"/>
      <x:c r="B103" s="53"/>
      <x:c r="C103" s="19"/>
      <x:c r="D103" s="19"/>
      <x:c r="E103" s="19"/>
      <x:c r="F103" s="19"/>
      <x:c r="G103" s="55"/>
      <x:c r="H103" s="55"/>
      <x:c r="I103" s="19"/>
      <x:c r="J103" s="19"/>
      <x:c r="K103" s="19"/>
      <x:c r="L103" s="19"/>
      <x:c r="M103" s="19"/>
    </x:row>
    <x:row r="104">
      <x:c r="A104" s="19"/>
      <x:c r="B104" s="53"/>
      <x:c r="C104" s="19"/>
      <x:c r="D104" s="19"/>
      <x:c r="E104" s="19"/>
      <x:c r="F104" s="19"/>
      <x:c r="G104" s="55"/>
      <x:c r="H104" s="55"/>
      <x:c r="I104" s="19"/>
      <x:c r="J104" s="19"/>
      <x:c r="K104" s="19"/>
      <x:c r="L104" s="19"/>
      <x:c r="M104" s="19"/>
    </x:row>
    <x:row r="105">
      <x:c r="A105" s="19"/>
      <x:c r="B105" s="53"/>
      <x:c r="C105" s="19"/>
      <x:c r="D105" s="19"/>
      <x:c r="E105" s="19"/>
      <x:c r="F105" s="19"/>
      <x:c r="G105" s="55"/>
      <x:c r="H105" s="55"/>
      <x:c r="I105" s="19"/>
      <x:c r="J105" s="19"/>
      <x:c r="K105" s="19"/>
      <x:c r="L105" s="19"/>
      <x:c r="M105" s="19"/>
    </x:row>
    <x:row r="106">
      <x:c r="A106" s="19"/>
      <x:c r="B106" s="53"/>
      <x:c r="C106" s="19"/>
      <x:c r="D106" s="19"/>
      <x:c r="E106" s="19"/>
      <x:c r="F106" s="19"/>
      <x:c r="G106" s="55"/>
      <x:c r="H106" s="55"/>
      <x:c r="I106" s="19"/>
      <x:c r="J106" s="19"/>
      <x:c r="K106" s="19"/>
      <x:c r="L106" s="19"/>
      <x:c r="M106" s="19"/>
    </x:row>
    <x:row r="107">
      <x:c r="A107" s="19"/>
      <x:c r="B107" s="53"/>
      <x:c r="C107" s="19"/>
      <x:c r="D107" s="19"/>
      <x:c r="E107" s="19"/>
      <x:c r="F107" s="19"/>
      <x:c r="G107" s="55"/>
      <x:c r="H107" s="55"/>
      <x:c r="I107" s="19"/>
      <x:c r="J107" s="19"/>
      <x:c r="K107" s="19"/>
      <x:c r="L107" s="19"/>
      <x:c r="M107" s="19"/>
    </x:row>
    <x:row r="108">
      <x:c r="A108" s="19"/>
      <x:c r="B108" s="53"/>
      <x:c r="C108" s="19"/>
      <x:c r="D108" s="19"/>
      <x:c r="E108" s="19"/>
      <x:c r="F108" s="19"/>
      <x:c r="G108" s="55"/>
      <x:c r="H108" s="55"/>
      <x:c r="I108" s="19"/>
      <x:c r="J108" s="19"/>
      <x:c r="K108" s="19"/>
      <x:c r="L108" s="19"/>
      <x:c r="M108" s="19"/>
    </x:row>
    <x:row r="109">
      <x:c r="A109" s="19"/>
      <x:c r="B109" s="53"/>
      <x:c r="C109" s="19"/>
      <x:c r="D109" s="19"/>
      <x:c r="E109" s="19"/>
      <x:c r="F109" s="19"/>
      <x:c r="G109" s="55"/>
      <x:c r="H109" s="55"/>
      <x:c r="I109" s="19"/>
      <x:c r="J109" s="19"/>
      <x:c r="K109" s="19"/>
      <x:c r="L109" s="19"/>
      <x:c r="M109" s="19"/>
    </x:row>
    <x:row r="110">
      <x:c r="A110" s="19"/>
      <x:c r="B110" s="53"/>
      <x:c r="C110" s="19"/>
      <x:c r="D110" s="19"/>
      <x:c r="E110" s="19"/>
      <x:c r="F110" s="19"/>
      <x:c r="G110" s="55"/>
      <x:c r="H110" s="55"/>
      <x:c r="I110" s="19"/>
      <x:c r="J110" s="19"/>
      <x:c r="K110" s="19"/>
      <x:c r="L110" s="19"/>
      <x:c r="M110" s="19"/>
    </x:row>
    <x:row r="111">
      <x:c r="A111" s="19"/>
      <x:c r="B111" s="53"/>
      <x:c r="C111" s="19"/>
      <x:c r="D111" s="19"/>
      <x:c r="E111" s="19"/>
      <x:c r="F111" s="19"/>
      <x:c r="G111" s="55"/>
      <x:c r="H111" s="55"/>
      <x:c r="I111" s="19"/>
      <x:c r="J111" s="19"/>
      <x:c r="K111" s="19"/>
      <x:c r="L111" s="19"/>
      <x:c r="M111" s="19"/>
    </x:row>
    <x:row r="112">
      <x:c r="A112" s="19"/>
      <x:c r="B112" s="53"/>
      <x:c r="C112" s="19"/>
      <x:c r="D112" s="19"/>
      <x:c r="E112" s="19"/>
      <x:c r="F112" s="19"/>
      <x:c r="G112" s="55"/>
      <x:c r="H112" s="55"/>
      <x:c r="I112" s="19"/>
      <x:c r="J112" s="19"/>
      <x:c r="K112" s="19"/>
      <x:c r="L112" s="19"/>
      <x:c r="M112" s="19"/>
    </x:row>
    <x:row r="113">
      <x:c r="A113" s="19"/>
      <x:c r="B113" s="53"/>
      <x:c r="C113" s="19"/>
      <x:c r="D113" s="19"/>
      <x:c r="E113" s="19"/>
      <x:c r="F113" s="19"/>
      <x:c r="G113" s="55"/>
      <x:c r="H113" s="55"/>
      <x:c r="I113" s="19"/>
      <x:c r="J113" s="19"/>
      <x:c r="K113" s="19"/>
      <x:c r="L113" s="19"/>
      <x:c r="M113" s="19"/>
    </x:row>
    <x:row r="114">
      <x:c r="A114" s="19"/>
      <x:c r="B114" s="53"/>
      <x:c r="C114" s="19"/>
      <x:c r="D114" s="19"/>
      <x:c r="E114" s="19"/>
      <x:c r="F114" s="19"/>
      <x:c r="G114" s="55"/>
      <x:c r="H114" s="55"/>
      <x:c r="I114" s="19"/>
      <x:c r="J114" s="19"/>
      <x:c r="K114" s="19"/>
      <x:c r="L114" s="19"/>
      <x:c r="M114" s="19"/>
    </x:row>
    <x:row r="115">
      <x:c r="A115" s="19"/>
      <x:c r="B115" s="53"/>
      <x:c r="C115" s="19"/>
      <x:c r="D115" s="19"/>
      <x:c r="E115" s="19"/>
      <x:c r="F115" s="19"/>
      <x:c r="G115" s="55"/>
      <x:c r="H115" s="55"/>
      <x:c r="I115" s="19"/>
      <x:c r="J115" s="19"/>
      <x:c r="K115" s="19"/>
      <x:c r="L115" s="19"/>
      <x:c r="M115" s="19"/>
    </x:row>
    <x:row r="116">
      <x:c r="A116" s="19"/>
      <x:c r="B116" s="53"/>
      <x:c r="C116" s="19"/>
      <x:c r="D116" s="19"/>
      <x:c r="E116" s="19"/>
      <x:c r="F116" s="19"/>
      <x:c r="G116" s="55"/>
      <x:c r="H116" s="55"/>
      <x:c r="I116" s="19"/>
      <x:c r="J116" s="19"/>
      <x:c r="K116" s="19"/>
      <x:c r="L116" s="19"/>
      <x:c r="M116" s="19"/>
    </x:row>
    <x:row r="117">
      <x:c r="A117" s="19"/>
      <x:c r="B117" s="53"/>
      <x:c r="C117" s="19"/>
      <x:c r="D117" s="19"/>
      <x:c r="E117" s="19"/>
      <x:c r="F117" s="19"/>
      <x:c r="G117" s="55"/>
      <x:c r="H117" s="55"/>
      <x:c r="I117" s="19"/>
      <x:c r="J117" s="19"/>
      <x:c r="K117" s="19"/>
      <x:c r="L117" s="19"/>
      <x:c r="M117" s="19"/>
    </x:row>
    <x:row r="118">
      <x:c r="A118" s="19"/>
      <x:c r="B118" s="53"/>
      <x:c r="C118" s="19"/>
      <x:c r="D118" s="19"/>
      <x:c r="E118" s="19"/>
      <x:c r="F118" s="19"/>
      <x:c r="G118" s="55"/>
      <x:c r="H118" s="55"/>
      <x:c r="I118" s="19"/>
      <x:c r="J118" s="19"/>
      <x:c r="K118" s="19"/>
      <x:c r="L118" s="19"/>
      <x:c r="M118" s="19"/>
    </x:row>
    <x:row r="119">
      <x:c r="A119" s="19"/>
      <x:c r="B119" s="53"/>
      <x:c r="C119" s="19"/>
      <x:c r="D119" s="19"/>
      <x:c r="E119" s="19"/>
      <x:c r="F119" s="19"/>
      <x:c r="G119" s="55"/>
      <x:c r="H119" s="55"/>
      <x:c r="I119" s="19"/>
      <x:c r="J119" s="19"/>
      <x:c r="K119" s="19"/>
      <x:c r="L119" s="19"/>
      <x:c r="M119" s="19"/>
    </x:row>
    <x:row r="120">
      <x:c r="A120" s="19"/>
      <x:c r="B120" s="53"/>
      <x:c r="C120" s="19"/>
      <x:c r="D120" s="19"/>
      <x:c r="E120" s="19"/>
      <x:c r="F120" s="19"/>
      <x:c r="G120" s="55"/>
      <x:c r="H120" s="55"/>
      <x:c r="I120" s="19"/>
      <x:c r="J120" s="19"/>
      <x:c r="K120" s="19"/>
      <x:c r="L120" s="19"/>
      <x:c r="M120" s="19"/>
    </x:row>
    <x:row r="121">
      <x:c r="A121" s="19"/>
      <x:c r="B121" s="53"/>
      <x:c r="C121" s="19"/>
      <x:c r="D121" s="19"/>
      <x:c r="E121" s="19"/>
      <x:c r="F121" s="19"/>
      <x:c r="G121" s="55"/>
      <x:c r="H121" s="55"/>
      <x:c r="I121" s="19"/>
      <x:c r="J121" s="19"/>
      <x:c r="K121" s="19"/>
      <x:c r="L121" s="19"/>
      <x:c r="M121" s="19"/>
    </x:row>
    <x:row r="122">
      <x:c r="A122" s="19"/>
      <x:c r="B122" s="53"/>
      <x:c r="C122" s="19"/>
      <x:c r="D122" s="19"/>
      <x:c r="E122" s="19"/>
      <x:c r="F122" s="19"/>
      <x:c r="G122" s="55"/>
      <x:c r="H122" s="55"/>
      <x:c r="I122" s="19"/>
      <x:c r="J122" s="19"/>
      <x:c r="K122" s="19"/>
      <x:c r="L122" s="19"/>
      <x:c r="M122" s="19"/>
    </x:row>
    <x:row r="123">
      <x:c r="A123" s="19"/>
      <x:c r="B123" s="53"/>
      <x:c r="C123" s="19"/>
      <x:c r="D123" s="19"/>
      <x:c r="E123" s="19"/>
      <x:c r="F123" s="19"/>
      <x:c r="G123" s="55"/>
      <x:c r="H123" s="55"/>
      <x:c r="I123" s="19"/>
      <x:c r="J123" s="19"/>
      <x:c r="K123" s="19"/>
      <x:c r="L123" s="19"/>
      <x:c r="M123" s="19"/>
    </x:row>
    <x:row r="124">
      <x:c r="A124" s="19"/>
      <x:c r="B124" s="53"/>
      <x:c r="C124" s="19"/>
      <x:c r="D124" s="19"/>
      <x:c r="E124" s="19"/>
      <x:c r="F124" s="19"/>
      <x:c r="G124" s="55"/>
      <x:c r="H124" s="55"/>
      <x:c r="I124" s="19"/>
      <x:c r="J124" s="19"/>
      <x:c r="K124" s="19"/>
      <x:c r="L124" s="19"/>
      <x:c r="M124" s="19"/>
    </x:row>
    <x:row r="125">
      <x:c r="A125" s="19"/>
      <x:c r="B125" s="53"/>
      <x:c r="C125" s="19"/>
      <x:c r="D125" s="19"/>
      <x:c r="E125" s="19"/>
      <x:c r="F125" s="19"/>
      <x:c r="G125" s="55"/>
      <x:c r="H125" s="55"/>
      <x:c r="I125" s="19"/>
      <x:c r="J125" s="19"/>
      <x:c r="K125" s="19"/>
      <x:c r="L125" s="19"/>
      <x:c r="M125" s="19"/>
    </x:row>
    <x:row r="126">
      <x:c r="A126" s="19"/>
      <x:c r="B126" s="53"/>
      <x:c r="C126" s="19"/>
      <x:c r="D126" s="19"/>
      <x:c r="E126" s="19"/>
      <x:c r="F126" s="19"/>
      <x:c r="G126" s="55"/>
      <x:c r="H126" s="55"/>
      <x:c r="I126" s="19"/>
      <x:c r="J126" s="19"/>
      <x:c r="K126" s="19"/>
      <x:c r="L126" s="19"/>
      <x:c r="M126" s="19"/>
    </x:row>
    <x:row r="127">
      <x:c r="A127" s="19"/>
      <x:c r="B127" s="53"/>
      <x:c r="C127" s="19"/>
      <x:c r="D127" s="19"/>
      <x:c r="E127" s="19"/>
      <x:c r="F127" s="19"/>
      <x:c r="G127" s="55"/>
      <x:c r="H127" s="55"/>
      <x:c r="I127" s="19"/>
      <x:c r="J127" s="19"/>
      <x:c r="K127" s="19"/>
      <x:c r="L127" s="19"/>
      <x:c r="M127" s="19"/>
    </x:row>
    <x:row r="128">
      <x:c r="A128" s="19"/>
      <x:c r="B128" s="53"/>
      <x:c r="C128" s="19"/>
      <x:c r="D128" s="19"/>
      <x:c r="E128" s="19"/>
      <x:c r="F128" s="19"/>
      <x:c r="G128" s="55"/>
      <x:c r="H128" s="55"/>
      <x:c r="I128" s="19"/>
      <x:c r="J128" s="19"/>
      <x:c r="K128" s="19"/>
      <x:c r="L128" s="19"/>
      <x:c r="M128" s="19"/>
    </x:row>
    <x:row r="129">
      <x:c r="A129" s="19"/>
      <x:c r="B129" s="53"/>
      <x:c r="C129" s="19"/>
      <x:c r="D129" s="19"/>
      <x:c r="E129" s="19"/>
      <x:c r="F129" s="19"/>
      <x:c r="G129" s="55"/>
      <x:c r="H129" s="55"/>
      <x:c r="I129" s="19"/>
      <x:c r="J129" s="19"/>
      <x:c r="K129" s="19"/>
      <x:c r="L129" s="19"/>
      <x:c r="M129" s="19"/>
    </x:row>
    <x:row r="130">
      <x:c r="A130" s="19"/>
      <x:c r="B130" s="53"/>
      <x:c r="C130" s="19"/>
      <x:c r="D130" s="19"/>
      <x:c r="E130" s="19"/>
      <x:c r="F130" s="19"/>
      <x:c r="G130" s="55"/>
      <x:c r="H130" s="55"/>
      <x:c r="I130" s="19"/>
      <x:c r="J130" s="19"/>
      <x:c r="K130" s="19"/>
      <x:c r="L130" s="19"/>
      <x:c r="M130" s="19"/>
    </x:row>
    <x:row r="131">
      <x:c r="A131" s="19"/>
      <x:c r="B131" s="53"/>
      <x:c r="C131" s="19"/>
      <x:c r="D131" s="19"/>
      <x:c r="E131" s="19"/>
      <x:c r="F131" s="19"/>
      <x:c r="G131" s="55"/>
      <x:c r="H131" s="55"/>
      <x:c r="I131" s="19"/>
      <x:c r="J131" s="19"/>
      <x:c r="K131" s="19"/>
      <x:c r="L131" s="19"/>
      <x:c r="M131" s="19"/>
    </x:row>
    <x:row r="132">
      <x:c r="A132" s="19"/>
      <x:c r="B132" s="53"/>
      <x:c r="C132" s="19"/>
      <x:c r="D132" s="19"/>
      <x:c r="E132" s="19"/>
      <x:c r="F132" s="19"/>
      <x:c r="G132" s="55"/>
      <x:c r="H132" s="55"/>
      <x:c r="I132" s="19"/>
      <x:c r="J132" s="19"/>
      <x:c r="K132" s="19"/>
      <x:c r="L132" s="19"/>
      <x:c r="M132" s="19"/>
    </x:row>
    <x:row r="133">
      <x:c r="A133" s="19"/>
      <x:c r="B133" s="53"/>
      <x:c r="C133" s="19"/>
      <x:c r="D133" s="19"/>
      <x:c r="E133" s="19"/>
      <x:c r="F133" s="19"/>
      <x:c r="G133" s="55"/>
      <x:c r="H133" s="55"/>
      <x:c r="I133" s="19"/>
      <x:c r="J133" s="19"/>
      <x:c r="K133" s="19"/>
      <x:c r="L133" s="19"/>
      <x:c r="M133" s="19"/>
    </x:row>
    <x:row r="134">
      <x:c r="A134" s="19"/>
      <x:c r="B134" s="53"/>
      <x:c r="C134" s="19"/>
      <x:c r="D134" s="19"/>
      <x:c r="E134" s="19"/>
      <x:c r="F134" s="19"/>
      <x:c r="G134" s="55"/>
      <x:c r="H134" s="55"/>
      <x:c r="I134" s="19"/>
      <x:c r="J134" s="19"/>
      <x:c r="K134" s="19"/>
      <x:c r="L134" s="19"/>
      <x:c r="M134" s="19"/>
    </x:row>
    <x:row r="135">
      <x:c r="A135" s="19"/>
      <x:c r="B135" s="53"/>
      <x:c r="C135" s="19"/>
      <x:c r="D135" s="19"/>
      <x:c r="E135" s="19"/>
      <x:c r="F135" s="19"/>
      <x:c r="G135" s="55"/>
      <x:c r="H135" s="55"/>
      <x:c r="I135" s="19"/>
      <x:c r="J135" s="19"/>
      <x:c r="K135" s="19"/>
      <x:c r="L135" s="19"/>
      <x:c r="M135" s="19"/>
    </x:row>
    <x:row r="136">
      <x:c r="A136" s="19"/>
      <x:c r="B136" s="53"/>
      <x:c r="C136" s="19"/>
      <x:c r="D136" s="19"/>
      <x:c r="E136" s="19"/>
      <x:c r="F136" s="19"/>
      <x:c r="G136" s="55"/>
      <x:c r="H136" s="55"/>
      <x:c r="I136" s="19"/>
      <x:c r="J136" s="19"/>
      <x:c r="K136" s="19"/>
      <x:c r="L136" s="19"/>
      <x:c r="M136" s="19"/>
    </x:row>
    <x:row r="137">
      <x:c r="A137" s="19"/>
      <x:c r="B137" s="53"/>
      <x:c r="C137" s="19"/>
      <x:c r="D137" s="19"/>
      <x:c r="E137" s="19"/>
      <x:c r="F137" s="19"/>
      <x:c r="G137" s="55"/>
      <x:c r="H137" s="55"/>
      <x:c r="I137" s="19"/>
      <x:c r="J137" s="19"/>
      <x:c r="K137" s="19"/>
      <x:c r="L137" s="19"/>
      <x:c r="M137" s="19"/>
    </x:row>
    <x:row r="138">
      <x:c r="A138" s="19"/>
      <x:c r="B138" s="53"/>
      <x:c r="C138" s="19"/>
      <x:c r="D138" s="19"/>
      <x:c r="E138" s="19"/>
      <x:c r="F138" s="19"/>
      <x:c r="G138" s="55"/>
      <x:c r="H138" s="55"/>
      <x:c r="I138" s="19"/>
      <x:c r="J138" s="19"/>
      <x:c r="K138" s="19"/>
      <x:c r="L138" s="19"/>
      <x:c r="M138" s="19"/>
    </x:row>
    <x:row r="139">
      <x:c r="A139" s="19"/>
      <x:c r="B139" s="53"/>
      <x:c r="C139" s="19"/>
      <x:c r="D139" s="19"/>
      <x:c r="E139" s="19"/>
      <x:c r="F139" s="19"/>
      <x:c r="G139" s="55"/>
      <x:c r="H139" s="55"/>
      <x:c r="I139" s="19"/>
      <x:c r="J139" s="19"/>
      <x:c r="K139" s="19"/>
      <x:c r="L139" s="19"/>
      <x:c r="M139" s="19"/>
    </x:row>
    <x:row r="140">
      <x:c r="A140" s="19"/>
      <x:c r="B140" s="53"/>
      <x:c r="C140" s="19"/>
      <x:c r="D140" s="19"/>
      <x:c r="E140" s="19"/>
      <x:c r="F140" s="19"/>
      <x:c r="G140" s="55"/>
      <x:c r="H140" s="55"/>
      <x:c r="I140" s="19"/>
      <x:c r="J140" s="19"/>
      <x:c r="K140" s="19"/>
      <x:c r="L140" s="19"/>
      <x:c r="M140" s="19"/>
    </x:row>
    <x:row r="141">
      <x:c r="A141" s="19"/>
      <x:c r="B141" s="53"/>
      <x:c r="C141" s="19"/>
      <x:c r="D141" s="19"/>
      <x:c r="E141" s="19"/>
      <x:c r="F141" s="19"/>
      <x:c r="G141" s="55"/>
      <x:c r="H141" s="55"/>
      <x:c r="I141" s="19"/>
      <x:c r="J141" s="19"/>
      <x:c r="K141" s="19"/>
      <x:c r="L141" s="19"/>
      <x:c r="M141" s="19"/>
    </x:row>
    <x:row r="142">
      <x:c r="A142" s="19"/>
      <x:c r="B142" s="53"/>
      <x:c r="C142" s="19"/>
      <x:c r="D142" s="19"/>
      <x:c r="E142" s="19"/>
      <x:c r="F142" s="19"/>
      <x:c r="G142" s="55"/>
      <x:c r="H142" s="55"/>
      <x:c r="I142" s="19"/>
      <x:c r="J142" s="19"/>
      <x:c r="K142" s="19"/>
      <x:c r="L142" s="19"/>
      <x:c r="M142" s="19"/>
    </x:row>
    <x:row r="143">
      <x:c r="A143" s="19"/>
      <x:c r="B143" s="53"/>
      <x:c r="C143" s="19"/>
      <x:c r="D143" s="19"/>
      <x:c r="E143" s="19"/>
      <x:c r="F143" s="19"/>
      <x:c r="G143" s="55"/>
      <x:c r="H143" s="55"/>
      <x:c r="I143" s="19"/>
      <x:c r="J143" s="19"/>
      <x:c r="K143" s="19"/>
      <x:c r="L143" s="19"/>
      <x:c r="M143" s="19"/>
    </x:row>
    <x:row r="144">
      <x:c r="A144" s="19"/>
      <x:c r="B144" s="53"/>
      <x:c r="C144" s="19"/>
      <x:c r="D144" s="19"/>
      <x:c r="E144" s="19"/>
      <x:c r="F144" s="19"/>
      <x:c r="G144" s="55"/>
      <x:c r="H144" s="55"/>
      <x:c r="I144" s="19"/>
      <x:c r="J144" s="19"/>
      <x:c r="K144" s="19"/>
      <x:c r="L144" s="19"/>
      <x:c r="M144" s="19"/>
    </x:row>
    <x:row r="145">
      <x:c r="A145" s="19"/>
      <x:c r="B145" s="53"/>
      <x:c r="C145" s="19"/>
      <x:c r="D145" s="19"/>
      <x:c r="E145" s="19"/>
      <x:c r="F145" s="19"/>
      <x:c r="G145" s="55"/>
      <x:c r="H145" s="55"/>
      <x:c r="I145" s="19"/>
      <x:c r="J145" s="19"/>
      <x:c r="K145" s="19"/>
      <x:c r="L145" s="19"/>
      <x:c r="M145" s="19"/>
    </x:row>
    <x:row r="146">
      <x:c r="A146" s="19"/>
      <x:c r="B146" s="53"/>
      <x:c r="C146" s="19"/>
      <x:c r="D146" s="19"/>
      <x:c r="E146" s="19"/>
      <x:c r="F146" s="19"/>
      <x:c r="G146" s="55"/>
      <x:c r="H146" s="55"/>
      <x:c r="I146" s="19"/>
      <x:c r="J146" s="19"/>
      <x:c r="K146" s="19"/>
      <x:c r="L146" s="19"/>
      <x:c r="M146" s="19"/>
    </x:row>
    <x:row r="147">
      <x:c r="A147" s="19"/>
      <x:c r="B147" s="53"/>
      <x:c r="C147" s="19"/>
      <x:c r="D147" s="19"/>
      <x:c r="E147" s="19"/>
      <x:c r="F147" s="19"/>
      <x:c r="G147" s="55"/>
      <x:c r="H147" s="55"/>
      <x:c r="I147" s="19"/>
      <x:c r="J147" s="19"/>
      <x:c r="K147" s="19"/>
      <x:c r="L147" s="19"/>
      <x:c r="M147" s="19"/>
    </x:row>
    <x:row r="148">
      <x:c r="A148" s="19"/>
      <x:c r="B148" s="53"/>
      <x:c r="C148" s="19"/>
      <x:c r="D148" s="19"/>
      <x:c r="E148" s="19"/>
      <x:c r="F148" s="19"/>
      <x:c r="G148" s="55"/>
      <x:c r="H148" s="55"/>
      <x:c r="I148" s="19"/>
      <x:c r="J148" s="19"/>
      <x:c r="K148" s="19"/>
      <x:c r="L148" s="19"/>
      <x:c r="M148" s="19"/>
    </x:row>
    <x:row r="149">
      <x:c r="A149" s="19"/>
      <x:c r="B149" s="53"/>
      <x:c r="C149" s="19"/>
      <x:c r="D149" s="19"/>
      <x:c r="E149" s="19"/>
      <x:c r="F149" s="19"/>
      <x:c r="G149" s="55"/>
      <x:c r="H149" s="55"/>
      <x:c r="I149" s="19"/>
      <x:c r="J149" s="19"/>
      <x:c r="K149" s="19"/>
      <x:c r="L149" s="19"/>
      <x:c r="M149" s="19"/>
    </x:row>
    <x:row r="150">
      <x:c r="A150" s="19"/>
      <x:c r="B150" s="53"/>
      <x:c r="C150" s="19"/>
      <x:c r="D150" s="19"/>
      <x:c r="E150" s="19"/>
      <x:c r="F150" s="19"/>
      <x:c r="G150" s="55"/>
      <x:c r="H150" s="55"/>
      <x:c r="I150" s="19"/>
      <x:c r="J150" s="19"/>
      <x:c r="K150" s="19"/>
      <x:c r="L150" s="19"/>
      <x:c r="M150" s="19"/>
    </x:row>
    <x:row r="151">
      <x:c r="A151" s="19"/>
      <x:c r="B151" s="53"/>
      <x:c r="C151" s="19"/>
      <x:c r="D151" s="19"/>
      <x:c r="E151" s="19"/>
      <x:c r="F151" s="19"/>
      <x:c r="G151" s="55"/>
      <x:c r="H151" s="55"/>
      <x:c r="I151" s="19"/>
      <x:c r="J151" s="19"/>
      <x:c r="K151" s="19"/>
      <x:c r="L151" s="19"/>
      <x:c r="M151" s="19"/>
    </x:row>
    <x:row r="152">
      <x:c r="A152" s="19"/>
      <x:c r="B152" s="53"/>
      <x:c r="C152" s="19"/>
      <x:c r="D152" s="19"/>
      <x:c r="E152" s="19"/>
      <x:c r="F152" s="19"/>
      <x:c r="G152" s="55"/>
      <x:c r="H152" s="55"/>
      <x:c r="I152" s="19"/>
      <x:c r="J152" s="19"/>
      <x:c r="K152" s="19"/>
      <x:c r="L152" s="19"/>
      <x:c r="M152" s="19"/>
    </x:row>
    <x:row r="153">
      <x:c r="A153" s="19"/>
      <x:c r="B153" s="53"/>
      <x:c r="C153" s="19"/>
      <x:c r="D153" s="19"/>
      <x:c r="E153" s="19"/>
      <x:c r="F153" s="19"/>
      <x:c r="G153" s="55"/>
      <x:c r="H153" s="55"/>
      <x:c r="I153" s="19"/>
      <x:c r="J153" s="19"/>
      <x:c r="K153" s="19"/>
      <x:c r="L153" s="19"/>
      <x:c r="M153" s="19"/>
    </x:row>
    <x:row r="154">
      <x:c r="A154" s="19"/>
      <x:c r="B154" s="53"/>
      <x:c r="C154" s="19"/>
      <x:c r="D154" s="19"/>
      <x:c r="E154" s="19"/>
      <x:c r="F154" s="19"/>
      <x:c r="G154" s="55"/>
      <x:c r="H154" s="55"/>
      <x:c r="I154" s="19"/>
      <x:c r="J154" s="19"/>
      <x:c r="K154" s="19"/>
      <x:c r="L154" s="19"/>
      <x:c r="M154" s="19"/>
    </x:row>
    <x:row r="155">
      <x:c r="A155" s="19"/>
      <x:c r="B155" s="53"/>
      <x:c r="C155" s="19"/>
      <x:c r="D155" s="19"/>
      <x:c r="E155" s="19"/>
      <x:c r="F155" s="19"/>
      <x:c r="G155" s="55"/>
      <x:c r="H155" s="55"/>
      <x:c r="I155" s="19"/>
      <x:c r="J155" s="19"/>
      <x:c r="K155" s="19"/>
      <x:c r="L155" s="19"/>
      <x:c r="M155" s="19"/>
    </x:row>
    <x:row r="156">
      <x:c r="A156" s="19"/>
      <x:c r="B156" s="53"/>
      <x:c r="C156" s="19"/>
      <x:c r="D156" s="19"/>
      <x:c r="E156" s="19"/>
      <x:c r="F156" s="19"/>
      <x:c r="G156" s="55"/>
      <x:c r="H156" s="55"/>
      <x:c r="I156" s="19"/>
      <x:c r="J156" s="19"/>
      <x:c r="K156" s="19"/>
      <x:c r="L156" s="19"/>
      <x:c r="M156" s="19"/>
    </x:row>
    <x:row r="157">
      <x:c r="A157" s="19"/>
      <x:c r="B157" s="53"/>
      <x:c r="C157" s="19"/>
      <x:c r="D157" s="19"/>
      <x:c r="E157" s="19"/>
      <x:c r="F157" s="19"/>
      <x:c r="G157" s="55"/>
      <x:c r="H157" s="55"/>
      <x:c r="I157" s="19"/>
      <x:c r="J157" s="19"/>
      <x:c r="K157" s="19"/>
      <x:c r="L157" s="19"/>
      <x:c r="M157" s="19"/>
    </x:row>
    <x:row r="158">
      <x:c r="A158" s="19"/>
      <x:c r="B158" s="53"/>
      <x:c r="C158" s="19"/>
      <x:c r="D158" s="19"/>
      <x:c r="E158" s="19"/>
      <x:c r="F158" s="19"/>
      <x:c r="G158" s="55"/>
      <x:c r="H158" s="55"/>
      <x:c r="I158" s="19"/>
      <x:c r="J158" s="19"/>
      <x:c r="K158" s="19"/>
      <x:c r="L158" s="19"/>
      <x:c r="M158" s="19"/>
    </x:row>
    <x:row r="159">
      <x:c r="A159" s="19"/>
      <x:c r="B159" s="53"/>
      <x:c r="C159" s="19"/>
      <x:c r="D159" s="19"/>
      <x:c r="E159" s="19"/>
      <x:c r="F159" s="19"/>
      <x:c r="G159" s="55"/>
      <x:c r="H159" s="55"/>
      <x:c r="I159" s="19"/>
      <x:c r="J159" s="19"/>
      <x:c r="K159" s="19"/>
      <x:c r="L159" s="19"/>
      <x:c r="M159" s="19"/>
    </x:row>
    <x:row r="160">
      <x:c r="A160" s="19"/>
      <x:c r="B160" s="53"/>
      <x:c r="C160" s="19"/>
      <x:c r="D160" s="19"/>
      <x:c r="E160" s="19"/>
      <x:c r="F160" s="19"/>
      <x:c r="G160" s="55"/>
      <x:c r="H160" s="55"/>
      <x:c r="I160" s="19"/>
      <x:c r="J160" s="19"/>
      <x:c r="K160" s="19"/>
      <x:c r="L160" s="19"/>
      <x:c r="M160" s="19"/>
    </x:row>
    <x:row r="161">
      <x:c r="A161" s="19"/>
      <x:c r="B161" s="53"/>
      <x:c r="C161" s="19"/>
      <x:c r="D161" s="19"/>
      <x:c r="E161" s="19"/>
      <x:c r="F161" s="19"/>
      <x:c r="G161" s="55"/>
      <x:c r="H161" s="55"/>
      <x:c r="I161" s="19"/>
      <x:c r="J161" s="19"/>
      <x:c r="K161" s="19"/>
      <x:c r="L161" s="19"/>
      <x:c r="M161" s="19"/>
    </x:row>
    <x:row r="162">
      <x:c r="A162" s="19"/>
      <x:c r="B162" s="53"/>
      <x:c r="C162" s="19"/>
      <x:c r="D162" s="19"/>
      <x:c r="E162" s="19"/>
      <x:c r="F162" s="19"/>
      <x:c r="G162" s="55"/>
      <x:c r="H162" s="55"/>
      <x:c r="I162" s="19"/>
      <x:c r="J162" s="19"/>
      <x:c r="K162" s="19"/>
      <x:c r="L162" s="19"/>
      <x:c r="M162" s="19"/>
    </x:row>
    <x:row r="163">
      <x:c r="A163" s="19"/>
      <x:c r="B163" s="53"/>
      <x:c r="C163" s="19"/>
      <x:c r="D163" s="19"/>
      <x:c r="E163" s="19"/>
      <x:c r="F163" s="19"/>
      <x:c r="G163" s="55"/>
      <x:c r="H163" s="55"/>
      <x:c r="I163" s="19"/>
      <x:c r="J163" s="19"/>
      <x:c r="K163" s="19"/>
      <x:c r="L163" s="19"/>
      <x:c r="M163" s="19"/>
    </x:row>
    <x:row r="164">
      <x:c r="A164" s="19"/>
      <x:c r="B164" s="53"/>
      <x:c r="C164" s="19"/>
      <x:c r="D164" s="19"/>
      <x:c r="E164" s="19"/>
      <x:c r="F164" s="19"/>
      <x:c r="G164" s="55"/>
      <x:c r="H164" s="55"/>
      <x:c r="I164" s="19"/>
      <x:c r="J164" s="19"/>
      <x:c r="K164" s="19"/>
      <x:c r="L164" s="19"/>
      <x:c r="M164" s="19"/>
    </x:row>
    <x:row r="165">
      <x:c r="A165" s="19"/>
      <x:c r="B165" s="53"/>
      <x:c r="C165" s="19"/>
      <x:c r="D165" s="19"/>
      <x:c r="E165" s="19"/>
      <x:c r="F165" s="19"/>
      <x:c r="G165" s="55"/>
      <x:c r="H165" s="55"/>
      <x:c r="I165" s="19"/>
      <x:c r="J165" s="19"/>
      <x:c r="K165" s="19"/>
      <x:c r="L165" s="19"/>
      <x:c r="M165" s="19"/>
    </x:row>
    <x:row r="166">
      <x:c r="A166" s="19"/>
      <x:c r="B166" s="53"/>
      <x:c r="C166" s="19"/>
      <x:c r="D166" s="19"/>
      <x:c r="E166" s="19"/>
      <x:c r="F166" s="19"/>
      <x:c r="G166" s="55"/>
      <x:c r="H166" s="55"/>
      <x:c r="I166" s="19"/>
      <x:c r="J166" s="19"/>
      <x:c r="K166" s="19"/>
      <x:c r="L166" s="19"/>
      <x:c r="M166" s="19"/>
    </x:row>
    <x:row r="167">
      <x:c r="A167" s="19"/>
      <x:c r="B167" s="53"/>
      <x:c r="C167" s="19"/>
      <x:c r="D167" s="19"/>
      <x:c r="E167" s="19"/>
      <x:c r="F167" s="19"/>
      <x:c r="G167" s="55"/>
      <x:c r="H167" s="55"/>
      <x:c r="I167" s="19"/>
      <x:c r="J167" s="19"/>
      <x:c r="K167" s="19"/>
      <x:c r="L167" s="19"/>
      <x:c r="M167" s="19"/>
    </x:row>
    <x:row r="168">
      <x:c r="A168" s="19"/>
      <x:c r="B168" s="53"/>
      <x:c r="C168" s="19"/>
      <x:c r="D168" s="19"/>
      <x:c r="E168" s="19"/>
      <x:c r="F168" s="19"/>
      <x:c r="G168" s="55"/>
      <x:c r="H168" s="55"/>
      <x:c r="I168" s="19"/>
      <x:c r="J168" s="19"/>
      <x:c r="K168" s="19"/>
      <x:c r="L168" s="19"/>
      <x:c r="M168" s="19"/>
    </x:row>
    <x:row r="169">
      <x:c r="A169" s="19"/>
      <x:c r="B169" s="53"/>
      <x:c r="C169" s="19"/>
      <x:c r="D169" s="19"/>
      <x:c r="E169" s="19"/>
      <x:c r="F169" s="19"/>
      <x:c r="G169" s="55"/>
      <x:c r="H169" s="55"/>
      <x:c r="I169" s="19"/>
      <x:c r="J169" s="19"/>
      <x:c r="K169" s="19"/>
      <x:c r="L169" s="19"/>
      <x:c r="M169" s="19"/>
    </x:row>
    <x:row r="170">
      <x:c r="A170" s="19"/>
      <x:c r="B170" s="53"/>
      <x:c r="C170" s="19"/>
      <x:c r="D170" s="19"/>
      <x:c r="E170" s="19"/>
      <x:c r="F170" s="19"/>
      <x:c r="G170" s="55"/>
      <x:c r="H170" s="55"/>
      <x:c r="I170" s="19"/>
      <x:c r="J170" s="19"/>
      <x:c r="K170" s="19"/>
      <x:c r="L170" s="19"/>
      <x:c r="M170" s="19"/>
    </x:row>
    <x:row r="171">
      <x:c r="A171" s="19"/>
      <x:c r="B171" s="53"/>
      <x:c r="C171" s="19"/>
      <x:c r="D171" s="19"/>
      <x:c r="E171" s="19"/>
      <x:c r="F171" s="19"/>
      <x:c r="G171" s="55"/>
      <x:c r="H171" s="55"/>
      <x:c r="I171" s="19"/>
      <x:c r="J171" s="19"/>
      <x:c r="K171" s="19"/>
      <x:c r="L171" s="19"/>
      <x:c r="M171" s="19"/>
    </x:row>
    <x:row r="172">
      <x:c r="A172" s="19"/>
      <x:c r="B172" s="53"/>
      <x:c r="C172" s="19"/>
      <x:c r="D172" s="19"/>
      <x:c r="E172" s="19"/>
      <x:c r="F172" s="19"/>
      <x:c r="G172" s="55"/>
      <x:c r="H172" s="55"/>
      <x:c r="I172" s="19"/>
      <x:c r="J172" s="19"/>
      <x:c r="K172" s="19"/>
      <x:c r="L172" s="19"/>
      <x:c r="M172" s="19"/>
    </x:row>
    <x:row r="173">
      <x:c r="A173" s="19"/>
      <x:c r="B173" s="53"/>
      <x:c r="C173" s="19"/>
      <x:c r="D173" s="19"/>
      <x:c r="E173" s="19"/>
      <x:c r="F173" s="19"/>
      <x:c r="G173" s="55"/>
      <x:c r="H173" s="55"/>
      <x:c r="I173" s="19"/>
      <x:c r="J173" s="19"/>
      <x:c r="K173" s="19"/>
      <x:c r="L173" s="19"/>
      <x:c r="M173" s="19"/>
    </x:row>
    <x:row r="174">
      <x:c r="A174" s="19"/>
      <x:c r="B174" s="53"/>
      <x:c r="C174" s="19"/>
      <x:c r="D174" s="19"/>
      <x:c r="E174" s="19"/>
      <x:c r="F174" s="19"/>
      <x:c r="G174" s="55"/>
      <x:c r="H174" s="55"/>
      <x:c r="I174" s="19"/>
      <x:c r="J174" s="19"/>
      <x:c r="K174" s="19"/>
      <x:c r="L174" s="19"/>
      <x:c r="M174" s="19"/>
    </x:row>
    <x:row r="175">
      <x:c r="A175" s="19"/>
      <x:c r="B175" s="53"/>
      <x:c r="C175" s="19"/>
      <x:c r="D175" s="19"/>
      <x:c r="E175" s="19"/>
      <x:c r="F175" s="19"/>
      <x:c r="G175" s="55"/>
      <x:c r="H175" s="55"/>
      <x:c r="I175" s="19"/>
      <x:c r="J175" s="19"/>
      <x:c r="K175" s="19"/>
      <x:c r="L175" s="19"/>
      <x:c r="M175" s="19"/>
    </x:row>
    <x:row r="176">
      <x:c r="A176" s="19"/>
      <x:c r="B176" s="53"/>
      <x:c r="C176" s="19"/>
      <x:c r="D176" s="19"/>
      <x:c r="E176" s="19"/>
      <x:c r="F176" s="19"/>
      <x:c r="G176" s="55"/>
      <x:c r="H176" s="55"/>
      <x:c r="I176" s="19"/>
      <x:c r="J176" s="19"/>
      <x:c r="K176" s="19"/>
      <x:c r="L176" s="19"/>
      <x:c r="M176" s="19"/>
    </x:row>
    <x:row r="177">
      <x:c r="A177" s="19"/>
      <x:c r="B177" s="53"/>
      <x:c r="C177" s="19"/>
      <x:c r="D177" s="19"/>
      <x:c r="E177" s="19"/>
      <x:c r="F177" s="19"/>
      <x:c r="G177" s="55"/>
      <x:c r="H177" s="55"/>
      <x:c r="I177" s="19"/>
      <x:c r="J177" s="19"/>
      <x:c r="K177" s="19"/>
      <x:c r="L177" s="19"/>
      <x:c r="M177" s="19"/>
    </x:row>
    <x:row r="178">
      <x:c r="A178" s="19"/>
      <x:c r="B178" s="53"/>
      <x:c r="C178" s="19"/>
      <x:c r="D178" s="19"/>
      <x:c r="E178" s="19"/>
      <x:c r="F178" s="19"/>
      <x:c r="G178" s="55"/>
      <x:c r="H178" s="55"/>
      <x:c r="I178" s="19"/>
      <x:c r="J178" s="19"/>
      <x:c r="K178" s="19"/>
      <x:c r="L178" s="19"/>
      <x:c r="M178" s="19"/>
    </x:row>
    <x:row r="179">
      <x:c r="A179" s="19"/>
      <x:c r="B179" s="53"/>
      <x:c r="C179" s="19"/>
      <x:c r="D179" s="19"/>
      <x:c r="E179" s="19"/>
      <x:c r="F179" s="19"/>
      <x:c r="G179" s="55"/>
      <x:c r="H179" s="55"/>
      <x:c r="I179" s="19"/>
      <x:c r="J179" s="19"/>
      <x:c r="K179" s="19"/>
      <x:c r="L179" s="19"/>
      <x:c r="M179" s="19"/>
    </x:row>
    <x:row r="180">
      <x:c r="A180" s="19"/>
      <x:c r="B180" s="53"/>
      <x:c r="C180" s="19"/>
      <x:c r="D180" s="19"/>
      <x:c r="E180" s="19"/>
      <x:c r="F180" s="19"/>
      <x:c r="G180" s="55"/>
      <x:c r="H180" s="55"/>
      <x:c r="I180" s="19"/>
      <x:c r="J180" s="19"/>
      <x:c r="K180" s="19"/>
      <x:c r="L180" s="19"/>
      <x:c r="M180" s="19"/>
    </x:row>
    <x:row r="181">
      <x:c r="A181" s="19"/>
      <x:c r="B181" s="53"/>
      <x:c r="C181" s="19"/>
      <x:c r="D181" s="19"/>
      <x:c r="E181" s="19"/>
      <x:c r="F181" s="19"/>
      <x:c r="G181" s="55"/>
      <x:c r="H181" s="55"/>
      <x:c r="I181" s="19"/>
      <x:c r="J181" s="19"/>
      <x:c r="K181" s="19"/>
      <x:c r="L181" s="19"/>
      <x:c r="M181" s="19"/>
    </x:row>
    <x:row r="182">
      <x:c r="A182" s="19"/>
      <x:c r="B182" s="53"/>
      <x:c r="C182" s="19"/>
      <x:c r="D182" s="19"/>
      <x:c r="E182" s="19"/>
      <x:c r="F182" s="19"/>
      <x:c r="G182" s="55"/>
      <x:c r="H182" s="55"/>
      <x:c r="I182" s="19"/>
      <x:c r="J182" s="19"/>
      <x:c r="K182" s="19"/>
      <x:c r="L182" s="19"/>
      <x:c r="M182" s="19"/>
    </x:row>
    <x:row r="183">
      <x:c r="A183" s="19"/>
      <x:c r="B183" s="53"/>
      <x:c r="C183" s="19"/>
      <x:c r="D183" s="19"/>
      <x:c r="E183" s="19"/>
      <x:c r="F183" s="19"/>
      <x:c r="G183" s="55"/>
      <x:c r="H183" s="55"/>
      <x:c r="I183" s="19"/>
      <x:c r="J183" s="19"/>
      <x:c r="K183" s="19"/>
      <x:c r="L183" s="19"/>
      <x:c r="M183" s="19"/>
    </x:row>
    <x:row r="184">
      <x:c r="A184" s="19"/>
      <x:c r="B184" s="53"/>
      <x:c r="C184" s="19"/>
      <x:c r="D184" s="19"/>
      <x:c r="E184" s="19"/>
      <x:c r="F184" s="19"/>
      <x:c r="G184" s="55"/>
      <x:c r="H184" s="55"/>
      <x:c r="I184" s="19"/>
      <x:c r="J184" s="19"/>
      <x:c r="K184" s="19"/>
      <x:c r="L184" s="19"/>
      <x:c r="M184" s="19"/>
    </x:row>
    <x:row r="185">
      <x:c r="A185" s="19"/>
      <x:c r="B185" s="53"/>
      <x:c r="C185" s="19"/>
      <x:c r="D185" s="19"/>
      <x:c r="E185" s="19"/>
      <x:c r="F185" s="19"/>
      <x:c r="G185" s="55"/>
      <x:c r="H185" s="55"/>
      <x:c r="I185" s="19"/>
      <x:c r="J185" s="19"/>
      <x:c r="K185" s="19"/>
      <x:c r="L185" s="19"/>
      <x:c r="M185" s="19"/>
    </x:row>
    <x:row r="186">
      <x:c r="A186" s="19"/>
      <x:c r="B186" s="53"/>
      <x:c r="C186" s="19"/>
      <x:c r="D186" s="19"/>
      <x:c r="E186" s="19"/>
      <x:c r="F186" s="19"/>
      <x:c r="G186" s="55"/>
      <x:c r="H186" s="55"/>
      <x:c r="I186" s="19"/>
      <x:c r="J186" s="19"/>
      <x:c r="K186" s="19"/>
      <x:c r="L186" s="19"/>
      <x:c r="M186" s="19"/>
    </x:row>
    <x:row r="187">
      <x:c r="A187" s="19"/>
      <x:c r="B187" s="53"/>
      <x:c r="C187" s="19"/>
      <x:c r="D187" s="19"/>
      <x:c r="E187" s="19"/>
      <x:c r="F187" s="19"/>
      <x:c r="G187" s="55"/>
      <x:c r="H187" s="55"/>
      <x:c r="I187" s="19"/>
      <x:c r="J187" s="19"/>
      <x:c r="K187" s="19"/>
      <x:c r="L187" s="19"/>
      <x:c r="M187" s="19"/>
    </x:row>
    <x:row r="188">
      <x:c r="A188" s="19"/>
      <x:c r="B188" s="53"/>
      <x:c r="C188" s="19"/>
      <x:c r="D188" s="19"/>
      <x:c r="E188" s="19"/>
      <x:c r="F188" s="19"/>
      <x:c r="G188" s="55"/>
      <x:c r="H188" s="55"/>
      <x:c r="I188" s="19"/>
      <x:c r="J188" s="19"/>
      <x:c r="K188" s="19"/>
      <x:c r="L188" s="19"/>
      <x:c r="M188" s="19"/>
    </x:row>
    <x:row r="189">
      <x:c r="A189" s="19"/>
      <x:c r="B189" s="53"/>
      <x:c r="C189" s="19"/>
      <x:c r="D189" s="19"/>
      <x:c r="E189" s="19"/>
      <x:c r="F189" s="19"/>
      <x:c r="G189" s="55"/>
      <x:c r="H189" s="55"/>
      <x:c r="I189" s="19"/>
      <x:c r="J189" s="19"/>
      <x:c r="K189" s="19"/>
      <x:c r="L189" s="19"/>
      <x:c r="M189" s="19"/>
    </x:row>
    <x:row r="190">
      <x:c r="A190" s="19"/>
      <x:c r="B190" s="53"/>
      <x:c r="C190" s="19"/>
      <x:c r="D190" s="19"/>
      <x:c r="E190" s="19"/>
      <x:c r="F190" s="19"/>
      <x:c r="G190" s="55"/>
      <x:c r="H190" s="55"/>
      <x:c r="I190" s="19"/>
      <x:c r="J190" s="19"/>
      <x:c r="K190" s="19"/>
      <x:c r="L190" s="19"/>
      <x:c r="M190" s="19"/>
    </x:row>
    <x:row r="191">
      <x:c r="A191" s="19"/>
      <x:c r="B191" s="53"/>
      <x:c r="C191" s="19"/>
      <x:c r="D191" s="19"/>
      <x:c r="E191" s="19"/>
      <x:c r="F191" s="19"/>
      <x:c r="G191" s="55"/>
      <x:c r="H191" s="55"/>
      <x:c r="I191" s="19"/>
      <x:c r="J191" s="19"/>
      <x:c r="K191" s="19"/>
      <x:c r="L191" s="19"/>
      <x:c r="M191" s="19"/>
    </x:row>
    <x:row r="192">
      <x:c r="A192" s="19"/>
      <x:c r="B192" s="53"/>
      <x:c r="C192" s="19"/>
      <x:c r="D192" s="19"/>
      <x:c r="E192" s="19"/>
      <x:c r="F192" s="19"/>
      <x:c r="G192" s="55"/>
      <x:c r="H192" s="55"/>
      <x:c r="I192" s="19"/>
      <x:c r="J192" s="19"/>
      <x:c r="K192" s="19"/>
      <x:c r="L192" s="19"/>
      <x:c r="M192" s="19"/>
    </x:row>
    <x:row r="193">
      <x:c r="A193" s="19"/>
      <x:c r="B193" s="53"/>
      <x:c r="C193" s="19"/>
      <x:c r="D193" s="19"/>
      <x:c r="E193" s="19"/>
      <x:c r="F193" s="19"/>
      <x:c r="G193" s="55"/>
      <x:c r="H193" s="55"/>
      <x:c r="I193" s="19"/>
      <x:c r="J193" s="19"/>
      <x:c r="K193" s="19"/>
      <x:c r="L193" s="19"/>
      <x:c r="M193" s="19"/>
    </x:row>
    <x:row r="194">
      <x:c r="A194" s="19"/>
      <x:c r="B194" s="53"/>
      <x:c r="C194" s="19"/>
      <x:c r="D194" s="19"/>
      <x:c r="E194" s="19"/>
      <x:c r="F194" s="19"/>
      <x:c r="G194" s="55"/>
      <x:c r="H194" s="55"/>
      <x:c r="I194" s="19"/>
      <x:c r="J194" s="19"/>
      <x:c r="K194" s="19"/>
      <x:c r="L194" s="19"/>
      <x:c r="M194" s="19"/>
    </x:row>
    <x:row r="195">
      <x:c r="A195" s="19"/>
      <x:c r="B195" s="53"/>
      <x:c r="C195" s="19"/>
      <x:c r="D195" s="19"/>
      <x:c r="E195" s="19"/>
      <x:c r="F195" s="19"/>
      <x:c r="G195" s="55"/>
      <x:c r="H195" s="55"/>
      <x:c r="I195" s="19"/>
      <x:c r="J195" s="19"/>
      <x:c r="K195" s="19"/>
      <x:c r="L195" s="19"/>
      <x:c r="M195" s="19"/>
    </x:row>
    <x:row r="196">
      <x:c r="A196" s="19"/>
      <x:c r="B196" s="53"/>
      <x:c r="C196" s="19"/>
      <x:c r="D196" s="19"/>
      <x:c r="E196" s="19"/>
      <x:c r="F196" s="19"/>
      <x:c r="G196" s="55"/>
      <x:c r="H196" s="55"/>
      <x:c r="I196" s="19"/>
      <x:c r="J196" s="19"/>
      <x:c r="K196" s="19"/>
      <x:c r="L196" s="19"/>
      <x:c r="M196" s="19"/>
    </x:row>
    <x:row r="197">
      <x:c r="A197" s="19"/>
      <x:c r="B197" s="53"/>
      <x:c r="C197" s="19"/>
      <x:c r="D197" s="19"/>
      <x:c r="E197" s="19"/>
      <x:c r="F197" s="19"/>
      <x:c r="G197" s="55"/>
      <x:c r="H197" s="55"/>
      <x:c r="I197" s="19"/>
      <x:c r="J197" s="19"/>
      <x:c r="K197" s="19"/>
      <x:c r="L197" s="19"/>
      <x:c r="M197" s="19"/>
    </x:row>
    <x:row r="198">
      <x:c r="A198" s="19"/>
      <x:c r="B198" s="53"/>
      <x:c r="C198" s="19"/>
      <x:c r="D198" s="19"/>
      <x:c r="E198" s="19"/>
      <x:c r="F198" s="19"/>
      <x:c r="G198" s="55"/>
      <x:c r="H198" s="55"/>
      <x:c r="I198" s="19"/>
      <x:c r="J198" s="19"/>
      <x:c r="K198" s="19"/>
      <x:c r="L198" s="19"/>
      <x:c r="M198" s="19"/>
    </x:row>
    <x:row r="199">
      <x:c r="A199" s="19"/>
      <x:c r="B199" s="53"/>
      <x:c r="C199" s="19"/>
      <x:c r="D199" s="19"/>
      <x:c r="E199" s="19"/>
      <x:c r="F199" s="19"/>
      <x:c r="G199" s="55"/>
      <x:c r="H199" s="55"/>
      <x:c r="I199" s="19"/>
      <x:c r="J199" s="19"/>
      <x:c r="K199" s="19"/>
      <x:c r="L199" s="19"/>
      <x:c r="M199" s="19"/>
    </x:row>
    <x:row r="200">
      <x:c r="A200" s="19"/>
      <x:c r="B200" s="53"/>
      <x:c r="C200" s="19"/>
      <x:c r="D200" s="19"/>
      <x:c r="E200" s="19"/>
      <x:c r="F200" s="19"/>
      <x:c r="G200" s="55"/>
      <x:c r="H200" s="55"/>
      <x:c r="I200" s="19"/>
      <x:c r="J200" s="19"/>
      <x:c r="K200" s="19"/>
      <x:c r="L200" s="19"/>
      <x:c r="M200" s="19"/>
    </x:row>
    <x:row r="201">
      <x:c r="A201" s="19"/>
      <x:c r="B201" s="53"/>
      <x:c r="C201" s="19"/>
      <x:c r="D201" s="19"/>
      <x:c r="E201" s="19"/>
      <x:c r="F201" s="19"/>
      <x:c r="G201" s="55"/>
      <x:c r="H201" s="55"/>
      <x:c r="I201" s="19"/>
      <x:c r="J201" s="19"/>
      <x:c r="K201" s="19"/>
      <x:c r="L201" s="19"/>
      <x:c r="M201" s="19"/>
    </x:row>
    <x:row r="202">
      <x:c r="A202" s="19"/>
      <x:c r="B202" s="53"/>
      <x:c r="C202" s="19"/>
      <x:c r="D202" s="19"/>
      <x:c r="E202" s="19"/>
      <x:c r="F202" s="19"/>
      <x:c r="G202" s="55"/>
      <x:c r="H202" s="55"/>
      <x:c r="I202" s="19"/>
      <x:c r="J202" s="19"/>
      <x:c r="K202" s="19"/>
      <x:c r="L202" s="19"/>
      <x:c r="M202" s="19"/>
    </x:row>
    <x:row r="203">
      <x:c r="A203" s="19"/>
      <x:c r="B203" s="53"/>
      <x:c r="C203" s="19"/>
      <x:c r="D203" s="19"/>
      <x:c r="E203" s="19"/>
      <x:c r="F203" s="19"/>
      <x:c r="G203" s="55"/>
      <x:c r="H203" s="55"/>
      <x:c r="I203" s="19"/>
      <x:c r="J203" s="19"/>
      <x:c r="K203" s="19"/>
      <x:c r="L203" s="19"/>
      <x:c r="M203" s="19"/>
    </x:row>
    <x:row r="204">
      <x:c r="A204" s="19"/>
      <x:c r="B204" s="53"/>
      <x:c r="C204" s="19"/>
      <x:c r="D204" s="19"/>
      <x:c r="E204" s="19"/>
      <x:c r="F204" s="19"/>
      <x:c r="G204" s="55"/>
      <x:c r="H204" s="55"/>
      <x:c r="I204" s="19"/>
      <x:c r="J204" s="19"/>
      <x:c r="K204" s="19"/>
      <x:c r="L204" s="19"/>
      <x:c r="M204" s="19"/>
    </x:row>
    <x:row r="205">
      <x:c r="A205" s="19"/>
      <x:c r="B205" s="53"/>
      <x:c r="C205" s="19"/>
      <x:c r="D205" s="19"/>
      <x:c r="E205" s="19"/>
      <x:c r="F205" s="19"/>
      <x:c r="G205" s="55"/>
      <x:c r="H205" s="55"/>
      <x:c r="I205" s="19"/>
      <x:c r="J205" s="19"/>
      <x:c r="K205" s="19"/>
      <x:c r="L205" s="19"/>
      <x:c r="M205" s="19"/>
    </x:row>
  </x:sheetData>
  <x:mergeCells>
    <x:mergeCell ref="A1:M1"/>
    <x:mergeCell ref="A2:M2"/>
    <x:mergeCell ref="A3:M3"/>
  </x:mergeCells>
  <x:dataValidations count="5">
    <x:dataValidation type="list" sqref="A6:A205">
      <x:formula1>'Planejamento de Viagens'!$A$6:$A$205</x:formula1>
    </x:dataValidation>
    <x:dataValidation type="list" sqref="F6:F205">
      <x:formula1>'Base de Categorias'!$B$2:$B$15</x:formula1>
    </x:dataValidation>
    <x:dataValidation type="list" sqref="I6:I205">
      <x:formula1>'Base de Categorias'!$A$2:$A$4</x:formula1>
    </x:dataValidation>
    <x:dataValidation type="list" sqref="J6:J205">
      <x:formula1>'Base de Categorias'!$M$2:$M$3</x:formula1>
    </x:dataValidation>
    <x:dataValidation type="list" sqref="L6:L205">
      <x:formula1>"Ideia,Orçado,Reservado,Comprado,Cancelado,Planejado,Concluído"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89b66934434f0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23.1299991607666" hidden="0" customWidth="1"/>
    <x:col min="3" max="3" width="14.380000114440918" hidden="0" customWidth="1"/>
    <x:col min="4" max="4" width="16.25" hidden="0" customWidth="1"/>
    <x:col min="5" max="5" width="16.8799991607666" hidden="0" customWidth="1"/>
    <x:col min="6" max="6" width="14.380000114440918" hidden="0" customWidth="1"/>
    <x:col min="7" max="7" width="16.8799991607666" hidden="0" customWidth="1"/>
    <x:col min="8" max="8" width="17.5" hidden="0" customWidth="1"/>
    <x:col min="9" max="9" width="30" hidden="0" customWidth="1"/>
    <x:col min="10" max="10" width="3" hidden="0" customWidth="1"/>
    <x:col min="11" max="11" width="12.5" hidden="0" customWidth="1"/>
    <x:col min="12" max="12" width="15" hidden="0" customWidth="1"/>
    <x:col min="13" max="13" width="16.25" hidden="0" customWidth="1"/>
    <x:col min="14" max="14" width="16.25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 ht="25.5" customHeight="1">
      <x:c r="A1" s="4" t="str">
        <x:v>Economia e Metas</x:v>
      </x:c>
      <x:c r="B1" s="4"/>
      <x:c r="C1" s="4"/>
      <x:c r="D1" s="4"/>
      <x:c r="E1" s="4"/>
      <x:c r="F1" s="4"/>
      <x:c r="G1" s="4"/>
      <x:c r="H1" s="4"/>
      <x:c r="I1" s="4"/>
    </x:row>
    <x:row r="2" ht="21" customHeight="1">
      <x:c r="A2" s="9" t="str">
        <x:v>Controle a economia mensal de Pedro e Camilly para próximas visitas.</x:v>
      </x:c>
      <x:c r="B2" s="9"/>
      <x:c r="C2" s="9"/>
      <x:c r="D2" s="9"/>
      <x:c r="E2" s="9"/>
      <x:c r="F2" s="9"/>
      <x:c r="G2" s="9"/>
      <x:c r="H2" s="9"/>
      <x:c r="I2" s="9"/>
    </x:row>
    <x:row r="3" ht="22.5" customHeight="1">
      <x:c r="A3" s="47" t="str">
        <x:v>Células em azul são preenchidas manualmente. Células em cinza são calculadas automaticamente.</x:v>
      </x:c>
      <x:c r="B3" s="48"/>
      <x:c r="C3" s="48"/>
      <x:c r="D3" s="48"/>
      <x:c r="E3" s="48"/>
      <x:c r="F3" s="48"/>
      <x:c r="G3" s="48"/>
      <x:c r="H3" s="48"/>
      <x:c r="I3" s="49"/>
    </x:row>
    <x:row r="5">
      <x:c r="A5" s="33" t="str">
        <x:v>Mês</x:v>
      </x:c>
      <x:c r="B5" s="33" t="str">
        <x:v>Pessoa</x:v>
      </x:c>
      <x:c r="C5" s="33" t="str">
        <x:v>Viagem relacionada</x:v>
      </x:c>
      <x:c r="D5" s="33" t="str">
        <x:v>Meta de economia</x:v>
      </x:c>
      <x:c r="E5" s="33" t="str">
        <x:v>Valor economizado</x:v>
      </x:c>
      <x:c r="F5" s="33" t="str">
        <x:v>Diferença</x:v>
      </x:c>
      <x:c r="G5" s="33" t="str">
        <x:v>Percentual atingido</x:v>
      </x:c>
      <x:c r="H5" s="33" t="str">
        <x:v>Economia acumulada</x:v>
      </x:c>
      <x:c r="I5" s="33" t="str">
        <x:v>Observações</x:v>
      </x:c>
      <x:c r="K5" s="14" t="str">
        <x:v>Mês</x:v>
      </x:c>
      <x:c r="L5" s="14" t="str">
        <x:v>Meta</x:v>
      </x:c>
      <x:c r="M5" s="14" t="str">
        <x:v>Economizado</x:v>
      </x:c>
      <x:c r="N5" s="14" t="str">
        <x:v>Acumulado</x:v>
      </x:c>
    </x:row>
    <x:row r="6">
      <x:c r="A6" s="36" t="str">
        <x:v>jan/2026</x:v>
      </x:c>
      <x:c r="B6" s="36" t="str">
        <x:v>Pedro Américo Paletot</x:v>
      </x:c>
      <x:c r="C6" s="36" t="str">
        <x:v>V003</x:v>
      </x:c>
      <x:c r="D6" s="37" t="n">
        <x:v>450</x:v>
      </x:c>
      <x:c r="E6" s="37" t="n">
        <x:v>500</x:v>
      </x:c>
      <x:c r="F6" s="63" t="n">
        <x:f>IF($A6="","",$E6-$D6)</x:f>
        <x:v>50</x:v>
      </x:c>
      <x:c r="G6" s="65" t="n">
        <x:f>IF($A6="","",IFERROR($E6/$D6,0))</x:f>
        <x:v>1.1111111111111112</x:v>
      </x:c>
      <x:c r="H6" s="63" t="n">
        <x:f>IF($A6="","",SUMIFS($E$6:$E6,$B$6:$B6,$B6))</x:f>
        <x:v>500</x:v>
      </x:c>
      <x:c r="I6" s="36" t="str"/>
      <x:c r="K6" s="19" t="str">
        <x:v>jan/2026</x:v>
      </x:c>
      <x:c r="L6" s="55" t="n">
        <x:f>SUMIFS($D$6:$D$205,$A$6:$A$205,$K6)</x:f>
        <x:v>800</x:v>
      </x:c>
      <x:c r="M6" s="55" t="n">
        <x:f>SUMIFS($E$6:$E$205,$A$6:$A$205,$K6)</x:f>
        <x:v>820</x:v>
      </x:c>
      <x:c r="N6" s="55" t="n">
        <x:f>SUM($M$6:$M6)</x:f>
        <x:v>820</x:v>
      </x:c>
    </x:row>
    <x:row r="7">
      <x:c r="A7" s="36" t="str">
        <x:v>jan/2026</x:v>
      </x:c>
      <x:c r="B7" s="36" t="str">
        <x:v>Camilly Queiroz</x:v>
      </x:c>
      <x:c r="C7" s="36" t="str">
        <x:v>V003</x:v>
      </x:c>
      <x:c r="D7" s="37" t="n">
        <x:v>350</x:v>
      </x:c>
      <x:c r="E7" s="37" t="n">
        <x:v>320</x:v>
      </x:c>
      <x:c r="F7" s="63" t="n">
        <x:f>IF($A7="","",$E7-$D7)</x:f>
        <x:v>-30</x:v>
      </x:c>
      <x:c r="G7" s="65" t="n">
        <x:f>IF($A7="","",IFERROR($E7/$D7,0))</x:f>
        <x:v>0.9142857142857143</x:v>
      </x:c>
      <x:c r="H7" s="63" t="n">
        <x:f>IF($A7="","",SUMIFS($E$6:$E7,$B$6:$B7,$B7))</x:f>
        <x:v>320</x:v>
      </x:c>
      <x:c r="I7" s="36" t="str"/>
      <x:c r="K7" s="19" t="str">
        <x:v>fev/2026</x:v>
      </x:c>
      <x:c r="L7" s="55" t="n">
        <x:f>SUMIFS($D$6:$D$205,$A$6:$A$205,$K7)</x:f>
        <x:v>800</x:v>
      </x:c>
      <x:c r="M7" s="55" t="n">
        <x:f>SUMIFS($E$6:$E$205,$A$6:$A$205,$K7)</x:f>
        <x:v>850</x:v>
      </x:c>
      <x:c r="N7" s="55" t="n">
        <x:f>SUM($M$6:$M7)</x:f>
        <x:v>1670</x:v>
      </x:c>
    </x:row>
    <x:row r="8">
      <x:c r="A8" s="36" t="str">
        <x:v>fev/2026</x:v>
      </x:c>
      <x:c r="B8" s="36" t="str">
        <x:v>Pedro Américo Paletot</x:v>
      </x:c>
      <x:c r="C8" s="36" t="str">
        <x:v>V003</x:v>
      </x:c>
      <x:c r="D8" s="37" t="n">
        <x:v>450</x:v>
      </x:c>
      <x:c r="E8" s="37" t="n">
        <x:v>460</x:v>
      </x:c>
      <x:c r="F8" s="63" t="n">
        <x:f>IF($A8="","",$E8-$D8)</x:f>
        <x:v>10</x:v>
      </x:c>
      <x:c r="G8" s="65" t="n">
        <x:f>IF($A8="","",IFERROR($E8/$D8,0))</x:f>
        <x:v>1.0222222222222221</x:v>
      </x:c>
      <x:c r="H8" s="63" t="n">
        <x:f>IF($A8="","",SUMIFS($E$6:$E8,$B$6:$B8,$B8))</x:f>
        <x:v>960</x:v>
      </x:c>
      <x:c r="I8" s="36" t="str"/>
      <x:c r="K8" s="19" t="str">
        <x:v>mar/2026</x:v>
      </x:c>
      <x:c r="L8" s="55" t="n">
        <x:f>SUMIFS($D$6:$D$205,$A$6:$A$205,$K8)</x:f>
        <x:v>800</x:v>
      </x:c>
      <x:c r="M8" s="55" t="n">
        <x:f>SUMIFS($E$6:$E$205,$A$6:$A$205,$K8)</x:f>
        <x:v>790</x:v>
      </x:c>
      <x:c r="N8" s="55" t="n">
        <x:f>SUM($M$6:$M8)</x:f>
        <x:v>2460</x:v>
      </x:c>
    </x:row>
    <x:row r="9">
      <x:c r="A9" s="36" t="str">
        <x:v>fev/2026</x:v>
      </x:c>
      <x:c r="B9" s="36" t="str">
        <x:v>Camilly Queiroz</x:v>
      </x:c>
      <x:c r="C9" s="36" t="str">
        <x:v>V003</x:v>
      </x:c>
      <x:c r="D9" s="37" t="n">
        <x:v>350</x:v>
      </x:c>
      <x:c r="E9" s="37" t="n">
        <x:v>390</x:v>
      </x:c>
      <x:c r="F9" s="63" t="n">
        <x:f>IF($A9="","",$E9-$D9)</x:f>
        <x:v>40</x:v>
      </x:c>
      <x:c r="G9" s="65" t="n">
        <x:f>IF($A9="","",IFERROR($E9/$D9,0))</x:f>
        <x:v>1.1142857142857143</x:v>
      </x:c>
      <x:c r="H9" s="63" t="n">
        <x:f>IF($A9="","",SUMIFS($E$6:$E9,$B$6:$B9,$B9))</x:f>
        <x:v>710</x:v>
      </x:c>
      <x:c r="I9" s="36" t="str"/>
      <x:c r="K9" s="19" t="str">
        <x:v>abr/2026</x:v>
      </x:c>
      <x:c r="L9" s="55" t="n">
        <x:f>SUMIFS($D$6:$D$205,$A$6:$A$205,$K9)</x:f>
        <x:v>920</x:v>
      </x:c>
      <x:c r="M9" s="55" t="n">
        <x:f>SUMIFS($E$6:$E$205,$A$6:$A$205,$K9)</x:f>
        <x:v>920</x:v>
      </x:c>
      <x:c r="N9" s="55" t="n">
        <x:f>SUM($M$6:$M9)</x:f>
        <x:v>3380</x:v>
      </x:c>
    </x:row>
    <x:row r="10">
      <x:c r="A10" s="36" t="str">
        <x:v>mar/2026</x:v>
      </x:c>
      <x:c r="B10" s="36" t="str">
        <x:v>Pedro Américo Paletot</x:v>
      </x:c>
      <x:c r="C10" s="36" t="str">
        <x:v>V003</x:v>
      </x:c>
      <x:c r="D10" s="37" t="n">
        <x:v>450</x:v>
      </x:c>
      <x:c r="E10" s="37" t="n">
        <x:v>430</x:v>
      </x:c>
      <x:c r="F10" s="63" t="n">
        <x:f>IF($A10="","",$E10-$D10)</x:f>
        <x:v>-20</x:v>
      </x:c>
      <x:c r="G10" s="65" t="n">
        <x:f>IF($A10="","",IFERROR($E10/$D10,0))</x:f>
        <x:v>0.9555555555555556</x:v>
      </x:c>
      <x:c r="H10" s="63" t="n">
        <x:f>IF($A10="","",SUMIFS($E$6:$E10,$B$6:$B10,$B10))</x:f>
        <x:v>1390</x:v>
      </x:c>
      <x:c r="I10" s="36" t="str"/>
      <x:c r="K10" s="19" t="str">
        <x:v>mai/2026</x:v>
      </x:c>
      <x:c r="L10" s="55" t="n">
        <x:f>SUMIFS($D$6:$D$205,$A$6:$A$205,$K10)</x:f>
        <x:v>920</x:v>
      </x:c>
      <x:c r="M10" s="55" t="n">
        <x:f>SUMIFS($E$6:$E$205,$A$6:$A$205,$K10)</x:f>
        <x:v>1030</x:v>
      </x:c>
      <x:c r="N10" s="55" t="n">
        <x:f>SUM($M$6:$M10)</x:f>
        <x:v>4410</x:v>
      </x:c>
    </x:row>
    <x:row r="11">
      <x:c r="A11" s="36" t="str">
        <x:v>mar/2026</x:v>
      </x:c>
      <x:c r="B11" s="36" t="str">
        <x:v>Camilly Queiroz</x:v>
      </x:c>
      <x:c r="C11" s="36" t="str">
        <x:v>V003</x:v>
      </x:c>
      <x:c r="D11" s="37" t="n">
        <x:v>350</x:v>
      </x:c>
      <x:c r="E11" s="37" t="n">
        <x:v>360</x:v>
      </x:c>
      <x:c r="F11" s="63" t="n">
        <x:f>IF($A11="","",$E11-$D11)</x:f>
        <x:v>10</x:v>
      </x:c>
      <x:c r="G11" s="65" t="n">
        <x:f>IF($A11="","",IFERROR($E11/$D11,0))</x:f>
        <x:v>1.0285714285714285</x:v>
      </x:c>
      <x:c r="H11" s="63" t="n">
        <x:f>IF($A11="","",SUMIFS($E$6:$E11,$B$6:$B11,$B11))</x:f>
        <x:v>1070</x:v>
      </x:c>
      <x:c r="I11" s="36" t="str"/>
      <x:c r="K11" s="19" t="str">
        <x:v>jun/2026</x:v>
      </x:c>
      <x:c r="L11" s="55" t="n">
        <x:f>SUMIFS($D$6:$D$205,$A$6:$A$205,$K11)</x:f>
        <x:v>1000</x:v>
      </x:c>
      <x:c r="M11" s="55" t="n">
        <x:f>SUMIFS($E$6:$E$205,$A$6:$A$205,$K11)</x:f>
        <x:v>1060</x:v>
      </x:c>
      <x:c r="N11" s="55" t="n">
        <x:f>SUM($M$6:$M11)</x:f>
        <x:v>5470</x:v>
      </x:c>
    </x:row>
    <x:row r="12">
      <x:c r="A12" s="36" t="str">
        <x:v>abr/2026</x:v>
      </x:c>
      <x:c r="B12" s="36" t="str">
        <x:v>Pedro Américo Paletot</x:v>
      </x:c>
      <x:c r="C12" s="36" t="str">
        <x:v>V001</x:v>
      </x:c>
      <x:c r="D12" s="37" t="n">
        <x:v>500</x:v>
      </x:c>
      <x:c r="E12" s="37" t="n">
        <x:v>520</x:v>
      </x:c>
      <x:c r="F12" s="63" t="n">
        <x:f>IF($A12="","",$E12-$D12)</x:f>
        <x:v>20</x:v>
      </x:c>
      <x:c r="G12" s="65" t="n">
        <x:f>IF($A12="","",IFERROR($E12/$D12,0))</x:f>
        <x:v>1.04</x:v>
      </x:c>
      <x:c r="H12" s="63" t="n">
        <x:f>IF($A12="","",SUMIFS($E$6:$E12,$B$6:$B12,$B12))</x:f>
        <x:v>1910</x:v>
      </x:c>
      <x:c r="I12" s="36" t="str"/>
    </x:row>
    <x:row r="13">
      <x:c r="A13" s="36" t="str">
        <x:v>abr/2026</x:v>
      </x:c>
      <x:c r="B13" s="36" t="str">
        <x:v>Camilly Queiroz</x:v>
      </x:c>
      <x:c r="C13" s="36" t="str">
        <x:v>V001</x:v>
      </x:c>
      <x:c r="D13" s="37" t="n">
        <x:v>420</x:v>
      </x:c>
      <x:c r="E13" s="37" t="n">
        <x:v>400</x:v>
      </x:c>
      <x:c r="F13" s="63" t="n">
        <x:f>IF($A13="","",$E13-$D13)</x:f>
        <x:v>-20</x:v>
      </x:c>
      <x:c r="G13" s="65" t="n">
        <x:f>IF($A13="","",IFERROR($E13/$D13,0))</x:f>
        <x:v>0.9523809523809523</x:v>
      </x:c>
      <x:c r="H13" s="63" t="n">
        <x:f>IF($A13="","",SUMIFS($E$6:$E13,$B$6:$B13,$B13))</x:f>
        <x:v>1470</x:v>
      </x:c>
      <x:c r="I13" s="36" t="str"/>
    </x:row>
    <x:row r="14">
      <x:c r="A14" s="36" t="str">
        <x:v>mai/2026</x:v>
      </x:c>
      <x:c r="B14" s="36" t="str">
        <x:v>Pedro Américo Paletot</x:v>
      </x:c>
      <x:c r="C14" s="36" t="str">
        <x:v>V001</x:v>
      </x:c>
      <x:c r="D14" s="37" t="n">
        <x:v>500</x:v>
      </x:c>
      <x:c r="E14" s="37" t="n">
        <x:v>580</x:v>
      </x:c>
      <x:c r="F14" s="63" t="n">
        <x:f>IF($A14="","",$E14-$D14)</x:f>
        <x:v>80</x:v>
      </x:c>
      <x:c r="G14" s="65" t="n">
        <x:f>IF($A14="","",IFERROR($E14/$D14,0))</x:f>
        <x:v>1.16</x:v>
      </x:c>
      <x:c r="H14" s="63" t="n">
        <x:f>IF($A14="","",SUMIFS($E$6:$E14,$B$6:$B14,$B14))</x:f>
        <x:v>2490</x:v>
      </x:c>
      <x:c r="I14" s="36" t="str"/>
    </x:row>
    <x:row r="15">
      <x:c r="A15" s="36" t="str">
        <x:v>mai/2026</x:v>
      </x:c>
      <x:c r="B15" s="36" t="str">
        <x:v>Camilly Queiroz</x:v>
      </x:c>
      <x:c r="C15" s="36" t="str">
        <x:v>V001</x:v>
      </x:c>
      <x:c r="D15" s="37" t="n">
        <x:v>420</x:v>
      </x:c>
      <x:c r="E15" s="37" t="n">
        <x:v>450</x:v>
      </x:c>
      <x:c r="F15" s="63" t="n">
        <x:f>IF($A15="","",$E15-$D15)</x:f>
        <x:v>30</x:v>
      </x:c>
      <x:c r="G15" s="65" t="n">
        <x:f>IF($A15="","",IFERROR($E15/$D15,0))</x:f>
        <x:v>1.0714285714285714</x:v>
      </x:c>
      <x:c r="H15" s="63" t="n">
        <x:f>IF($A15="","",SUMIFS($E$6:$E15,$B$6:$B15,$B15))</x:f>
        <x:v>1920</x:v>
      </x:c>
      <x:c r="I15" s="36" t="str"/>
    </x:row>
    <x:row r="16">
      <x:c r="A16" s="36" t="str">
        <x:v>jun/2026</x:v>
      </x:c>
      <x:c r="B16" s="36" t="str">
        <x:v>Pedro Américo Paletot</x:v>
      </x:c>
      <x:c r="C16" s="36" t="str">
        <x:v>V002</x:v>
      </x:c>
      <x:c r="D16" s="37" t="n">
        <x:v>550</x:v>
      </x:c>
      <x:c r="E16" s="37" t="n">
        <x:v>620</x:v>
      </x:c>
      <x:c r="F16" s="63" t="n">
        <x:f>IF($A16="","",$E16-$D16)</x:f>
        <x:v>70</x:v>
      </x:c>
      <x:c r="G16" s="65" t="n">
        <x:f>IF($A16="","",IFERROR($E16/$D16,0))</x:f>
        <x:v>1.1272727272727272</x:v>
      </x:c>
      <x:c r="H16" s="63" t="n">
        <x:f>IF($A16="","",SUMIFS($E$6:$E16,$B$6:$B16,$B16))</x:f>
        <x:v>3110</x:v>
      </x:c>
      <x:c r="I16" s="36" t="str"/>
    </x:row>
    <x:row r="17">
      <x:c r="A17" s="36" t="str">
        <x:v>jun/2026</x:v>
      </x:c>
      <x:c r="B17" s="36" t="str">
        <x:v>Camilly Queiroz</x:v>
      </x:c>
      <x:c r="C17" s="36" t="str">
        <x:v>V002</x:v>
      </x:c>
      <x:c r="D17" s="37" t="n">
        <x:v>450</x:v>
      </x:c>
      <x:c r="E17" s="37" t="n">
        <x:v>440</x:v>
      </x:c>
      <x:c r="F17" s="63" t="n">
        <x:f>IF($A17="","",$E17-$D17)</x:f>
        <x:v>-10</x:v>
      </x:c>
      <x:c r="G17" s="65" t="n">
        <x:f>IF($A17="","",IFERROR($E17/$D17,0))</x:f>
        <x:v>0.9777777777777777</x:v>
      </x:c>
      <x:c r="H17" s="63" t="n">
        <x:f>IF($A17="","",SUMIFS($E$6:$E17,$B$6:$B17,$B17))</x:f>
        <x:v>2360</x:v>
      </x:c>
      <x:c r="I17" s="36" t="str"/>
    </x:row>
    <x:row r="18">
      <x:c r="A18" s="36"/>
      <x:c r="B18" s="36"/>
      <x:c r="C18" s="36"/>
      <x:c r="D18" s="37"/>
      <x:c r="E18" s="37"/>
      <x:c r="F18" s="63" t="str">
        <x:f>IF($A18="","",$E18-$D18)</x:f>
      </x:c>
      <x:c r="G18" s="65" t="str">
        <x:f>IF($A18="","",IFERROR($E18/$D18,0))</x:f>
      </x:c>
      <x:c r="H18" s="63" t="str">
        <x:f>IF($A18="","",SUMIFS($E$6:$E18,$B$6:$B18,$B18))</x:f>
      </x:c>
      <x:c r="I18" s="36"/>
    </x:row>
    <x:row r="19">
      <x:c r="A19" s="36"/>
      <x:c r="B19" s="36"/>
      <x:c r="C19" s="36"/>
      <x:c r="D19" s="37"/>
      <x:c r="E19" s="37"/>
      <x:c r="F19" s="63" t="str">
        <x:f>IF($A19="","",$E19-$D19)</x:f>
      </x:c>
      <x:c r="G19" s="65" t="str">
        <x:f>IF($A19="","",IFERROR($E19/$D19,0))</x:f>
      </x:c>
      <x:c r="H19" s="63" t="str">
        <x:f>IF($A19="","",SUMIFS($E$6:$E19,$B$6:$B19,$B19))</x:f>
      </x:c>
      <x:c r="I19" s="36"/>
    </x:row>
    <x:row r="20">
      <x:c r="A20" s="36"/>
      <x:c r="B20" s="36"/>
      <x:c r="C20" s="36"/>
      <x:c r="D20" s="37"/>
      <x:c r="E20" s="37"/>
      <x:c r="F20" s="63" t="str">
        <x:f>IF($A20="","",$E20-$D20)</x:f>
      </x:c>
      <x:c r="G20" s="65" t="str">
        <x:f>IF($A20="","",IFERROR($E20/$D20,0))</x:f>
      </x:c>
      <x:c r="H20" s="63" t="str">
        <x:f>IF($A20="","",SUMIFS($E$6:$E20,$B$6:$B20,$B20))</x:f>
      </x:c>
      <x:c r="I20" s="36"/>
    </x:row>
    <x:row r="21">
      <x:c r="A21" s="36"/>
      <x:c r="B21" s="36"/>
      <x:c r="C21" s="36"/>
      <x:c r="D21" s="37"/>
      <x:c r="E21" s="37"/>
      <x:c r="F21" s="63" t="str">
        <x:f>IF($A21="","",$E21-$D21)</x:f>
      </x:c>
      <x:c r="G21" s="65" t="str">
        <x:f>IF($A21="","",IFERROR($E21/$D21,0))</x:f>
      </x:c>
      <x:c r="H21" s="63" t="str">
        <x:f>IF($A21="","",SUMIFS($E$6:$E21,$B$6:$B21,$B21))</x:f>
      </x:c>
      <x:c r="I21" s="36"/>
    </x:row>
    <x:row r="22">
      <x:c r="A22" s="36"/>
      <x:c r="B22" s="36"/>
      <x:c r="C22" s="36"/>
      <x:c r="D22" s="37"/>
      <x:c r="E22" s="37"/>
      <x:c r="F22" s="63" t="str">
        <x:f>IF($A22="","",$E22-$D22)</x:f>
      </x:c>
      <x:c r="G22" s="65" t="str">
        <x:f>IF($A22="","",IFERROR($E22/$D22,0))</x:f>
      </x:c>
      <x:c r="H22" s="63" t="str">
        <x:f>IF($A22="","",SUMIFS($E$6:$E22,$B$6:$B22,$B22))</x:f>
      </x:c>
      <x:c r="I22" s="36"/>
    </x:row>
    <x:row r="23">
      <x:c r="A23" s="36"/>
      <x:c r="B23" s="36"/>
      <x:c r="C23" s="36"/>
      <x:c r="D23" s="37"/>
      <x:c r="E23" s="37"/>
      <x:c r="F23" s="63" t="str">
        <x:f>IF($A23="","",$E23-$D23)</x:f>
      </x:c>
      <x:c r="G23" s="65" t="str">
        <x:f>IF($A23="","",IFERROR($E23/$D23,0))</x:f>
      </x:c>
      <x:c r="H23" s="63" t="str">
        <x:f>IF($A23="","",SUMIFS($E$6:$E23,$B$6:$B23,$B23))</x:f>
      </x:c>
      <x:c r="I23" s="36"/>
    </x:row>
    <x:row r="24">
      <x:c r="A24" s="36"/>
      <x:c r="B24" s="36"/>
      <x:c r="C24" s="36"/>
      <x:c r="D24" s="37"/>
      <x:c r="E24" s="37"/>
      <x:c r="F24" s="63" t="str">
        <x:f>IF($A24="","",$E24-$D24)</x:f>
      </x:c>
      <x:c r="G24" s="65" t="str">
        <x:f>IF($A24="","",IFERROR($E24/$D24,0))</x:f>
      </x:c>
      <x:c r="H24" s="63" t="str">
        <x:f>IF($A24="","",SUMIFS($E$6:$E24,$B$6:$B24,$B24))</x:f>
      </x:c>
      <x:c r="I24" s="36"/>
    </x:row>
    <x:row r="25">
      <x:c r="A25" s="36"/>
      <x:c r="B25" s="36"/>
      <x:c r="C25" s="36"/>
      <x:c r="D25" s="37"/>
      <x:c r="E25" s="37"/>
      <x:c r="F25" s="63" t="str">
        <x:f>IF($A25="","",$E25-$D25)</x:f>
      </x:c>
      <x:c r="G25" s="65" t="str">
        <x:f>IF($A25="","",IFERROR($E25/$D25,0))</x:f>
      </x:c>
      <x:c r="H25" s="63" t="str">
        <x:f>IF($A25="","",SUMIFS($E$6:$E25,$B$6:$B25,$B25))</x:f>
      </x:c>
      <x:c r="I25" s="36"/>
    </x:row>
    <x:row r="26">
      <x:c r="A26" s="36"/>
      <x:c r="B26" s="36"/>
      <x:c r="C26" s="36"/>
      <x:c r="D26" s="37"/>
      <x:c r="E26" s="37"/>
      <x:c r="F26" s="63" t="str">
        <x:f>IF($A26="","",$E26-$D26)</x:f>
      </x:c>
      <x:c r="G26" s="65" t="str">
        <x:f>IF($A26="","",IFERROR($E26/$D26,0))</x:f>
      </x:c>
      <x:c r="H26" s="63" t="str">
        <x:f>IF($A26="","",SUMIFS($E$6:$E26,$B$6:$B26,$B26))</x:f>
      </x:c>
      <x:c r="I26" s="36"/>
    </x:row>
    <x:row r="27">
      <x:c r="A27" s="36"/>
      <x:c r="B27" s="36"/>
      <x:c r="C27" s="36"/>
      <x:c r="D27" s="37"/>
      <x:c r="E27" s="37"/>
      <x:c r="F27" s="63" t="str">
        <x:f>IF($A27="","",$E27-$D27)</x:f>
      </x:c>
      <x:c r="G27" s="65" t="str">
        <x:f>IF($A27="","",IFERROR($E27/$D27,0))</x:f>
      </x:c>
      <x:c r="H27" s="63" t="str">
        <x:f>IF($A27="","",SUMIFS($E$6:$E27,$B$6:$B27,$B27))</x:f>
      </x:c>
      <x:c r="I27" s="36"/>
    </x:row>
    <x:row r="28">
      <x:c r="A28" s="36"/>
      <x:c r="B28" s="36"/>
      <x:c r="C28" s="36"/>
      <x:c r="D28" s="37"/>
      <x:c r="E28" s="37"/>
      <x:c r="F28" s="63" t="str">
        <x:f>IF($A28="","",$E28-$D28)</x:f>
      </x:c>
      <x:c r="G28" s="65" t="str">
        <x:f>IF($A28="","",IFERROR($E28/$D28,0))</x:f>
      </x:c>
      <x:c r="H28" s="63" t="str">
        <x:f>IF($A28="","",SUMIFS($E$6:$E28,$B$6:$B28,$B28))</x:f>
      </x:c>
      <x:c r="I28" s="36"/>
    </x:row>
    <x:row r="29">
      <x:c r="A29" s="36"/>
      <x:c r="B29" s="36"/>
      <x:c r="C29" s="36"/>
      <x:c r="D29" s="37"/>
      <x:c r="E29" s="37"/>
      <x:c r="F29" s="63" t="str">
        <x:f>IF($A29="","",$E29-$D29)</x:f>
      </x:c>
      <x:c r="G29" s="65" t="str">
        <x:f>IF($A29="","",IFERROR($E29/$D29,0))</x:f>
      </x:c>
      <x:c r="H29" s="63" t="str">
        <x:f>IF($A29="","",SUMIFS($E$6:$E29,$B$6:$B29,$B29))</x:f>
      </x:c>
      <x:c r="I29" s="36"/>
    </x:row>
    <x:row r="30">
      <x:c r="A30" s="36"/>
      <x:c r="B30" s="36"/>
      <x:c r="C30" s="36"/>
      <x:c r="D30" s="37"/>
      <x:c r="E30" s="37"/>
      <x:c r="F30" s="63" t="str">
        <x:f>IF($A30="","",$E30-$D30)</x:f>
      </x:c>
      <x:c r="G30" s="65" t="str">
        <x:f>IF($A30="","",IFERROR($E30/$D30,0))</x:f>
      </x:c>
      <x:c r="H30" s="63" t="str">
        <x:f>IF($A30="","",SUMIFS($E$6:$E30,$B$6:$B30,$B30))</x:f>
      </x:c>
      <x:c r="I30" s="36"/>
    </x:row>
    <x:row r="31">
      <x:c r="A31" s="36"/>
      <x:c r="B31" s="36"/>
      <x:c r="C31" s="36"/>
      <x:c r="D31" s="37"/>
      <x:c r="E31" s="37"/>
      <x:c r="F31" s="63" t="str">
        <x:f>IF($A31="","",$E31-$D31)</x:f>
      </x:c>
      <x:c r="G31" s="65" t="str">
        <x:f>IF($A31="","",IFERROR($E31/$D31,0))</x:f>
      </x:c>
      <x:c r="H31" s="63" t="str">
        <x:f>IF($A31="","",SUMIFS($E$6:$E31,$B$6:$B31,$B31))</x:f>
      </x:c>
      <x:c r="I31" s="36"/>
    </x:row>
    <x:row r="32">
      <x:c r="A32" s="36"/>
      <x:c r="B32" s="36"/>
      <x:c r="C32" s="36"/>
      <x:c r="D32" s="37"/>
      <x:c r="E32" s="37"/>
      <x:c r="F32" s="63" t="str">
        <x:f>IF($A32="","",$E32-$D32)</x:f>
      </x:c>
      <x:c r="G32" s="65" t="str">
        <x:f>IF($A32="","",IFERROR($E32/$D32,0))</x:f>
      </x:c>
      <x:c r="H32" s="63" t="str">
        <x:f>IF($A32="","",SUMIFS($E$6:$E32,$B$6:$B32,$B32))</x:f>
      </x:c>
      <x:c r="I32" s="36"/>
    </x:row>
    <x:row r="33">
      <x:c r="A33" s="36"/>
      <x:c r="B33" s="36"/>
      <x:c r="C33" s="36"/>
      <x:c r="D33" s="37"/>
      <x:c r="E33" s="37"/>
      <x:c r="F33" s="63" t="str">
        <x:f>IF($A33="","",$E33-$D33)</x:f>
      </x:c>
      <x:c r="G33" s="65" t="str">
        <x:f>IF($A33="","",IFERROR($E33/$D33,0))</x:f>
      </x:c>
      <x:c r="H33" s="63" t="str">
        <x:f>IF($A33="","",SUMIFS($E$6:$E33,$B$6:$B33,$B33))</x:f>
      </x:c>
      <x:c r="I33" s="36"/>
    </x:row>
    <x:row r="34">
      <x:c r="A34" s="36"/>
      <x:c r="B34" s="36"/>
      <x:c r="C34" s="36"/>
      <x:c r="D34" s="37"/>
      <x:c r="E34" s="37"/>
      <x:c r="F34" s="63" t="str">
        <x:f>IF($A34="","",$E34-$D34)</x:f>
      </x:c>
      <x:c r="G34" s="65" t="str">
        <x:f>IF($A34="","",IFERROR($E34/$D34,0))</x:f>
      </x:c>
      <x:c r="H34" s="63" t="str">
        <x:f>IF($A34="","",SUMIFS($E$6:$E34,$B$6:$B34,$B34))</x:f>
      </x:c>
      <x:c r="I34" s="36"/>
    </x:row>
    <x:row r="35">
      <x:c r="A35" s="36"/>
      <x:c r="B35" s="36"/>
      <x:c r="C35" s="36"/>
      <x:c r="D35" s="37"/>
      <x:c r="E35" s="37"/>
      <x:c r="F35" s="63" t="str">
        <x:f>IF($A35="","",$E35-$D35)</x:f>
      </x:c>
      <x:c r="G35" s="65" t="str">
        <x:f>IF($A35="","",IFERROR($E35/$D35,0))</x:f>
      </x:c>
      <x:c r="H35" s="63" t="str">
        <x:f>IF($A35="","",SUMIFS($E$6:$E35,$B$6:$B35,$B35))</x:f>
      </x:c>
      <x:c r="I35" s="36"/>
    </x:row>
    <x:row r="36">
      <x:c r="A36" s="36"/>
      <x:c r="B36" s="36"/>
      <x:c r="C36" s="36"/>
      <x:c r="D36" s="37"/>
      <x:c r="E36" s="37"/>
      <x:c r="F36" s="63" t="str">
        <x:f>IF($A36="","",$E36-$D36)</x:f>
      </x:c>
      <x:c r="G36" s="65" t="str">
        <x:f>IF($A36="","",IFERROR($E36/$D36,0))</x:f>
      </x:c>
      <x:c r="H36" s="63" t="str">
        <x:f>IF($A36="","",SUMIFS($E$6:$E36,$B$6:$B36,$B36))</x:f>
      </x:c>
      <x:c r="I36" s="36"/>
    </x:row>
    <x:row r="37">
      <x:c r="A37" s="36"/>
      <x:c r="B37" s="36"/>
      <x:c r="C37" s="36"/>
      <x:c r="D37" s="37"/>
      <x:c r="E37" s="37"/>
      <x:c r="F37" s="63" t="str">
        <x:f>IF($A37="","",$E37-$D37)</x:f>
      </x:c>
      <x:c r="G37" s="65" t="str">
        <x:f>IF($A37="","",IFERROR($E37/$D37,0))</x:f>
      </x:c>
      <x:c r="H37" s="63" t="str">
        <x:f>IF($A37="","",SUMIFS($E$6:$E37,$B$6:$B37,$B37))</x:f>
      </x:c>
      <x:c r="I37" s="36"/>
    </x:row>
    <x:row r="38">
      <x:c r="A38" s="36"/>
      <x:c r="B38" s="36"/>
      <x:c r="C38" s="36"/>
      <x:c r="D38" s="37"/>
      <x:c r="E38" s="37"/>
      <x:c r="F38" s="63" t="str">
        <x:f>IF($A38="","",$E38-$D38)</x:f>
      </x:c>
      <x:c r="G38" s="65" t="str">
        <x:f>IF($A38="","",IFERROR($E38/$D38,0))</x:f>
      </x:c>
      <x:c r="H38" s="63" t="str">
        <x:f>IF($A38="","",SUMIFS($E$6:$E38,$B$6:$B38,$B38))</x:f>
      </x:c>
      <x:c r="I38" s="36"/>
    </x:row>
    <x:row r="39">
      <x:c r="A39" s="36"/>
      <x:c r="B39" s="36"/>
      <x:c r="C39" s="36"/>
      <x:c r="D39" s="37"/>
      <x:c r="E39" s="37"/>
      <x:c r="F39" s="63" t="str">
        <x:f>IF($A39="","",$E39-$D39)</x:f>
      </x:c>
      <x:c r="G39" s="65" t="str">
        <x:f>IF($A39="","",IFERROR($E39/$D39,0))</x:f>
      </x:c>
      <x:c r="H39" s="63" t="str">
        <x:f>IF($A39="","",SUMIFS($E$6:$E39,$B$6:$B39,$B39))</x:f>
      </x:c>
      <x:c r="I39" s="36"/>
    </x:row>
    <x:row r="40">
      <x:c r="A40" s="36"/>
      <x:c r="B40" s="36"/>
      <x:c r="C40" s="36"/>
      <x:c r="D40" s="37"/>
      <x:c r="E40" s="37"/>
      <x:c r="F40" s="63" t="str">
        <x:f>IF($A40="","",$E40-$D40)</x:f>
      </x:c>
      <x:c r="G40" s="65" t="str">
        <x:f>IF($A40="","",IFERROR($E40/$D40,0))</x:f>
      </x:c>
      <x:c r="H40" s="63" t="str">
        <x:f>IF($A40="","",SUMIFS($E$6:$E40,$B$6:$B40,$B40))</x:f>
      </x:c>
      <x:c r="I40" s="36"/>
    </x:row>
    <x:row r="41">
      <x:c r="A41" s="36"/>
      <x:c r="B41" s="36"/>
      <x:c r="C41" s="36"/>
      <x:c r="D41" s="37"/>
      <x:c r="E41" s="37"/>
      <x:c r="F41" s="63" t="str">
        <x:f>IF($A41="","",$E41-$D41)</x:f>
      </x:c>
      <x:c r="G41" s="65" t="str">
        <x:f>IF($A41="","",IFERROR($E41/$D41,0))</x:f>
      </x:c>
      <x:c r="H41" s="63" t="str">
        <x:f>IF($A41="","",SUMIFS($E$6:$E41,$B$6:$B41,$B41))</x:f>
      </x:c>
      <x:c r="I41" s="36"/>
    </x:row>
    <x:row r="42">
      <x:c r="A42" s="36"/>
      <x:c r="B42" s="36"/>
      <x:c r="C42" s="36"/>
      <x:c r="D42" s="37"/>
      <x:c r="E42" s="37"/>
      <x:c r="F42" s="63" t="str">
        <x:f>IF($A42="","",$E42-$D42)</x:f>
      </x:c>
      <x:c r="G42" s="65" t="str">
        <x:f>IF($A42="","",IFERROR($E42/$D42,0))</x:f>
      </x:c>
      <x:c r="H42" s="63" t="str">
        <x:f>IF($A42="","",SUMIFS($E$6:$E42,$B$6:$B42,$B42))</x:f>
      </x:c>
      <x:c r="I42" s="36"/>
    </x:row>
    <x:row r="43">
      <x:c r="A43" s="36"/>
      <x:c r="B43" s="36"/>
      <x:c r="C43" s="36"/>
      <x:c r="D43" s="37"/>
      <x:c r="E43" s="37"/>
      <x:c r="F43" s="63" t="str">
        <x:f>IF($A43="","",$E43-$D43)</x:f>
      </x:c>
      <x:c r="G43" s="65" t="str">
        <x:f>IF($A43="","",IFERROR($E43/$D43,0))</x:f>
      </x:c>
      <x:c r="H43" s="63" t="str">
        <x:f>IF($A43="","",SUMIFS($E$6:$E43,$B$6:$B43,$B43))</x:f>
      </x:c>
      <x:c r="I43" s="36"/>
    </x:row>
    <x:row r="44">
      <x:c r="A44" s="36"/>
      <x:c r="B44" s="36"/>
      <x:c r="C44" s="36"/>
      <x:c r="D44" s="37"/>
      <x:c r="E44" s="37"/>
      <x:c r="F44" s="63" t="str">
        <x:f>IF($A44="","",$E44-$D44)</x:f>
      </x:c>
      <x:c r="G44" s="65" t="str">
        <x:f>IF($A44="","",IFERROR($E44/$D44,0))</x:f>
      </x:c>
      <x:c r="H44" s="63" t="str">
        <x:f>IF($A44="","",SUMIFS($E$6:$E44,$B$6:$B44,$B44))</x:f>
      </x:c>
      <x:c r="I44" s="36"/>
    </x:row>
    <x:row r="45">
      <x:c r="A45" s="36"/>
      <x:c r="B45" s="36"/>
      <x:c r="C45" s="36"/>
      <x:c r="D45" s="37"/>
      <x:c r="E45" s="37"/>
      <x:c r="F45" s="63" t="str">
        <x:f>IF($A45="","",$E45-$D45)</x:f>
      </x:c>
      <x:c r="G45" s="65" t="str">
        <x:f>IF($A45="","",IFERROR($E45/$D45,0))</x:f>
      </x:c>
      <x:c r="H45" s="63" t="str">
        <x:f>IF($A45="","",SUMIFS($E$6:$E45,$B$6:$B45,$B45))</x:f>
      </x:c>
      <x:c r="I45" s="36"/>
    </x:row>
    <x:row r="46">
      <x:c r="A46" s="36"/>
      <x:c r="B46" s="36"/>
      <x:c r="C46" s="36"/>
      <x:c r="D46" s="37"/>
      <x:c r="E46" s="37"/>
      <x:c r="F46" s="63" t="str">
        <x:f>IF($A46="","",$E46-$D46)</x:f>
      </x:c>
      <x:c r="G46" s="65" t="str">
        <x:f>IF($A46="","",IFERROR($E46/$D46,0))</x:f>
      </x:c>
      <x:c r="H46" s="63" t="str">
        <x:f>IF($A46="","",SUMIFS($E$6:$E46,$B$6:$B46,$B46))</x:f>
      </x:c>
      <x:c r="I46" s="36"/>
    </x:row>
    <x:row r="47">
      <x:c r="A47" s="36"/>
      <x:c r="B47" s="36"/>
      <x:c r="C47" s="36"/>
      <x:c r="D47" s="37"/>
      <x:c r="E47" s="37"/>
      <x:c r="F47" s="63" t="str">
        <x:f>IF($A47="","",$E47-$D47)</x:f>
      </x:c>
      <x:c r="G47" s="65" t="str">
        <x:f>IF($A47="","",IFERROR($E47/$D47,0))</x:f>
      </x:c>
      <x:c r="H47" s="63" t="str">
        <x:f>IF($A47="","",SUMIFS($E$6:$E47,$B$6:$B47,$B47))</x:f>
      </x:c>
      <x:c r="I47" s="36"/>
    </x:row>
    <x:row r="48">
      <x:c r="A48" s="36"/>
      <x:c r="B48" s="36"/>
      <x:c r="C48" s="36"/>
      <x:c r="D48" s="37"/>
      <x:c r="E48" s="37"/>
      <x:c r="F48" s="63" t="str">
        <x:f>IF($A48="","",$E48-$D48)</x:f>
      </x:c>
      <x:c r="G48" s="65" t="str">
        <x:f>IF($A48="","",IFERROR($E48/$D48,0))</x:f>
      </x:c>
      <x:c r="H48" s="63" t="str">
        <x:f>IF($A48="","",SUMIFS($E$6:$E48,$B$6:$B48,$B48))</x:f>
      </x:c>
      <x:c r="I48" s="36"/>
    </x:row>
    <x:row r="49">
      <x:c r="A49" s="36"/>
      <x:c r="B49" s="36"/>
      <x:c r="C49" s="36"/>
      <x:c r="D49" s="37"/>
      <x:c r="E49" s="37"/>
      <x:c r="F49" s="63" t="str">
        <x:f>IF($A49="","",$E49-$D49)</x:f>
      </x:c>
      <x:c r="G49" s="65" t="str">
        <x:f>IF($A49="","",IFERROR($E49/$D49,0))</x:f>
      </x:c>
      <x:c r="H49" s="63" t="str">
        <x:f>IF($A49="","",SUMIFS($E$6:$E49,$B$6:$B49,$B49))</x:f>
      </x:c>
      <x:c r="I49" s="36"/>
    </x:row>
    <x:row r="50">
      <x:c r="A50" s="36"/>
      <x:c r="B50" s="36"/>
      <x:c r="C50" s="36"/>
      <x:c r="D50" s="37"/>
      <x:c r="E50" s="37"/>
      <x:c r="F50" s="63" t="str">
        <x:f>IF($A50="","",$E50-$D50)</x:f>
      </x:c>
      <x:c r="G50" s="65" t="str">
        <x:f>IF($A50="","",IFERROR($E50/$D50,0))</x:f>
      </x:c>
      <x:c r="H50" s="63" t="str">
        <x:f>IF($A50="","",SUMIFS($E$6:$E50,$B$6:$B50,$B50))</x:f>
      </x:c>
      <x:c r="I50" s="36"/>
    </x:row>
    <x:row r="51">
      <x:c r="A51" s="36"/>
      <x:c r="B51" s="36"/>
      <x:c r="C51" s="36"/>
      <x:c r="D51" s="37"/>
      <x:c r="E51" s="37"/>
      <x:c r="F51" s="63" t="str">
        <x:f>IF($A51="","",$E51-$D51)</x:f>
      </x:c>
      <x:c r="G51" s="65" t="str">
        <x:f>IF($A51="","",IFERROR($E51/$D51,0))</x:f>
      </x:c>
      <x:c r="H51" s="63" t="str">
        <x:f>IF($A51="","",SUMIFS($E$6:$E51,$B$6:$B51,$B51))</x:f>
      </x:c>
      <x:c r="I51" s="36"/>
    </x:row>
    <x:row r="52">
      <x:c r="A52" s="36"/>
      <x:c r="B52" s="36"/>
      <x:c r="C52" s="36"/>
      <x:c r="D52" s="37"/>
      <x:c r="E52" s="37"/>
      <x:c r="F52" s="63" t="str">
        <x:f>IF($A52="","",$E52-$D52)</x:f>
      </x:c>
      <x:c r="G52" s="65" t="str">
        <x:f>IF($A52="","",IFERROR($E52/$D52,0))</x:f>
      </x:c>
      <x:c r="H52" s="63" t="str">
        <x:f>IF($A52="","",SUMIFS($E$6:$E52,$B$6:$B52,$B52))</x:f>
      </x:c>
      <x:c r="I52" s="36"/>
    </x:row>
    <x:row r="53">
      <x:c r="A53" s="36"/>
      <x:c r="B53" s="36"/>
      <x:c r="C53" s="36"/>
      <x:c r="D53" s="37"/>
      <x:c r="E53" s="37"/>
      <x:c r="F53" s="63" t="str">
        <x:f>IF($A53="","",$E53-$D53)</x:f>
      </x:c>
      <x:c r="G53" s="65" t="str">
        <x:f>IF($A53="","",IFERROR($E53/$D53,0))</x:f>
      </x:c>
      <x:c r="H53" s="63" t="str">
        <x:f>IF($A53="","",SUMIFS($E$6:$E53,$B$6:$B53,$B53))</x:f>
      </x:c>
      <x:c r="I53" s="36"/>
    </x:row>
    <x:row r="54">
      <x:c r="A54" s="36"/>
      <x:c r="B54" s="36"/>
      <x:c r="C54" s="36"/>
      <x:c r="D54" s="37"/>
      <x:c r="E54" s="37"/>
      <x:c r="F54" s="63" t="str">
        <x:f>IF($A54="","",$E54-$D54)</x:f>
      </x:c>
      <x:c r="G54" s="65" t="str">
        <x:f>IF($A54="","",IFERROR($E54/$D54,0))</x:f>
      </x:c>
      <x:c r="H54" s="63" t="str">
        <x:f>IF($A54="","",SUMIFS($E$6:$E54,$B$6:$B54,$B54))</x:f>
      </x:c>
      <x:c r="I54" s="36"/>
    </x:row>
    <x:row r="55">
      <x:c r="A55" s="36"/>
      <x:c r="B55" s="36"/>
      <x:c r="C55" s="36"/>
      <x:c r="D55" s="37"/>
      <x:c r="E55" s="37"/>
      <x:c r="F55" s="63" t="str">
        <x:f>IF($A55="","",$E55-$D55)</x:f>
      </x:c>
      <x:c r="G55" s="65" t="str">
        <x:f>IF($A55="","",IFERROR($E55/$D55,0))</x:f>
      </x:c>
      <x:c r="H55" s="63" t="str">
        <x:f>IF($A55="","",SUMIFS($E$6:$E55,$B$6:$B55,$B55))</x:f>
      </x:c>
      <x:c r="I55" s="36"/>
    </x:row>
    <x:row r="56">
      <x:c r="A56" s="36"/>
      <x:c r="B56" s="36"/>
      <x:c r="C56" s="36"/>
      <x:c r="D56" s="37"/>
      <x:c r="E56" s="37"/>
      <x:c r="F56" s="63" t="str">
        <x:f>IF($A56="","",$E56-$D56)</x:f>
      </x:c>
      <x:c r="G56" s="65" t="str">
        <x:f>IF($A56="","",IFERROR($E56/$D56,0))</x:f>
      </x:c>
      <x:c r="H56" s="63" t="str">
        <x:f>IF($A56="","",SUMIFS($E$6:$E56,$B$6:$B56,$B56))</x:f>
      </x:c>
      <x:c r="I56" s="36"/>
    </x:row>
    <x:row r="57">
      <x:c r="A57" s="36"/>
      <x:c r="B57" s="36"/>
      <x:c r="C57" s="36"/>
      <x:c r="D57" s="37"/>
      <x:c r="E57" s="37"/>
      <x:c r="F57" s="63" t="str">
        <x:f>IF($A57="","",$E57-$D57)</x:f>
      </x:c>
      <x:c r="G57" s="65" t="str">
        <x:f>IF($A57="","",IFERROR($E57/$D57,0))</x:f>
      </x:c>
      <x:c r="H57" s="63" t="str">
        <x:f>IF($A57="","",SUMIFS($E$6:$E57,$B$6:$B57,$B57))</x:f>
      </x:c>
      <x:c r="I57" s="36"/>
    </x:row>
    <x:row r="58">
      <x:c r="A58" s="36"/>
      <x:c r="B58" s="36"/>
      <x:c r="C58" s="36"/>
      <x:c r="D58" s="37"/>
      <x:c r="E58" s="37"/>
      <x:c r="F58" s="63" t="str">
        <x:f>IF($A58="","",$E58-$D58)</x:f>
      </x:c>
      <x:c r="G58" s="65" t="str">
        <x:f>IF($A58="","",IFERROR($E58/$D58,0))</x:f>
      </x:c>
      <x:c r="H58" s="63" t="str">
        <x:f>IF($A58="","",SUMIFS($E$6:$E58,$B$6:$B58,$B58))</x:f>
      </x:c>
      <x:c r="I58" s="36"/>
    </x:row>
    <x:row r="59">
      <x:c r="A59" s="36"/>
      <x:c r="B59" s="36"/>
      <x:c r="C59" s="36"/>
      <x:c r="D59" s="37"/>
      <x:c r="E59" s="37"/>
      <x:c r="F59" s="63" t="str">
        <x:f>IF($A59="","",$E59-$D59)</x:f>
      </x:c>
      <x:c r="G59" s="65" t="str">
        <x:f>IF($A59="","",IFERROR($E59/$D59,0))</x:f>
      </x:c>
      <x:c r="H59" s="63" t="str">
        <x:f>IF($A59="","",SUMIFS($E$6:$E59,$B$6:$B59,$B59))</x:f>
      </x:c>
      <x:c r="I59" s="36"/>
    </x:row>
    <x:row r="60">
      <x:c r="A60" s="36"/>
      <x:c r="B60" s="36"/>
      <x:c r="C60" s="36"/>
      <x:c r="D60" s="37"/>
      <x:c r="E60" s="37"/>
      <x:c r="F60" s="63" t="str">
        <x:f>IF($A60="","",$E60-$D60)</x:f>
      </x:c>
      <x:c r="G60" s="65" t="str">
        <x:f>IF($A60="","",IFERROR($E60/$D60,0))</x:f>
      </x:c>
      <x:c r="H60" s="63" t="str">
        <x:f>IF($A60="","",SUMIFS($E$6:$E60,$B$6:$B60,$B60))</x:f>
      </x:c>
      <x:c r="I60" s="36"/>
    </x:row>
    <x:row r="61">
      <x:c r="A61" s="36"/>
      <x:c r="B61" s="36"/>
      <x:c r="C61" s="36"/>
      <x:c r="D61" s="37"/>
      <x:c r="E61" s="37"/>
      <x:c r="F61" s="63" t="str">
        <x:f>IF($A61="","",$E61-$D61)</x:f>
      </x:c>
      <x:c r="G61" s="65" t="str">
        <x:f>IF($A61="","",IFERROR($E61/$D61,0))</x:f>
      </x:c>
      <x:c r="H61" s="63" t="str">
        <x:f>IF($A61="","",SUMIFS($E$6:$E61,$B$6:$B61,$B61))</x:f>
      </x:c>
      <x:c r="I61" s="36"/>
    </x:row>
    <x:row r="62">
      <x:c r="A62" s="36"/>
      <x:c r="B62" s="36"/>
      <x:c r="C62" s="36"/>
      <x:c r="D62" s="37"/>
      <x:c r="E62" s="37"/>
      <x:c r="F62" s="63" t="str">
        <x:f>IF($A62="","",$E62-$D62)</x:f>
      </x:c>
      <x:c r="G62" s="65" t="str">
        <x:f>IF($A62="","",IFERROR($E62/$D62,0))</x:f>
      </x:c>
      <x:c r="H62" s="63" t="str">
        <x:f>IF($A62="","",SUMIFS($E$6:$E62,$B$6:$B62,$B62))</x:f>
      </x:c>
      <x:c r="I62" s="36"/>
    </x:row>
    <x:row r="63">
      <x:c r="A63" s="36"/>
      <x:c r="B63" s="36"/>
      <x:c r="C63" s="36"/>
      <x:c r="D63" s="37"/>
      <x:c r="E63" s="37"/>
      <x:c r="F63" s="63" t="str">
        <x:f>IF($A63="","",$E63-$D63)</x:f>
      </x:c>
      <x:c r="G63" s="65" t="str">
        <x:f>IF($A63="","",IFERROR($E63/$D63,0))</x:f>
      </x:c>
      <x:c r="H63" s="63" t="str">
        <x:f>IF($A63="","",SUMIFS($E$6:$E63,$B$6:$B63,$B63))</x:f>
      </x:c>
      <x:c r="I63" s="36"/>
    </x:row>
    <x:row r="64">
      <x:c r="A64" s="36"/>
      <x:c r="B64" s="36"/>
      <x:c r="C64" s="36"/>
      <x:c r="D64" s="37"/>
      <x:c r="E64" s="37"/>
      <x:c r="F64" s="63" t="str">
        <x:f>IF($A64="","",$E64-$D64)</x:f>
      </x:c>
      <x:c r="G64" s="65" t="str">
        <x:f>IF($A64="","",IFERROR($E64/$D64,0))</x:f>
      </x:c>
      <x:c r="H64" s="63" t="str">
        <x:f>IF($A64="","",SUMIFS($E$6:$E64,$B$6:$B64,$B64))</x:f>
      </x:c>
      <x:c r="I64" s="36"/>
    </x:row>
    <x:row r="65">
      <x:c r="A65" s="36"/>
      <x:c r="B65" s="36"/>
      <x:c r="C65" s="36"/>
      <x:c r="D65" s="37"/>
      <x:c r="E65" s="37"/>
      <x:c r="F65" s="63" t="str">
        <x:f>IF($A65="","",$E65-$D65)</x:f>
      </x:c>
      <x:c r="G65" s="65" t="str">
        <x:f>IF($A65="","",IFERROR($E65/$D65,0))</x:f>
      </x:c>
      <x:c r="H65" s="63" t="str">
        <x:f>IF($A65="","",SUMIFS($E$6:$E65,$B$6:$B65,$B65))</x:f>
      </x:c>
      <x:c r="I65" s="36"/>
    </x:row>
    <x:row r="66">
      <x:c r="A66" s="36"/>
      <x:c r="B66" s="36"/>
      <x:c r="C66" s="36"/>
      <x:c r="D66" s="37"/>
      <x:c r="E66" s="37"/>
      <x:c r="F66" s="63" t="str">
        <x:f>IF($A66="","",$E66-$D66)</x:f>
      </x:c>
      <x:c r="G66" s="65" t="str">
        <x:f>IF($A66="","",IFERROR($E66/$D66,0))</x:f>
      </x:c>
      <x:c r="H66" s="63" t="str">
        <x:f>IF($A66="","",SUMIFS($E$6:$E66,$B$6:$B66,$B66))</x:f>
      </x:c>
      <x:c r="I66" s="36"/>
    </x:row>
    <x:row r="67">
      <x:c r="A67" s="36"/>
      <x:c r="B67" s="36"/>
      <x:c r="C67" s="36"/>
      <x:c r="D67" s="37"/>
      <x:c r="E67" s="37"/>
      <x:c r="F67" s="63" t="str">
        <x:f>IF($A67="","",$E67-$D67)</x:f>
      </x:c>
      <x:c r="G67" s="65" t="str">
        <x:f>IF($A67="","",IFERROR($E67/$D67,0))</x:f>
      </x:c>
      <x:c r="H67" s="63" t="str">
        <x:f>IF($A67="","",SUMIFS($E$6:$E67,$B$6:$B67,$B67))</x:f>
      </x:c>
      <x:c r="I67" s="36"/>
    </x:row>
    <x:row r="68">
      <x:c r="A68" s="36"/>
      <x:c r="B68" s="36"/>
      <x:c r="C68" s="36"/>
      <x:c r="D68" s="37"/>
      <x:c r="E68" s="37"/>
      <x:c r="F68" s="63" t="str">
        <x:f>IF($A68="","",$E68-$D68)</x:f>
      </x:c>
      <x:c r="G68" s="65" t="str">
        <x:f>IF($A68="","",IFERROR($E68/$D68,0))</x:f>
      </x:c>
      <x:c r="H68" s="63" t="str">
        <x:f>IF($A68="","",SUMIFS($E$6:$E68,$B$6:$B68,$B68))</x:f>
      </x:c>
      <x:c r="I68" s="36"/>
    </x:row>
    <x:row r="69">
      <x:c r="A69" s="36"/>
      <x:c r="B69" s="36"/>
      <x:c r="C69" s="36"/>
      <x:c r="D69" s="37"/>
      <x:c r="E69" s="37"/>
      <x:c r="F69" s="63" t="str">
        <x:f>IF($A69="","",$E69-$D69)</x:f>
      </x:c>
      <x:c r="G69" s="65" t="str">
        <x:f>IF($A69="","",IFERROR($E69/$D69,0))</x:f>
      </x:c>
      <x:c r="H69" s="63" t="str">
        <x:f>IF($A69="","",SUMIFS($E$6:$E69,$B$6:$B69,$B69))</x:f>
      </x:c>
      <x:c r="I69" s="36"/>
    </x:row>
    <x:row r="70">
      <x:c r="A70" s="36"/>
      <x:c r="B70" s="36"/>
      <x:c r="C70" s="36"/>
      <x:c r="D70" s="37"/>
      <x:c r="E70" s="37"/>
      <x:c r="F70" s="63" t="str">
        <x:f>IF($A70="","",$E70-$D70)</x:f>
      </x:c>
      <x:c r="G70" s="65" t="str">
        <x:f>IF($A70="","",IFERROR($E70/$D70,0))</x:f>
      </x:c>
      <x:c r="H70" s="63" t="str">
        <x:f>IF($A70="","",SUMIFS($E$6:$E70,$B$6:$B70,$B70))</x:f>
      </x:c>
      <x:c r="I70" s="36"/>
    </x:row>
    <x:row r="71">
      <x:c r="A71" s="36"/>
      <x:c r="B71" s="36"/>
      <x:c r="C71" s="36"/>
      <x:c r="D71" s="37"/>
      <x:c r="E71" s="37"/>
      <x:c r="F71" s="63" t="str">
        <x:f>IF($A71="","",$E71-$D71)</x:f>
      </x:c>
      <x:c r="G71" s="65" t="str">
        <x:f>IF($A71="","",IFERROR($E71/$D71,0))</x:f>
      </x:c>
      <x:c r="H71" s="63" t="str">
        <x:f>IF($A71="","",SUMIFS($E$6:$E71,$B$6:$B71,$B71))</x:f>
      </x:c>
      <x:c r="I71" s="36"/>
    </x:row>
    <x:row r="72">
      <x:c r="A72" s="36"/>
      <x:c r="B72" s="36"/>
      <x:c r="C72" s="36"/>
      <x:c r="D72" s="37"/>
      <x:c r="E72" s="37"/>
      <x:c r="F72" s="63" t="str">
        <x:f>IF($A72="","",$E72-$D72)</x:f>
      </x:c>
      <x:c r="G72" s="65" t="str">
        <x:f>IF($A72="","",IFERROR($E72/$D72,0))</x:f>
      </x:c>
      <x:c r="H72" s="63" t="str">
        <x:f>IF($A72="","",SUMIFS($E$6:$E72,$B$6:$B72,$B72))</x:f>
      </x:c>
      <x:c r="I72" s="36"/>
    </x:row>
    <x:row r="73">
      <x:c r="A73" s="36"/>
      <x:c r="B73" s="36"/>
      <x:c r="C73" s="36"/>
      <x:c r="D73" s="37"/>
      <x:c r="E73" s="37"/>
      <x:c r="F73" s="63" t="str">
        <x:f>IF($A73="","",$E73-$D73)</x:f>
      </x:c>
      <x:c r="G73" s="65" t="str">
        <x:f>IF($A73="","",IFERROR($E73/$D73,0))</x:f>
      </x:c>
      <x:c r="H73" s="63" t="str">
        <x:f>IF($A73="","",SUMIFS($E$6:$E73,$B$6:$B73,$B73))</x:f>
      </x:c>
      <x:c r="I73" s="36"/>
    </x:row>
    <x:row r="74">
      <x:c r="A74" s="36"/>
      <x:c r="B74" s="36"/>
      <x:c r="C74" s="36"/>
      <x:c r="D74" s="37"/>
      <x:c r="E74" s="37"/>
      <x:c r="F74" s="63" t="str">
        <x:f>IF($A74="","",$E74-$D74)</x:f>
      </x:c>
      <x:c r="G74" s="65" t="str">
        <x:f>IF($A74="","",IFERROR($E74/$D74,0))</x:f>
      </x:c>
      <x:c r="H74" s="63" t="str">
        <x:f>IF($A74="","",SUMIFS($E$6:$E74,$B$6:$B74,$B74))</x:f>
      </x:c>
      <x:c r="I74" s="36"/>
    </x:row>
    <x:row r="75">
      <x:c r="A75" s="36"/>
      <x:c r="B75" s="36"/>
      <x:c r="C75" s="36"/>
      <x:c r="D75" s="37"/>
      <x:c r="E75" s="37"/>
      <x:c r="F75" s="63" t="str">
        <x:f>IF($A75="","",$E75-$D75)</x:f>
      </x:c>
      <x:c r="G75" s="65" t="str">
        <x:f>IF($A75="","",IFERROR($E75/$D75,0))</x:f>
      </x:c>
      <x:c r="H75" s="63" t="str">
        <x:f>IF($A75="","",SUMIFS($E$6:$E75,$B$6:$B75,$B75))</x:f>
      </x:c>
      <x:c r="I75" s="36"/>
    </x:row>
    <x:row r="76">
      <x:c r="A76" s="36"/>
      <x:c r="B76" s="36"/>
      <x:c r="C76" s="36"/>
      <x:c r="D76" s="37"/>
      <x:c r="E76" s="37"/>
      <x:c r="F76" s="63" t="str">
        <x:f>IF($A76="","",$E76-$D76)</x:f>
      </x:c>
      <x:c r="G76" s="65" t="str">
        <x:f>IF($A76="","",IFERROR($E76/$D76,0))</x:f>
      </x:c>
      <x:c r="H76" s="63" t="str">
        <x:f>IF($A76="","",SUMIFS($E$6:$E76,$B$6:$B76,$B76))</x:f>
      </x:c>
      <x:c r="I76" s="36"/>
    </x:row>
    <x:row r="77">
      <x:c r="A77" s="36"/>
      <x:c r="B77" s="36"/>
      <x:c r="C77" s="36"/>
      <x:c r="D77" s="37"/>
      <x:c r="E77" s="37"/>
      <x:c r="F77" s="63" t="str">
        <x:f>IF($A77="","",$E77-$D77)</x:f>
      </x:c>
      <x:c r="G77" s="65" t="str">
        <x:f>IF($A77="","",IFERROR($E77/$D77,0))</x:f>
      </x:c>
      <x:c r="H77" s="63" t="str">
        <x:f>IF($A77="","",SUMIFS($E$6:$E77,$B$6:$B77,$B77))</x:f>
      </x:c>
      <x:c r="I77" s="36"/>
    </x:row>
    <x:row r="78">
      <x:c r="A78" s="36"/>
      <x:c r="B78" s="36"/>
      <x:c r="C78" s="36"/>
      <x:c r="D78" s="37"/>
      <x:c r="E78" s="37"/>
      <x:c r="F78" s="63" t="str">
        <x:f>IF($A78="","",$E78-$D78)</x:f>
      </x:c>
      <x:c r="G78" s="65" t="str">
        <x:f>IF($A78="","",IFERROR($E78/$D78,0))</x:f>
      </x:c>
      <x:c r="H78" s="63" t="str">
        <x:f>IF($A78="","",SUMIFS($E$6:$E78,$B$6:$B78,$B78))</x:f>
      </x:c>
      <x:c r="I78" s="36"/>
    </x:row>
    <x:row r="79">
      <x:c r="A79" s="36"/>
      <x:c r="B79" s="36"/>
      <x:c r="C79" s="36"/>
      <x:c r="D79" s="37"/>
      <x:c r="E79" s="37"/>
      <x:c r="F79" s="63" t="str">
        <x:f>IF($A79="","",$E79-$D79)</x:f>
      </x:c>
      <x:c r="G79" s="65" t="str">
        <x:f>IF($A79="","",IFERROR($E79/$D79,0))</x:f>
      </x:c>
      <x:c r="H79" s="63" t="str">
        <x:f>IF($A79="","",SUMIFS($E$6:$E79,$B$6:$B79,$B79))</x:f>
      </x:c>
      <x:c r="I79" s="36"/>
    </x:row>
    <x:row r="80">
      <x:c r="A80" s="36"/>
      <x:c r="B80" s="36"/>
      <x:c r="C80" s="36"/>
      <x:c r="D80" s="37"/>
      <x:c r="E80" s="37"/>
      <x:c r="F80" s="63" t="str">
        <x:f>IF($A80="","",$E80-$D80)</x:f>
      </x:c>
      <x:c r="G80" s="65" t="str">
        <x:f>IF($A80="","",IFERROR($E80/$D80,0))</x:f>
      </x:c>
      <x:c r="H80" s="63" t="str">
        <x:f>IF($A80="","",SUMIFS($E$6:$E80,$B$6:$B80,$B80))</x:f>
      </x:c>
      <x:c r="I80" s="36"/>
    </x:row>
    <x:row r="81">
      <x:c r="A81" s="36"/>
      <x:c r="B81" s="36"/>
      <x:c r="C81" s="36"/>
      <x:c r="D81" s="37"/>
      <x:c r="E81" s="37"/>
      <x:c r="F81" s="63" t="str">
        <x:f>IF($A81="","",$E81-$D81)</x:f>
      </x:c>
      <x:c r="G81" s="65" t="str">
        <x:f>IF($A81="","",IFERROR($E81/$D81,0))</x:f>
      </x:c>
      <x:c r="H81" s="63" t="str">
        <x:f>IF($A81="","",SUMIFS($E$6:$E81,$B$6:$B81,$B81))</x:f>
      </x:c>
      <x:c r="I81" s="36"/>
    </x:row>
    <x:row r="82">
      <x:c r="A82" s="36"/>
      <x:c r="B82" s="36"/>
      <x:c r="C82" s="36"/>
      <x:c r="D82" s="37"/>
      <x:c r="E82" s="37"/>
      <x:c r="F82" s="63" t="str">
        <x:f>IF($A82="","",$E82-$D82)</x:f>
      </x:c>
      <x:c r="G82" s="65" t="str">
        <x:f>IF($A82="","",IFERROR($E82/$D82,0))</x:f>
      </x:c>
      <x:c r="H82" s="63" t="str">
        <x:f>IF($A82="","",SUMIFS($E$6:$E82,$B$6:$B82,$B82))</x:f>
      </x:c>
      <x:c r="I82" s="36"/>
    </x:row>
    <x:row r="83">
      <x:c r="A83" s="36"/>
      <x:c r="B83" s="36"/>
      <x:c r="C83" s="36"/>
      <x:c r="D83" s="37"/>
      <x:c r="E83" s="37"/>
      <x:c r="F83" s="63" t="str">
        <x:f>IF($A83="","",$E83-$D83)</x:f>
      </x:c>
      <x:c r="G83" s="65" t="str">
        <x:f>IF($A83="","",IFERROR($E83/$D83,0))</x:f>
      </x:c>
      <x:c r="H83" s="63" t="str">
        <x:f>IF($A83="","",SUMIFS($E$6:$E83,$B$6:$B83,$B83))</x:f>
      </x:c>
      <x:c r="I83" s="36"/>
    </x:row>
    <x:row r="84">
      <x:c r="A84" s="36"/>
      <x:c r="B84" s="36"/>
      <x:c r="C84" s="36"/>
      <x:c r="D84" s="37"/>
      <x:c r="E84" s="37"/>
      <x:c r="F84" s="63" t="str">
        <x:f>IF($A84="","",$E84-$D84)</x:f>
      </x:c>
      <x:c r="G84" s="65" t="str">
        <x:f>IF($A84="","",IFERROR($E84/$D84,0))</x:f>
      </x:c>
      <x:c r="H84" s="63" t="str">
        <x:f>IF($A84="","",SUMIFS($E$6:$E84,$B$6:$B84,$B84))</x:f>
      </x:c>
      <x:c r="I84" s="36"/>
    </x:row>
    <x:row r="85">
      <x:c r="A85" s="36"/>
      <x:c r="B85" s="36"/>
      <x:c r="C85" s="36"/>
      <x:c r="D85" s="37"/>
      <x:c r="E85" s="37"/>
      <x:c r="F85" s="63" t="str">
        <x:f>IF($A85="","",$E85-$D85)</x:f>
      </x:c>
      <x:c r="G85" s="65" t="str">
        <x:f>IF($A85="","",IFERROR($E85/$D85,0))</x:f>
      </x:c>
      <x:c r="H85" s="63" t="str">
        <x:f>IF($A85="","",SUMIFS($E$6:$E85,$B$6:$B85,$B85))</x:f>
      </x:c>
      <x:c r="I85" s="36"/>
    </x:row>
    <x:row r="86">
      <x:c r="A86" s="36"/>
      <x:c r="B86" s="36"/>
      <x:c r="C86" s="36"/>
      <x:c r="D86" s="37"/>
      <x:c r="E86" s="37"/>
      <x:c r="F86" s="63" t="str">
        <x:f>IF($A86="","",$E86-$D86)</x:f>
      </x:c>
      <x:c r="G86" s="65" t="str">
        <x:f>IF($A86="","",IFERROR($E86/$D86,0))</x:f>
      </x:c>
      <x:c r="H86" s="63" t="str">
        <x:f>IF($A86="","",SUMIFS($E$6:$E86,$B$6:$B86,$B86))</x:f>
      </x:c>
      <x:c r="I86" s="36"/>
    </x:row>
    <x:row r="87">
      <x:c r="A87" s="36"/>
      <x:c r="B87" s="36"/>
      <x:c r="C87" s="36"/>
      <x:c r="D87" s="37"/>
      <x:c r="E87" s="37"/>
      <x:c r="F87" s="63" t="str">
        <x:f>IF($A87="","",$E87-$D87)</x:f>
      </x:c>
      <x:c r="G87" s="65" t="str">
        <x:f>IF($A87="","",IFERROR($E87/$D87,0))</x:f>
      </x:c>
      <x:c r="H87" s="63" t="str">
        <x:f>IF($A87="","",SUMIFS($E$6:$E87,$B$6:$B87,$B87))</x:f>
      </x:c>
      <x:c r="I87" s="36"/>
    </x:row>
    <x:row r="88">
      <x:c r="A88" s="36"/>
      <x:c r="B88" s="36"/>
      <x:c r="C88" s="36"/>
      <x:c r="D88" s="37"/>
      <x:c r="E88" s="37"/>
      <x:c r="F88" s="63" t="str">
        <x:f>IF($A88="","",$E88-$D88)</x:f>
      </x:c>
      <x:c r="G88" s="65" t="str">
        <x:f>IF($A88="","",IFERROR($E88/$D88,0))</x:f>
      </x:c>
      <x:c r="H88" s="63" t="str">
        <x:f>IF($A88="","",SUMIFS($E$6:$E88,$B$6:$B88,$B88))</x:f>
      </x:c>
      <x:c r="I88" s="36"/>
    </x:row>
    <x:row r="89">
      <x:c r="A89" s="36"/>
      <x:c r="B89" s="36"/>
      <x:c r="C89" s="36"/>
      <x:c r="D89" s="37"/>
      <x:c r="E89" s="37"/>
      <x:c r="F89" s="63" t="str">
        <x:f>IF($A89="","",$E89-$D89)</x:f>
      </x:c>
      <x:c r="G89" s="65" t="str">
        <x:f>IF($A89="","",IFERROR($E89/$D89,0))</x:f>
      </x:c>
      <x:c r="H89" s="63" t="str">
        <x:f>IF($A89="","",SUMIFS($E$6:$E89,$B$6:$B89,$B89))</x:f>
      </x:c>
      <x:c r="I89" s="36"/>
    </x:row>
    <x:row r="90">
      <x:c r="A90" s="36"/>
      <x:c r="B90" s="36"/>
      <x:c r="C90" s="36"/>
      <x:c r="D90" s="37"/>
      <x:c r="E90" s="37"/>
      <x:c r="F90" s="63" t="str">
        <x:f>IF($A90="","",$E90-$D90)</x:f>
      </x:c>
      <x:c r="G90" s="65" t="str">
        <x:f>IF($A90="","",IFERROR($E90/$D90,0))</x:f>
      </x:c>
      <x:c r="H90" s="63" t="str">
        <x:f>IF($A90="","",SUMIFS($E$6:$E90,$B$6:$B90,$B90))</x:f>
      </x:c>
      <x:c r="I90" s="36"/>
    </x:row>
    <x:row r="91">
      <x:c r="A91" s="36"/>
      <x:c r="B91" s="36"/>
      <x:c r="C91" s="36"/>
      <x:c r="D91" s="37"/>
      <x:c r="E91" s="37"/>
      <x:c r="F91" s="63" t="str">
        <x:f>IF($A91="","",$E91-$D91)</x:f>
      </x:c>
      <x:c r="G91" s="65" t="str">
        <x:f>IF($A91="","",IFERROR($E91/$D91,0))</x:f>
      </x:c>
      <x:c r="H91" s="63" t="str">
        <x:f>IF($A91="","",SUMIFS($E$6:$E91,$B$6:$B91,$B91))</x:f>
      </x:c>
      <x:c r="I91" s="36"/>
    </x:row>
    <x:row r="92">
      <x:c r="A92" s="36"/>
      <x:c r="B92" s="36"/>
      <x:c r="C92" s="36"/>
      <x:c r="D92" s="37"/>
      <x:c r="E92" s="37"/>
      <x:c r="F92" s="63" t="str">
        <x:f>IF($A92="","",$E92-$D92)</x:f>
      </x:c>
      <x:c r="G92" s="65" t="str">
        <x:f>IF($A92="","",IFERROR($E92/$D92,0))</x:f>
      </x:c>
      <x:c r="H92" s="63" t="str">
        <x:f>IF($A92="","",SUMIFS($E$6:$E92,$B$6:$B92,$B92))</x:f>
      </x:c>
      <x:c r="I92" s="36"/>
    </x:row>
    <x:row r="93">
      <x:c r="A93" s="36"/>
      <x:c r="B93" s="36"/>
      <x:c r="C93" s="36"/>
      <x:c r="D93" s="37"/>
      <x:c r="E93" s="37"/>
      <x:c r="F93" s="63" t="str">
        <x:f>IF($A93="","",$E93-$D93)</x:f>
      </x:c>
      <x:c r="G93" s="65" t="str">
        <x:f>IF($A93="","",IFERROR($E93/$D93,0))</x:f>
      </x:c>
      <x:c r="H93" s="63" t="str">
        <x:f>IF($A93="","",SUMIFS($E$6:$E93,$B$6:$B93,$B93))</x:f>
      </x:c>
      <x:c r="I93" s="36"/>
    </x:row>
    <x:row r="94">
      <x:c r="A94" s="36"/>
      <x:c r="B94" s="36"/>
      <x:c r="C94" s="36"/>
      <x:c r="D94" s="37"/>
      <x:c r="E94" s="37"/>
      <x:c r="F94" s="63" t="str">
        <x:f>IF($A94="","",$E94-$D94)</x:f>
      </x:c>
      <x:c r="G94" s="65" t="str">
        <x:f>IF($A94="","",IFERROR($E94/$D94,0))</x:f>
      </x:c>
      <x:c r="H94" s="63" t="str">
        <x:f>IF($A94="","",SUMIFS($E$6:$E94,$B$6:$B94,$B94))</x:f>
      </x:c>
      <x:c r="I94" s="36"/>
    </x:row>
    <x:row r="95">
      <x:c r="A95" s="36"/>
      <x:c r="B95" s="36"/>
      <x:c r="C95" s="36"/>
      <x:c r="D95" s="37"/>
      <x:c r="E95" s="37"/>
      <x:c r="F95" s="63" t="str">
        <x:f>IF($A95="","",$E95-$D95)</x:f>
      </x:c>
      <x:c r="G95" s="65" t="str">
        <x:f>IF($A95="","",IFERROR($E95/$D95,0))</x:f>
      </x:c>
      <x:c r="H95" s="63" t="str">
        <x:f>IF($A95="","",SUMIFS($E$6:$E95,$B$6:$B95,$B95))</x:f>
      </x:c>
      <x:c r="I95" s="36"/>
    </x:row>
    <x:row r="96">
      <x:c r="A96" s="36"/>
      <x:c r="B96" s="36"/>
      <x:c r="C96" s="36"/>
      <x:c r="D96" s="37"/>
      <x:c r="E96" s="37"/>
      <x:c r="F96" s="63" t="str">
        <x:f>IF($A96="","",$E96-$D96)</x:f>
      </x:c>
      <x:c r="G96" s="65" t="str">
        <x:f>IF($A96="","",IFERROR($E96/$D96,0))</x:f>
      </x:c>
      <x:c r="H96" s="63" t="str">
        <x:f>IF($A96="","",SUMIFS($E$6:$E96,$B$6:$B96,$B96))</x:f>
      </x:c>
      <x:c r="I96" s="36"/>
    </x:row>
    <x:row r="97">
      <x:c r="A97" s="36"/>
      <x:c r="B97" s="36"/>
      <x:c r="C97" s="36"/>
      <x:c r="D97" s="37"/>
      <x:c r="E97" s="37"/>
      <x:c r="F97" s="63" t="str">
        <x:f>IF($A97="","",$E97-$D97)</x:f>
      </x:c>
      <x:c r="G97" s="65" t="str">
        <x:f>IF($A97="","",IFERROR($E97/$D97,0))</x:f>
      </x:c>
      <x:c r="H97" s="63" t="str">
        <x:f>IF($A97="","",SUMIFS($E$6:$E97,$B$6:$B97,$B97))</x:f>
      </x:c>
      <x:c r="I97" s="36"/>
    </x:row>
    <x:row r="98">
      <x:c r="A98" s="36"/>
      <x:c r="B98" s="36"/>
      <x:c r="C98" s="36"/>
      <x:c r="D98" s="37"/>
      <x:c r="E98" s="37"/>
      <x:c r="F98" s="63" t="str">
        <x:f>IF($A98="","",$E98-$D98)</x:f>
      </x:c>
      <x:c r="G98" s="65" t="str">
        <x:f>IF($A98="","",IFERROR($E98/$D98,0))</x:f>
      </x:c>
      <x:c r="H98" s="63" t="str">
        <x:f>IF($A98="","",SUMIFS($E$6:$E98,$B$6:$B98,$B98))</x:f>
      </x:c>
      <x:c r="I98" s="36"/>
    </x:row>
    <x:row r="99">
      <x:c r="A99" s="36"/>
      <x:c r="B99" s="36"/>
      <x:c r="C99" s="36"/>
      <x:c r="D99" s="37"/>
      <x:c r="E99" s="37"/>
      <x:c r="F99" s="63" t="str">
        <x:f>IF($A99="","",$E99-$D99)</x:f>
      </x:c>
      <x:c r="G99" s="65" t="str">
        <x:f>IF($A99="","",IFERROR($E99/$D99,0))</x:f>
      </x:c>
      <x:c r="H99" s="63" t="str">
        <x:f>IF($A99="","",SUMIFS($E$6:$E99,$B$6:$B99,$B99))</x:f>
      </x:c>
      <x:c r="I99" s="36"/>
    </x:row>
    <x:row r="100">
      <x:c r="A100" s="36"/>
      <x:c r="B100" s="36"/>
      <x:c r="C100" s="36"/>
      <x:c r="D100" s="37"/>
      <x:c r="E100" s="37"/>
      <x:c r="F100" s="63" t="str">
        <x:f>IF($A100="","",$E100-$D100)</x:f>
      </x:c>
      <x:c r="G100" s="65" t="str">
        <x:f>IF($A100="","",IFERROR($E100/$D100,0))</x:f>
      </x:c>
      <x:c r="H100" s="63" t="str">
        <x:f>IF($A100="","",SUMIFS($E$6:$E100,$B$6:$B100,$B100))</x:f>
      </x:c>
      <x:c r="I100" s="36"/>
    </x:row>
    <x:row r="101">
      <x:c r="A101" s="36"/>
      <x:c r="B101" s="36"/>
      <x:c r="C101" s="36"/>
      <x:c r="D101" s="37"/>
      <x:c r="E101" s="37"/>
      <x:c r="F101" s="63" t="str">
        <x:f>IF($A101="","",$E101-$D101)</x:f>
      </x:c>
      <x:c r="G101" s="65" t="str">
        <x:f>IF($A101="","",IFERROR($E101/$D101,0))</x:f>
      </x:c>
      <x:c r="H101" s="63" t="str">
        <x:f>IF($A101="","",SUMIFS($E$6:$E101,$B$6:$B101,$B101))</x:f>
      </x:c>
      <x:c r="I101" s="36"/>
    </x:row>
    <x:row r="102">
      <x:c r="A102" s="36"/>
      <x:c r="B102" s="36"/>
      <x:c r="C102" s="36"/>
      <x:c r="D102" s="37"/>
      <x:c r="E102" s="37"/>
      <x:c r="F102" s="63" t="str">
        <x:f>IF($A102="","",$E102-$D102)</x:f>
      </x:c>
      <x:c r="G102" s="65" t="str">
        <x:f>IF($A102="","",IFERROR($E102/$D102,0))</x:f>
      </x:c>
      <x:c r="H102" s="63" t="str">
        <x:f>IF($A102="","",SUMIFS($E$6:$E102,$B$6:$B102,$B102))</x:f>
      </x:c>
      <x:c r="I102" s="36"/>
    </x:row>
    <x:row r="103">
      <x:c r="A103" s="36"/>
      <x:c r="B103" s="36"/>
      <x:c r="C103" s="36"/>
      <x:c r="D103" s="37"/>
      <x:c r="E103" s="37"/>
      <x:c r="F103" s="63" t="str">
        <x:f>IF($A103="","",$E103-$D103)</x:f>
      </x:c>
      <x:c r="G103" s="65" t="str">
        <x:f>IF($A103="","",IFERROR($E103/$D103,0))</x:f>
      </x:c>
      <x:c r="H103" s="63" t="str">
        <x:f>IF($A103="","",SUMIFS($E$6:$E103,$B$6:$B103,$B103))</x:f>
      </x:c>
      <x:c r="I103" s="36"/>
    </x:row>
    <x:row r="104">
      <x:c r="A104" s="36"/>
      <x:c r="B104" s="36"/>
      <x:c r="C104" s="36"/>
      <x:c r="D104" s="37"/>
      <x:c r="E104" s="37"/>
      <x:c r="F104" s="63" t="str">
        <x:f>IF($A104="","",$E104-$D104)</x:f>
      </x:c>
      <x:c r="G104" s="65" t="str">
        <x:f>IF($A104="","",IFERROR($E104/$D104,0))</x:f>
      </x:c>
      <x:c r="H104" s="63" t="str">
        <x:f>IF($A104="","",SUMIFS($E$6:$E104,$B$6:$B104,$B104))</x:f>
      </x:c>
      <x:c r="I104" s="36"/>
    </x:row>
    <x:row r="105">
      <x:c r="A105" s="36"/>
      <x:c r="B105" s="36"/>
      <x:c r="C105" s="36"/>
      <x:c r="D105" s="37"/>
      <x:c r="E105" s="37"/>
      <x:c r="F105" s="63" t="str">
        <x:f>IF($A105="","",$E105-$D105)</x:f>
      </x:c>
      <x:c r="G105" s="65" t="str">
        <x:f>IF($A105="","",IFERROR($E105/$D105,0))</x:f>
      </x:c>
      <x:c r="H105" s="63" t="str">
        <x:f>IF($A105="","",SUMIFS($E$6:$E105,$B$6:$B105,$B105))</x:f>
      </x:c>
      <x:c r="I105" s="36"/>
    </x:row>
    <x:row r="106">
      <x:c r="A106" s="36"/>
      <x:c r="B106" s="36"/>
      <x:c r="C106" s="36"/>
      <x:c r="D106" s="37"/>
      <x:c r="E106" s="37"/>
      <x:c r="F106" s="63" t="str">
        <x:f>IF($A106="","",$E106-$D106)</x:f>
      </x:c>
      <x:c r="G106" s="65" t="str">
        <x:f>IF($A106="","",IFERROR($E106/$D106,0))</x:f>
      </x:c>
      <x:c r="H106" s="63" t="str">
        <x:f>IF($A106="","",SUMIFS($E$6:$E106,$B$6:$B106,$B106))</x:f>
      </x:c>
      <x:c r="I106" s="36"/>
    </x:row>
    <x:row r="107">
      <x:c r="A107" s="36"/>
      <x:c r="B107" s="36"/>
      <x:c r="C107" s="36"/>
      <x:c r="D107" s="37"/>
      <x:c r="E107" s="37"/>
      <x:c r="F107" s="63" t="str">
        <x:f>IF($A107="","",$E107-$D107)</x:f>
      </x:c>
      <x:c r="G107" s="65" t="str">
        <x:f>IF($A107="","",IFERROR($E107/$D107,0))</x:f>
      </x:c>
      <x:c r="H107" s="63" t="str">
        <x:f>IF($A107="","",SUMIFS($E$6:$E107,$B$6:$B107,$B107))</x:f>
      </x:c>
      <x:c r="I107" s="36"/>
    </x:row>
    <x:row r="108">
      <x:c r="A108" s="36"/>
      <x:c r="B108" s="36"/>
      <x:c r="C108" s="36"/>
      <x:c r="D108" s="37"/>
      <x:c r="E108" s="37"/>
      <x:c r="F108" s="63" t="str">
        <x:f>IF($A108="","",$E108-$D108)</x:f>
      </x:c>
      <x:c r="G108" s="65" t="str">
        <x:f>IF($A108="","",IFERROR($E108/$D108,0))</x:f>
      </x:c>
      <x:c r="H108" s="63" t="str">
        <x:f>IF($A108="","",SUMIFS($E$6:$E108,$B$6:$B108,$B108))</x:f>
      </x:c>
      <x:c r="I108" s="36"/>
    </x:row>
    <x:row r="109">
      <x:c r="A109" s="36"/>
      <x:c r="B109" s="36"/>
      <x:c r="C109" s="36"/>
      <x:c r="D109" s="37"/>
      <x:c r="E109" s="37"/>
      <x:c r="F109" s="63" t="str">
        <x:f>IF($A109="","",$E109-$D109)</x:f>
      </x:c>
      <x:c r="G109" s="65" t="str">
        <x:f>IF($A109="","",IFERROR($E109/$D109,0))</x:f>
      </x:c>
      <x:c r="H109" s="63" t="str">
        <x:f>IF($A109="","",SUMIFS($E$6:$E109,$B$6:$B109,$B109))</x:f>
      </x:c>
      <x:c r="I109" s="36"/>
    </x:row>
    <x:row r="110">
      <x:c r="A110" s="36"/>
      <x:c r="B110" s="36"/>
      <x:c r="C110" s="36"/>
      <x:c r="D110" s="37"/>
      <x:c r="E110" s="37"/>
      <x:c r="F110" s="63" t="str">
        <x:f>IF($A110="","",$E110-$D110)</x:f>
      </x:c>
      <x:c r="G110" s="65" t="str">
        <x:f>IF($A110="","",IFERROR($E110/$D110,0))</x:f>
      </x:c>
      <x:c r="H110" s="63" t="str">
        <x:f>IF($A110="","",SUMIFS($E$6:$E110,$B$6:$B110,$B110))</x:f>
      </x:c>
      <x:c r="I110" s="36"/>
    </x:row>
    <x:row r="111">
      <x:c r="A111" s="36"/>
      <x:c r="B111" s="36"/>
      <x:c r="C111" s="36"/>
      <x:c r="D111" s="37"/>
      <x:c r="E111" s="37"/>
      <x:c r="F111" s="63" t="str">
        <x:f>IF($A111="","",$E111-$D111)</x:f>
      </x:c>
      <x:c r="G111" s="65" t="str">
        <x:f>IF($A111="","",IFERROR($E111/$D111,0))</x:f>
      </x:c>
      <x:c r="H111" s="63" t="str">
        <x:f>IF($A111="","",SUMIFS($E$6:$E111,$B$6:$B111,$B111))</x:f>
      </x:c>
      <x:c r="I111" s="36"/>
    </x:row>
    <x:row r="112">
      <x:c r="A112" s="36"/>
      <x:c r="B112" s="36"/>
      <x:c r="C112" s="36"/>
      <x:c r="D112" s="37"/>
      <x:c r="E112" s="37"/>
      <x:c r="F112" s="63" t="str">
        <x:f>IF($A112="","",$E112-$D112)</x:f>
      </x:c>
      <x:c r="G112" s="65" t="str">
        <x:f>IF($A112="","",IFERROR($E112/$D112,0))</x:f>
      </x:c>
      <x:c r="H112" s="63" t="str">
        <x:f>IF($A112="","",SUMIFS($E$6:$E112,$B$6:$B112,$B112))</x:f>
      </x:c>
      <x:c r="I112" s="36"/>
    </x:row>
    <x:row r="113">
      <x:c r="A113" s="36"/>
      <x:c r="B113" s="36"/>
      <x:c r="C113" s="36"/>
      <x:c r="D113" s="37"/>
      <x:c r="E113" s="37"/>
      <x:c r="F113" s="63" t="str">
        <x:f>IF($A113="","",$E113-$D113)</x:f>
      </x:c>
      <x:c r="G113" s="65" t="str">
        <x:f>IF($A113="","",IFERROR($E113/$D113,0))</x:f>
      </x:c>
      <x:c r="H113" s="63" t="str">
        <x:f>IF($A113="","",SUMIFS($E$6:$E113,$B$6:$B113,$B113))</x:f>
      </x:c>
      <x:c r="I113" s="36"/>
    </x:row>
    <x:row r="114">
      <x:c r="A114" s="36"/>
      <x:c r="B114" s="36"/>
      <x:c r="C114" s="36"/>
      <x:c r="D114" s="37"/>
      <x:c r="E114" s="37"/>
      <x:c r="F114" s="63" t="str">
        <x:f>IF($A114="","",$E114-$D114)</x:f>
      </x:c>
      <x:c r="G114" s="65" t="str">
        <x:f>IF($A114="","",IFERROR($E114/$D114,0))</x:f>
      </x:c>
      <x:c r="H114" s="63" t="str">
        <x:f>IF($A114="","",SUMIFS($E$6:$E114,$B$6:$B114,$B114))</x:f>
      </x:c>
      <x:c r="I114" s="36"/>
    </x:row>
    <x:row r="115">
      <x:c r="A115" s="36"/>
      <x:c r="B115" s="36"/>
      <x:c r="C115" s="36"/>
      <x:c r="D115" s="37"/>
      <x:c r="E115" s="37"/>
      <x:c r="F115" s="63" t="str">
        <x:f>IF($A115="","",$E115-$D115)</x:f>
      </x:c>
      <x:c r="G115" s="65" t="str">
        <x:f>IF($A115="","",IFERROR($E115/$D115,0))</x:f>
      </x:c>
      <x:c r="H115" s="63" t="str">
        <x:f>IF($A115="","",SUMIFS($E$6:$E115,$B$6:$B115,$B115))</x:f>
      </x:c>
      <x:c r="I115" s="36"/>
    </x:row>
    <x:row r="116">
      <x:c r="A116" s="36"/>
      <x:c r="B116" s="36"/>
      <x:c r="C116" s="36"/>
      <x:c r="D116" s="37"/>
      <x:c r="E116" s="37"/>
      <x:c r="F116" s="63" t="str">
        <x:f>IF($A116="","",$E116-$D116)</x:f>
      </x:c>
      <x:c r="G116" s="65" t="str">
        <x:f>IF($A116="","",IFERROR($E116/$D116,0))</x:f>
      </x:c>
      <x:c r="H116" s="63" t="str">
        <x:f>IF($A116="","",SUMIFS($E$6:$E116,$B$6:$B116,$B116))</x:f>
      </x:c>
      <x:c r="I116" s="36"/>
    </x:row>
    <x:row r="117">
      <x:c r="A117" s="36"/>
      <x:c r="B117" s="36"/>
      <x:c r="C117" s="36"/>
      <x:c r="D117" s="37"/>
      <x:c r="E117" s="37"/>
      <x:c r="F117" s="63" t="str">
        <x:f>IF($A117="","",$E117-$D117)</x:f>
      </x:c>
      <x:c r="G117" s="65" t="str">
        <x:f>IF($A117="","",IFERROR($E117/$D117,0))</x:f>
      </x:c>
      <x:c r="H117" s="63" t="str">
        <x:f>IF($A117="","",SUMIFS($E$6:$E117,$B$6:$B117,$B117))</x:f>
      </x:c>
      <x:c r="I117" s="36"/>
    </x:row>
    <x:row r="118">
      <x:c r="A118" s="36"/>
      <x:c r="B118" s="36"/>
      <x:c r="C118" s="36"/>
      <x:c r="D118" s="37"/>
      <x:c r="E118" s="37"/>
      <x:c r="F118" s="63" t="str">
        <x:f>IF($A118="","",$E118-$D118)</x:f>
      </x:c>
      <x:c r="G118" s="65" t="str">
        <x:f>IF($A118="","",IFERROR($E118/$D118,0))</x:f>
      </x:c>
      <x:c r="H118" s="63" t="str">
        <x:f>IF($A118="","",SUMIFS($E$6:$E118,$B$6:$B118,$B118))</x:f>
      </x:c>
      <x:c r="I118" s="36"/>
    </x:row>
    <x:row r="119">
      <x:c r="A119" s="36"/>
      <x:c r="B119" s="36"/>
      <x:c r="C119" s="36"/>
      <x:c r="D119" s="37"/>
      <x:c r="E119" s="37"/>
      <x:c r="F119" s="63" t="str">
        <x:f>IF($A119="","",$E119-$D119)</x:f>
      </x:c>
      <x:c r="G119" s="65" t="str">
        <x:f>IF($A119="","",IFERROR($E119/$D119,0))</x:f>
      </x:c>
      <x:c r="H119" s="63" t="str">
        <x:f>IF($A119="","",SUMIFS($E$6:$E119,$B$6:$B119,$B119))</x:f>
      </x:c>
      <x:c r="I119" s="36"/>
    </x:row>
    <x:row r="120">
      <x:c r="A120" s="36"/>
      <x:c r="B120" s="36"/>
      <x:c r="C120" s="36"/>
      <x:c r="D120" s="37"/>
      <x:c r="E120" s="37"/>
      <x:c r="F120" s="63" t="str">
        <x:f>IF($A120="","",$E120-$D120)</x:f>
      </x:c>
      <x:c r="G120" s="65" t="str">
        <x:f>IF($A120="","",IFERROR($E120/$D120,0))</x:f>
      </x:c>
      <x:c r="H120" s="63" t="str">
        <x:f>IF($A120="","",SUMIFS($E$6:$E120,$B$6:$B120,$B120))</x:f>
      </x:c>
      <x:c r="I120" s="36"/>
    </x:row>
    <x:row r="121">
      <x:c r="A121" s="36"/>
      <x:c r="B121" s="36"/>
      <x:c r="C121" s="36"/>
      <x:c r="D121" s="37"/>
      <x:c r="E121" s="37"/>
      <x:c r="F121" s="63" t="str">
        <x:f>IF($A121="","",$E121-$D121)</x:f>
      </x:c>
      <x:c r="G121" s="65" t="str">
        <x:f>IF($A121="","",IFERROR($E121/$D121,0))</x:f>
      </x:c>
      <x:c r="H121" s="63" t="str">
        <x:f>IF($A121="","",SUMIFS($E$6:$E121,$B$6:$B121,$B121))</x:f>
      </x:c>
      <x:c r="I121" s="36"/>
    </x:row>
    <x:row r="122">
      <x:c r="A122" s="36"/>
      <x:c r="B122" s="36"/>
      <x:c r="C122" s="36"/>
      <x:c r="D122" s="37"/>
      <x:c r="E122" s="37"/>
      <x:c r="F122" s="63" t="str">
        <x:f>IF($A122="","",$E122-$D122)</x:f>
      </x:c>
      <x:c r="G122" s="65" t="str">
        <x:f>IF($A122="","",IFERROR($E122/$D122,0))</x:f>
      </x:c>
      <x:c r="H122" s="63" t="str">
        <x:f>IF($A122="","",SUMIFS($E$6:$E122,$B$6:$B122,$B122))</x:f>
      </x:c>
      <x:c r="I122" s="36"/>
    </x:row>
    <x:row r="123">
      <x:c r="A123" s="36"/>
      <x:c r="B123" s="36"/>
      <x:c r="C123" s="36"/>
      <x:c r="D123" s="37"/>
      <x:c r="E123" s="37"/>
      <x:c r="F123" s="63" t="str">
        <x:f>IF($A123="","",$E123-$D123)</x:f>
      </x:c>
      <x:c r="G123" s="65" t="str">
        <x:f>IF($A123="","",IFERROR($E123/$D123,0))</x:f>
      </x:c>
      <x:c r="H123" s="63" t="str">
        <x:f>IF($A123="","",SUMIFS($E$6:$E123,$B$6:$B123,$B123))</x:f>
      </x:c>
      <x:c r="I123" s="36"/>
    </x:row>
    <x:row r="124">
      <x:c r="A124" s="36"/>
      <x:c r="B124" s="36"/>
      <x:c r="C124" s="36"/>
      <x:c r="D124" s="37"/>
      <x:c r="E124" s="37"/>
      <x:c r="F124" s="63" t="str">
        <x:f>IF($A124="","",$E124-$D124)</x:f>
      </x:c>
      <x:c r="G124" s="65" t="str">
        <x:f>IF($A124="","",IFERROR($E124/$D124,0))</x:f>
      </x:c>
      <x:c r="H124" s="63" t="str">
        <x:f>IF($A124="","",SUMIFS($E$6:$E124,$B$6:$B124,$B124))</x:f>
      </x:c>
      <x:c r="I124" s="36"/>
    </x:row>
    <x:row r="125">
      <x:c r="A125" s="36"/>
      <x:c r="B125" s="36"/>
      <x:c r="C125" s="36"/>
      <x:c r="D125" s="37"/>
      <x:c r="E125" s="37"/>
      <x:c r="F125" s="63" t="str">
        <x:f>IF($A125="","",$E125-$D125)</x:f>
      </x:c>
      <x:c r="G125" s="65" t="str">
        <x:f>IF($A125="","",IFERROR($E125/$D125,0))</x:f>
      </x:c>
      <x:c r="H125" s="63" t="str">
        <x:f>IF($A125="","",SUMIFS($E$6:$E125,$B$6:$B125,$B125))</x:f>
      </x:c>
      <x:c r="I125" s="36"/>
    </x:row>
    <x:row r="126">
      <x:c r="A126" s="36"/>
      <x:c r="B126" s="36"/>
      <x:c r="C126" s="36"/>
      <x:c r="D126" s="37"/>
      <x:c r="E126" s="37"/>
      <x:c r="F126" s="63" t="str">
        <x:f>IF($A126="","",$E126-$D126)</x:f>
      </x:c>
      <x:c r="G126" s="65" t="str">
        <x:f>IF($A126="","",IFERROR($E126/$D126,0))</x:f>
      </x:c>
      <x:c r="H126" s="63" t="str">
        <x:f>IF($A126="","",SUMIFS($E$6:$E126,$B$6:$B126,$B126))</x:f>
      </x:c>
      <x:c r="I126" s="36"/>
    </x:row>
    <x:row r="127">
      <x:c r="A127" s="36"/>
      <x:c r="B127" s="36"/>
      <x:c r="C127" s="36"/>
      <x:c r="D127" s="37"/>
      <x:c r="E127" s="37"/>
      <x:c r="F127" s="63" t="str">
        <x:f>IF($A127="","",$E127-$D127)</x:f>
      </x:c>
      <x:c r="G127" s="65" t="str">
        <x:f>IF($A127="","",IFERROR($E127/$D127,0))</x:f>
      </x:c>
      <x:c r="H127" s="63" t="str">
        <x:f>IF($A127="","",SUMIFS($E$6:$E127,$B$6:$B127,$B127))</x:f>
      </x:c>
      <x:c r="I127" s="36"/>
    </x:row>
    <x:row r="128">
      <x:c r="A128" s="36"/>
      <x:c r="B128" s="36"/>
      <x:c r="C128" s="36"/>
      <x:c r="D128" s="37"/>
      <x:c r="E128" s="37"/>
      <x:c r="F128" s="63" t="str">
        <x:f>IF($A128="","",$E128-$D128)</x:f>
      </x:c>
      <x:c r="G128" s="65" t="str">
        <x:f>IF($A128="","",IFERROR($E128/$D128,0))</x:f>
      </x:c>
      <x:c r="H128" s="63" t="str">
        <x:f>IF($A128="","",SUMIFS($E$6:$E128,$B$6:$B128,$B128))</x:f>
      </x:c>
      <x:c r="I128" s="36"/>
    </x:row>
    <x:row r="129">
      <x:c r="A129" s="36"/>
      <x:c r="B129" s="36"/>
      <x:c r="C129" s="36"/>
      <x:c r="D129" s="37"/>
      <x:c r="E129" s="37"/>
      <x:c r="F129" s="63" t="str">
        <x:f>IF($A129="","",$E129-$D129)</x:f>
      </x:c>
      <x:c r="G129" s="65" t="str">
        <x:f>IF($A129="","",IFERROR($E129/$D129,0))</x:f>
      </x:c>
      <x:c r="H129" s="63" t="str">
        <x:f>IF($A129="","",SUMIFS($E$6:$E129,$B$6:$B129,$B129))</x:f>
      </x:c>
      <x:c r="I129" s="36"/>
    </x:row>
    <x:row r="130">
      <x:c r="A130" s="36"/>
      <x:c r="B130" s="36"/>
      <x:c r="C130" s="36"/>
      <x:c r="D130" s="37"/>
      <x:c r="E130" s="37"/>
      <x:c r="F130" s="63" t="str">
        <x:f>IF($A130="","",$E130-$D130)</x:f>
      </x:c>
      <x:c r="G130" s="65" t="str">
        <x:f>IF($A130="","",IFERROR($E130/$D130,0))</x:f>
      </x:c>
      <x:c r="H130" s="63" t="str">
        <x:f>IF($A130="","",SUMIFS($E$6:$E130,$B$6:$B130,$B130))</x:f>
      </x:c>
      <x:c r="I130" s="36"/>
    </x:row>
    <x:row r="131">
      <x:c r="A131" s="36"/>
      <x:c r="B131" s="36"/>
      <x:c r="C131" s="36"/>
      <x:c r="D131" s="37"/>
      <x:c r="E131" s="37"/>
      <x:c r="F131" s="63" t="str">
        <x:f>IF($A131="","",$E131-$D131)</x:f>
      </x:c>
      <x:c r="G131" s="65" t="str">
        <x:f>IF($A131="","",IFERROR($E131/$D131,0))</x:f>
      </x:c>
      <x:c r="H131" s="63" t="str">
        <x:f>IF($A131="","",SUMIFS($E$6:$E131,$B$6:$B131,$B131))</x:f>
      </x:c>
      <x:c r="I131" s="36"/>
    </x:row>
    <x:row r="132">
      <x:c r="A132" s="36"/>
      <x:c r="B132" s="36"/>
      <x:c r="C132" s="36"/>
      <x:c r="D132" s="37"/>
      <x:c r="E132" s="37"/>
      <x:c r="F132" s="63" t="str">
        <x:f>IF($A132="","",$E132-$D132)</x:f>
      </x:c>
      <x:c r="G132" s="65" t="str">
        <x:f>IF($A132="","",IFERROR($E132/$D132,0))</x:f>
      </x:c>
      <x:c r="H132" s="63" t="str">
        <x:f>IF($A132="","",SUMIFS($E$6:$E132,$B$6:$B132,$B132))</x:f>
      </x:c>
      <x:c r="I132" s="36"/>
    </x:row>
    <x:row r="133">
      <x:c r="A133" s="36"/>
      <x:c r="B133" s="36"/>
      <x:c r="C133" s="36"/>
      <x:c r="D133" s="37"/>
      <x:c r="E133" s="37"/>
      <x:c r="F133" s="63" t="str">
        <x:f>IF($A133="","",$E133-$D133)</x:f>
      </x:c>
      <x:c r="G133" s="65" t="str">
        <x:f>IF($A133="","",IFERROR($E133/$D133,0))</x:f>
      </x:c>
      <x:c r="H133" s="63" t="str">
        <x:f>IF($A133="","",SUMIFS($E$6:$E133,$B$6:$B133,$B133))</x:f>
      </x:c>
      <x:c r="I133" s="36"/>
    </x:row>
    <x:row r="134">
      <x:c r="A134" s="36"/>
      <x:c r="B134" s="36"/>
      <x:c r="C134" s="36"/>
      <x:c r="D134" s="37"/>
      <x:c r="E134" s="37"/>
      <x:c r="F134" s="63" t="str">
        <x:f>IF($A134="","",$E134-$D134)</x:f>
      </x:c>
      <x:c r="G134" s="65" t="str">
        <x:f>IF($A134="","",IFERROR($E134/$D134,0))</x:f>
      </x:c>
      <x:c r="H134" s="63" t="str">
        <x:f>IF($A134="","",SUMIFS($E$6:$E134,$B$6:$B134,$B134))</x:f>
      </x:c>
      <x:c r="I134" s="36"/>
    </x:row>
    <x:row r="135">
      <x:c r="A135" s="36"/>
      <x:c r="B135" s="36"/>
      <x:c r="C135" s="36"/>
      <x:c r="D135" s="37"/>
      <x:c r="E135" s="37"/>
      <x:c r="F135" s="63" t="str">
        <x:f>IF($A135="","",$E135-$D135)</x:f>
      </x:c>
      <x:c r="G135" s="65" t="str">
        <x:f>IF($A135="","",IFERROR($E135/$D135,0))</x:f>
      </x:c>
      <x:c r="H135" s="63" t="str">
        <x:f>IF($A135="","",SUMIFS($E$6:$E135,$B$6:$B135,$B135))</x:f>
      </x:c>
      <x:c r="I135" s="36"/>
    </x:row>
    <x:row r="136">
      <x:c r="A136" s="36"/>
      <x:c r="B136" s="36"/>
      <x:c r="C136" s="36"/>
      <x:c r="D136" s="37"/>
      <x:c r="E136" s="37"/>
      <x:c r="F136" s="63" t="str">
        <x:f>IF($A136="","",$E136-$D136)</x:f>
      </x:c>
      <x:c r="G136" s="65" t="str">
        <x:f>IF($A136="","",IFERROR($E136/$D136,0))</x:f>
      </x:c>
      <x:c r="H136" s="63" t="str">
        <x:f>IF($A136="","",SUMIFS($E$6:$E136,$B$6:$B136,$B136))</x:f>
      </x:c>
      <x:c r="I136" s="36"/>
    </x:row>
    <x:row r="137">
      <x:c r="A137" s="36"/>
      <x:c r="B137" s="36"/>
      <x:c r="C137" s="36"/>
      <x:c r="D137" s="37"/>
      <x:c r="E137" s="37"/>
      <x:c r="F137" s="63" t="str">
        <x:f>IF($A137="","",$E137-$D137)</x:f>
      </x:c>
      <x:c r="G137" s="65" t="str">
        <x:f>IF($A137="","",IFERROR($E137/$D137,0))</x:f>
      </x:c>
      <x:c r="H137" s="63" t="str">
        <x:f>IF($A137="","",SUMIFS($E$6:$E137,$B$6:$B137,$B137))</x:f>
      </x:c>
      <x:c r="I137" s="36"/>
    </x:row>
    <x:row r="138">
      <x:c r="A138" s="36"/>
      <x:c r="B138" s="36"/>
      <x:c r="C138" s="36"/>
      <x:c r="D138" s="37"/>
      <x:c r="E138" s="37"/>
      <x:c r="F138" s="63" t="str">
        <x:f>IF($A138="","",$E138-$D138)</x:f>
      </x:c>
      <x:c r="G138" s="65" t="str">
        <x:f>IF($A138="","",IFERROR($E138/$D138,0))</x:f>
      </x:c>
      <x:c r="H138" s="63" t="str">
        <x:f>IF($A138="","",SUMIFS($E$6:$E138,$B$6:$B138,$B138))</x:f>
      </x:c>
      <x:c r="I138" s="36"/>
    </x:row>
    <x:row r="139">
      <x:c r="A139" s="36"/>
      <x:c r="B139" s="36"/>
      <x:c r="C139" s="36"/>
      <x:c r="D139" s="37"/>
      <x:c r="E139" s="37"/>
      <x:c r="F139" s="63" t="str">
        <x:f>IF($A139="","",$E139-$D139)</x:f>
      </x:c>
      <x:c r="G139" s="65" t="str">
        <x:f>IF($A139="","",IFERROR($E139/$D139,0))</x:f>
      </x:c>
      <x:c r="H139" s="63" t="str">
        <x:f>IF($A139="","",SUMIFS($E$6:$E139,$B$6:$B139,$B139))</x:f>
      </x:c>
      <x:c r="I139" s="36"/>
    </x:row>
    <x:row r="140">
      <x:c r="A140" s="36"/>
      <x:c r="B140" s="36"/>
      <x:c r="C140" s="36"/>
      <x:c r="D140" s="37"/>
      <x:c r="E140" s="37"/>
      <x:c r="F140" s="63" t="str">
        <x:f>IF($A140="","",$E140-$D140)</x:f>
      </x:c>
      <x:c r="G140" s="65" t="str">
        <x:f>IF($A140="","",IFERROR($E140/$D140,0))</x:f>
      </x:c>
      <x:c r="H140" s="63" t="str">
        <x:f>IF($A140="","",SUMIFS($E$6:$E140,$B$6:$B140,$B140))</x:f>
      </x:c>
      <x:c r="I140" s="36"/>
    </x:row>
    <x:row r="141">
      <x:c r="A141" s="36"/>
      <x:c r="B141" s="36"/>
      <x:c r="C141" s="36"/>
      <x:c r="D141" s="37"/>
      <x:c r="E141" s="37"/>
      <x:c r="F141" s="63" t="str">
        <x:f>IF($A141="","",$E141-$D141)</x:f>
      </x:c>
      <x:c r="G141" s="65" t="str">
        <x:f>IF($A141="","",IFERROR($E141/$D141,0))</x:f>
      </x:c>
      <x:c r="H141" s="63" t="str">
        <x:f>IF($A141="","",SUMIFS($E$6:$E141,$B$6:$B141,$B141))</x:f>
      </x:c>
      <x:c r="I141" s="36"/>
    </x:row>
    <x:row r="142">
      <x:c r="A142" s="36"/>
      <x:c r="B142" s="36"/>
      <x:c r="C142" s="36"/>
      <x:c r="D142" s="37"/>
      <x:c r="E142" s="37"/>
      <x:c r="F142" s="63" t="str">
        <x:f>IF($A142="","",$E142-$D142)</x:f>
      </x:c>
      <x:c r="G142" s="65" t="str">
        <x:f>IF($A142="","",IFERROR($E142/$D142,0))</x:f>
      </x:c>
      <x:c r="H142" s="63" t="str">
        <x:f>IF($A142="","",SUMIFS($E$6:$E142,$B$6:$B142,$B142))</x:f>
      </x:c>
      <x:c r="I142" s="36"/>
    </x:row>
    <x:row r="143">
      <x:c r="A143" s="36"/>
      <x:c r="B143" s="36"/>
      <x:c r="C143" s="36"/>
      <x:c r="D143" s="37"/>
      <x:c r="E143" s="37"/>
      <x:c r="F143" s="63" t="str">
        <x:f>IF($A143="","",$E143-$D143)</x:f>
      </x:c>
      <x:c r="G143" s="65" t="str">
        <x:f>IF($A143="","",IFERROR($E143/$D143,0))</x:f>
      </x:c>
      <x:c r="H143" s="63" t="str">
        <x:f>IF($A143="","",SUMIFS($E$6:$E143,$B$6:$B143,$B143))</x:f>
      </x:c>
      <x:c r="I143" s="36"/>
    </x:row>
    <x:row r="144">
      <x:c r="A144" s="36"/>
      <x:c r="B144" s="36"/>
      <x:c r="C144" s="36"/>
      <x:c r="D144" s="37"/>
      <x:c r="E144" s="37"/>
      <x:c r="F144" s="63" t="str">
        <x:f>IF($A144="","",$E144-$D144)</x:f>
      </x:c>
      <x:c r="G144" s="65" t="str">
        <x:f>IF($A144="","",IFERROR($E144/$D144,0))</x:f>
      </x:c>
      <x:c r="H144" s="63" t="str">
        <x:f>IF($A144="","",SUMIFS($E$6:$E144,$B$6:$B144,$B144))</x:f>
      </x:c>
      <x:c r="I144" s="36"/>
    </x:row>
    <x:row r="145">
      <x:c r="A145" s="36"/>
      <x:c r="B145" s="36"/>
      <x:c r="C145" s="36"/>
      <x:c r="D145" s="37"/>
      <x:c r="E145" s="37"/>
      <x:c r="F145" s="63" t="str">
        <x:f>IF($A145="","",$E145-$D145)</x:f>
      </x:c>
      <x:c r="G145" s="65" t="str">
        <x:f>IF($A145="","",IFERROR($E145/$D145,0))</x:f>
      </x:c>
      <x:c r="H145" s="63" t="str">
        <x:f>IF($A145="","",SUMIFS($E$6:$E145,$B$6:$B145,$B145))</x:f>
      </x:c>
      <x:c r="I145" s="36"/>
    </x:row>
    <x:row r="146">
      <x:c r="A146" s="36"/>
      <x:c r="B146" s="36"/>
      <x:c r="C146" s="36"/>
      <x:c r="D146" s="37"/>
      <x:c r="E146" s="37"/>
      <x:c r="F146" s="63" t="str">
        <x:f>IF($A146="","",$E146-$D146)</x:f>
      </x:c>
      <x:c r="G146" s="65" t="str">
        <x:f>IF($A146="","",IFERROR($E146/$D146,0))</x:f>
      </x:c>
      <x:c r="H146" s="63" t="str">
        <x:f>IF($A146="","",SUMIFS($E$6:$E146,$B$6:$B146,$B146))</x:f>
      </x:c>
      <x:c r="I146" s="36"/>
    </x:row>
    <x:row r="147">
      <x:c r="A147" s="36"/>
      <x:c r="B147" s="36"/>
      <x:c r="C147" s="36"/>
      <x:c r="D147" s="37"/>
      <x:c r="E147" s="37"/>
      <x:c r="F147" s="63" t="str">
        <x:f>IF($A147="","",$E147-$D147)</x:f>
      </x:c>
      <x:c r="G147" s="65" t="str">
        <x:f>IF($A147="","",IFERROR($E147/$D147,0))</x:f>
      </x:c>
      <x:c r="H147" s="63" t="str">
        <x:f>IF($A147="","",SUMIFS($E$6:$E147,$B$6:$B147,$B147))</x:f>
      </x:c>
      <x:c r="I147" s="36"/>
    </x:row>
    <x:row r="148">
      <x:c r="A148" s="36"/>
      <x:c r="B148" s="36"/>
      <x:c r="C148" s="36"/>
      <x:c r="D148" s="37"/>
      <x:c r="E148" s="37"/>
      <x:c r="F148" s="63" t="str">
        <x:f>IF($A148="","",$E148-$D148)</x:f>
      </x:c>
      <x:c r="G148" s="65" t="str">
        <x:f>IF($A148="","",IFERROR($E148/$D148,0))</x:f>
      </x:c>
      <x:c r="H148" s="63" t="str">
        <x:f>IF($A148="","",SUMIFS($E$6:$E148,$B$6:$B148,$B148))</x:f>
      </x:c>
      <x:c r="I148" s="36"/>
    </x:row>
    <x:row r="149">
      <x:c r="A149" s="36"/>
      <x:c r="B149" s="36"/>
      <x:c r="C149" s="36"/>
      <x:c r="D149" s="37"/>
      <x:c r="E149" s="37"/>
      <x:c r="F149" s="63" t="str">
        <x:f>IF($A149="","",$E149-$D149)</x:f>
      </x:c>
      <x:c r="G149" s="65" t="str">
        <x:f>IF($A149="","",IFERROR($E149/$D149,0))</x:f>
      </x:c>
      <x:c r="H149" s="63" t="str">
        <x:f>IF($A149="","",SUMIFS($E$6:$E149,$B$6:$B149,$B149))</x:f>
      </x:c>
      <x:c r="I149" s="36"/>
    </x:row>
    <x:row r="150">
      <x:c r="A150" s="36"/>
      <x:c r="B150" s="36"/>
      <x:c r="C150" s="36"/>
      <x:c r="D150" s="37"/>
      <x:c r="E150" s="37"/>
      <x:c r="F150" s="63" t="str">
        <x:f>IF($A150="","",$E150-$D150)</x:f>
      </x:c>
      <x:c r="G150" s="65" t="str">
        <x:f>IF($A150="","",IFERROR($E150/$D150,0))</x:f>
      </x:c>
      <x:c r="H150" s="63" t="str">
        <x:f>IF($A150="","",SUMIFS($E$6:$E150,$B$6:$B150,$B150))</x:f>
      </x:c>
      <x:c r="I150" s="36"/>
    </x:row>
    <x:row r="151">
      <x:c r="A151" s="36"/>
      <x:c r="B151" s="36"/>
      <x:c r="C151" s="36"/>
      <x:c r="D151" s="37"/>
      <x:c r="E151" s="37"/>
      <x:c r="F151" s="63" t="str">
        <x:f>IF($A151="","",$E151-$D151)</x:f>
      </x:c>
      <x:c r="G151" s="65" t="str">
        <x:f>IF($A151="","",IFERROR($E151/$D151,0))</x:f>
      </x:c>
      <x:c r="H151" s="63" t="str">
        <x:f>IF($A151="","",SUMIFS($E$6:$E151,$B$6:$B151,$B151))</x:f>
      </x:c>
      <x:c r="I151" s="36"/>
    </x:row>
    <x:row r="152">
      <x:c r="A152" s="36"/>
      <x:c r="B152" s="36"/>
      <x:c r="C152" s="36"/>
      <x:c r="D152" s="37"/>
      <x:c r="E152" s="37"/>
      <x:c r="F152" s="63" t="str">
        <x:f>IF($A152="","",$E152-$D152)</x:f>
      </x:c>
      <x:c r="G152" s="65" t="str">
        <x:f>IF($A152="","",IFERROR($E152/$D152,0))</x:f>
      </x:c>
      <x:c r="H152" s="63" t="str">
        <x:f>IF($A152="","",SUMIFS($E$6:$E152,$B$6:$B152,$B152))</x:f>
      </x:c>
      <x:c r="I152" s="36"/>
    </x:row>
    <x:row r="153">
      <x:c r="A153" s="36"/>
      <x:c r="B153" s="36"/>
      <x:c r="C153" s="36"/>
      <x:c r="D153" s="37"/>
      <x:c r="E153" s="37"/>
      <x:c r="F153" s="63" t="str">
        <x:f>IF($A153="","",$E153-$D153)</x:f>
      </x:c>
      <x:c r="G153" s="65" t="str">
        <x:f>IF($A153="","",IFERROR($E153/$D153,0))</x:f>
      </x:c>
      <x:c r="H153" s="63" t="str">
        <x:f>IF($A153="","",SUMIFS($E$6:$E153,$B$6:$B153,$B153))</x:f>
      </x:c>
      <x:c r="I153" s="36"/>
    </x:row>
    <x:row r="154">
      <x:c r="A154" s="36"/>
      <x:c r="B154" s="36"/>
      <x:c r="C154" s="36"/>
      <x:c r="D154" s="37"/>
      <x:c r="E154" s="37"/>
      <x:c r="F154" s="63" t="str">
        <x:f>IF($A154="","",$E154-$D154)</x:f>
      </x:c>
      <x:c r="G154" s="65" t="str">
        <x:f>IF($A154="","",IFERROR($E154/$D154,0))</x:f>
      </x:c>
      <x:c r="H154" s="63" t="str">
        <x:f>IF($A154="","",SUMIFS($E$6:$E154,$B$6:$B154,$B154))</x:f>
      </x:c>
      <x:c r="I154" s="36"/>
    </x:row>
    <x:row r="155">
      <x:c r="A155" s="36"/>
      <x:c r="B155" s="36"/>
      <x:c r="C155" s="36"/>
      <x:c r="D155" s="37"/>
      <x:c r="E155" s="37"/>
      <x:c r="F155" s="63" t="str">
        <x:f>IF($A155="","",$E155-$D155)</x:f>
      </x:c>
      <x:c r="G155" s="65" t="str">
        <x:f>IF($A155="","",IFERROR($E155/$D155,0))</x:f>
      </x:c>
      <x:c r="H155" s="63" t="str">
        <x:f>IF($A155="","",SUMIFS($E$6:$E155,$B$6:$B155,$B155))</x:f>
      </x:c>
      <x:c r="I155" s="36"/>
    </x:row>
    <x:row r="156">
      <x:c r="A156" s="36"/>
      <x:c r="B156" s="36"/>
      <x:c r="C156" s="36"/>
      <x:c r="D156" s="37"/>
      <x:c r="E156" s="37"/>
      <x:c r="F156" s="63" t="str">
        <x:f>IF($A156="","",$E156-$D156)</x:f>
      </x:c>
      <x:c r="G156" s="65" t="str">
        <x:f>IF($A156="","",IFERROR($E156/$D156,0))</x:f>
      </x:c>
      <x:c r="H156" s="63" t="str">
        <x:f>IF($A156="","",SUMIFS($E$6:$E156,$B$6:$B156,$B156))</x:f>
      </x:c>
      <x:c r="I156" s="36"/>
    </x:row>
    <x:row r="157">
      <x:c r="A157" s="36"/>
      <x:c r="B157" s="36"/>
      <x:c r="C157" s="36"/>
      <x:c r="D157" s="37"/>
      <x:c r="E157" s="37"/>
      <x:c r="F157" s="63" t="str">
        <x:f>IF($A157="","",$E157-$D157)</x:f>
      </x:c>
      <x:c r="G157" s="65" t="str">
        <x:f>IF($A157="","",IFERROR($E157/$D157,0))</x:f>
      </x:c>
      <x:c r="H157" s="63" t="str">
        <x:f>IF($A157="","",SUMIFS($E$6:$E157,$B$6:$B157,$B157))</x:f>
      </x:c>
      <x:c r="I157" s="36"/>
    </x:row>
    <x:row r="158">
      <x:c r="A158" s="36"/>
      <x:c r="B158" s="36"/>
      <x:c r="C158" s="36"/>
      <x:c r="D158" s="37"/>
      <x:c r="E158" s="37"/>
      <x:c r="F158" s="63" t="str">
        <x:f>IF($A158="","",$E158-$D158)</x:f>
      </x:c>
      <x:c r="G158" s="65" t="str">
        <x:f>IF($A158="","",IFERROR($E158/$D158,0))</x:f>
      </x:c>
      <x:c r="H158" s="63" t="str">
        <x:f>IF($A158="","",SUMIFS($E$6:$E158,$B$6:$B158,$B158))</x:f>
      </x:c>
      <x:c r="I158" s="36"/>
    </x:row>
    <x:row r="159">
      <x:c r="A159" s="36"/>
      <x:c r="B159" s="36"/>
      <x:c r="C159" s="36"/>
      <x:c r="D159" s="37"/>
      <x:c r="E159" s="37"/>
      <x:c r="F159" s="63" t="str">
        <x:f>IF($A159="","",$E159-$D159)</x:f>
      </x:c>
      <x:c r="G159" s="65" t="str">
        <x:f>IF($A159="","",IFERROR($E159/$D159,0))</x:f>
      </x:c>
      <x:c r="H159" s="63" t="str">
        <x:f>IF($A159="","",SUMIFS($E$6:$E159,$B$6:$B159,$B159))</x:f>
      </x:c>
      <x:c r="I159" s="36"/>
    </x:row>
    <x:row r="160">
      <x:c r="A160" s="36"/>
      <x:c r="B160" s="36"/>
      <x:c r="C160" s="36"/>
      <x:c r="D160" s="37"/>
      <x:c r="E160" s="37"/>
      <x:c r="F160" s="63" t="str">
        <x:f>IF($A160="","",$E160-$D160)</x:f>
      </x:c>
      <x:c r="G160" s="65" t="str">
        <x:f>IF($A160="","",IFERROR($E160/$D160,0))</x:f>
      </x:c>
      <x:c r="H160" s="63" t="str">
        <x:f>IF($A160="","",SUMIFS($E$6:$E160,$B$6:$B160,$B160))</x:f>
      </x:c>
      <x:c r="I160" s="36"/>
    </x:row>
    <x:row r="161">
      <x:c r="A161" s="36"/>
      <x:c r="B161" s="36"/>
      <x:c r="C161" s="36"/>
      <x:c r="D161" s="37"/>
      <x:c r="E161" s="37"/>
      <x:c r="F161" s="63" t="str">
        <x:f>IF($A161="","",$E161-$D161)</x:f>
      </x:c>
      <x:c r="G161" s="65" t="str">
        <x:f>IF($A161="","",IFERROR($E161/$D161,0))</x:f>
      </x:c>
      <x:c r="H161" s="63" t="str">
        <x:f>IF($A161="","",SUMIFS($E$6:$E161,$B$6:$B161,$B161))</x:f>
      </x:c>
      <x:c r="I161" s="36"/>
    </x:row>
    <x:row r="162">
      <x:c r="A162" s="36"/>
      <x:c r="B162" s="36"/>
      <x:c r="C162" s="36"/>
      <x:c r="D162" s="37"/>
      <x:c r="E162" s="37"/>
      <x:c r="F162" s="63" t="str">
        <x:f>IF($A162="","",$E162-$D162)</x:f>
      </x:c>
      <x:c r="G162" s="65" t="str">
        <x:f>IF($A162="","",IFERROR($E162/$D162,0))</x:f>
      </x:c>
      <x:c r="H162" s="63" t="str">
        <x:f>IF($A162="","",SUMIFS($E$6:$E162,$B$6:$B162,$B162))</x:f>
      </x:c>
      <x:c r="I162" s="36"/>
    </x:row>
    <x:row r="163">
      <x:c r="A163" s="36"/>
      <x:c r="B163" s="36"/>
      <x:c r="C163" s="36"/>
      <x:c r="D163" s="37"/>
      <x:c r="E163" s="37"/>
      <x:c r="F163" s="63" t="str">
        <x:f>IF($A163="","",$E163-$D163)</x:f>
      </x:c>
      <x:c r="G163" s="65" t="str">
        <x:f>IF($A163="","",IFERROR($E163/$D163,0))</x:f>
      </x:c>
      <x:c r="H163" s="63" t="str">
        <x:f>IF($A163="","",SUMIFS($E$6:$E163,$B$6:$B163,$B163))</x:f>
      </x:c>
      <x:c r="I163" s="36"/>
    </x:row>
    <x:row r="164">
      <x:c r="A164" s="36"/>
      <x:c r="B164" s="36"/>
      <x:c r="C164" s="36"/>
      <x:c r="D164" s="37"/>
      <x:c r="E164" s="37"/>
      <x:c r="F164" s="63" t="str">
        <x:f>IF($A164="","",$E164-$D164)</x:f>
      </x:c>
      <x:c r="G164" s="65" t="str">
        <x:f>IF($A164="","",IFERROR($E164/$D164,0))</x:f>
      </x:c>
      <x:c r="H164" s="63" t="str">
        <x:f>IF($A164="","",SUMIFS($E$6:$E164,$B$6:$B164,$B164))</x:f>
      </x:c>
      <x:c r="I164" s="36"/>
    </x:row>
    <x:row r="165">
      <x:c r="A165" s="36"/>
      <x:c r="B165" s="36"/>
      <x:c r="C165" s="36"/>
      <x:c r="D165" s="37"/>
      <x:c r="E165" s="37"/>
      <x:c r="F165" s="63" t="str">
        <x:f>IF($A165="","",$E165-$D165)</x:f>
      </x:c>
      <x:c r="G165" s="65" t="str">
        <x:f>IF($A165="","",IFERROR($E165/$D165,0))</x:f>
      </x:c>
      <x:c r="H165" s="63" t="str">
        <x:f>IF($A165="","",SUMIFS($E$6:$E165,$B$6:$B165,$B165))</x:f>
      </x:c>
      <x:c r="I165" s="36"/>
    </x:row>
    <x:row r="166">
      <x:c r="A166" s="36"/>
      <x:c r="B166" s="36"/>
      <x:c r="C166" s="36"/>
      <x:c r="D166" s="37"/>
      <x:c r="E166" s="37"/>
      <x:c r="F166" s="63" t="str">
        <x:f>IF($A166="","",$E166-$D166)</x:f>
      </x:c>
      <x:c r="G166" s="65" t="str">
        <x:f>IF($A166="","",IFERROR($E166/$D166,0))</x:f>
      </x:c>
      <x:c r="H166" s="63" t="str">
        <x:f>IF($A166="","",SUMIFS($E$6:$E166,$B$6:$B166,$B166))</x:f>
      </x:c>
      <x:c r="I166" s="36"/>
    </x:row>
    <x:row r="167">
      <x:c r="A167" s="36"/>
      <x:c r="B167" s="36"/>
      <x:c r="C167" s="36"/>
      <x:c r="D167" s="37"/>
      <x:c r="E167" s="37"/>
      <x:c r="F167" s="63" t="str">
        <x:f>IF($A167="","",$E167-$D167)</x:f>
      </x:c>
      <x:c r="G167" s="65" t="str">
        <x:f>IF($A167="","",IFERROR($E167/$D167,0))</x:f>
      </x:c>
      <x:c r="H167" s="63" t="str">
        <x:f>IF($A167="","",SUMIFS($E$6:$E167,$B$6:$B167,$B167))</x:f>
      </x:c>
      <x:c r="I167" s="36"/>
    </x:row>
    <x:row r="168">
      <x:c r="A168" s="36"/>
      <x:c r="B168" s="36"/>
      <x:c r="C168" s="36"/>
      <x:c r="D168" s="37"/>
      <x:c r="E168" s="37"/>
      <x:c r="F168" s="63" t="str">
        <x:f>IF($A168="","",$E168-$D168)</x:f>
      </x:c>
      <x:c r="G168" s="65" t="str">
        <x:f>IF($A168="","",IFERROR($E168/$D168,0))</x:f>
      </x:c>
      <x:c r="H168" s="63" t="str">
        <x:f>IF($A168="","",SUMIFS($E$6:$E168,$B$6:$B168,$B168))</x:f>
      </x:c>
      <x:c r="I168" s="36"/>
    </x:row>
    <x:row r="169">
      <x:c r="A169" s="36"/>
      <x:c r="B169" s="36"/>
      <x:c r="C169" s="36"/>
      <x:c r="D169" s="37"/>
      <x:c r="E169" s="37"/>
      <x:c r="F169" s="63" t="str">
        <x:f>IF($A169="","",$E169-$D169)</x:f>
      </x:c>
      <x:c r="G169" s="65" t="str">
        <x:f>IF($A169="","",IFERROR($E169/$D169,0))</x:f>
      </x:c>
      <x:c r="H169" s="63" t="str">
        <x:f>IF($A169="","",SUMIFS($E$6:$E169,$B$6:$B169,$B169))</x:f>
      </x:c>
      <x:c r="I169" s="36"/>
    </x:row>
    <x:row r="170">
      <x:c r="A170" s="36"/>
      <x:c r="B170" s="36"/>
      <x:c r="C170" s="36"/>
      <x:c r="D170" s="37"/>
      <x:c r="E170" s="37"/>
      <x:c r="F170" s="63" t="str">
        <x:f>IF($A170="","",$E170-$D170)</x:f>
      </x:c>
      <x:c r="G170" s="65" t="str">
        <x:f>IF($A170="","",IFERROR($E170/$D170,0))</x:f>
      </x:c>
      <x:c r="H170" s="63" t="str">
        <x:f>IF($A170="","",SUMIFS($E$6:$E170,$B$6:$B170,$B170))</x:f>
      </x:c>
      <x:c r="I170" s="36"/>
    </x:row>
    <x:row r="171">
      <x:c r="A171" s="36"/>
      <x:c r="B171" s="36"/>
      <x:c r="C171" s="36"/>
      <x:c r="D171" s="37"/>
      <x:c r="E171" s="37"/>
      <x:c r="F171" s="63" t="str">
        <x:f>IF($A171="","",$E171-$D171)</x:f>
      </x:c>
      <x:c r="G171" s="65" t="str">
        <x:f>IF($A171="","",IFERROR($E171/$D171,0))</x:f>
      </x:c>
      <x:c r="H171" s="63" t="str">
        <x:f>IF($A171="","",SUMIFS($E$6:$E171,$B$6:$B171,$B171))</x:f>
      </x:c>
      <x:c r="I171" s="36"/>
    </x:row>
    <x:row r="172">
      <x:c r="A172" s="36"/>
      <x:c r="B172" s="36"/>
      <x:c r="C172" s="36"/>
      <x:c r="D172" s="37"/>
      <x:c r="E172" s="37"/>
      <x:c r="F172" s="63" t="str">
        <x:f>IF($A172="","",$E172-$D172)</x:f>
      </x:c>
      <x:c r="G172" s="65" t="str">
        <x:f>IF($A172="","",IFERROR($E172/$D172,0))</x:f>
      </x:c>
      <x:c r="H172" s="63" t="str">
        <x:f>IF($A172="","",SUMIFS($E$6:$E172,$B$6:$B172,$B172))</x:f>
      </x:c>
      <x:c r="I172" s="36"/>
    </x:row>
    <x:row r="173">
      <x:c r="A173" s="36"/>
      <x:c r="B173" s="36"/>
      <x:c r="C173" s="36"/>
      <x:c r="D173" s="37"/>
      <x:c r="E173" s="37"/>
      <x:c r="F173" s="63" t="str">
        <x:f>IF($A173="","",$E173-$D173)</x:f>
      </x:c>
      <x:c r="G173" s="65" t="str">
        <x:f>IF($A173="","",IFERROR($E173/$D173,0))</x:f>
      </x:c>
      <x:c r="H173" s="63" t="str">
        <x:f>IF($A173="","",SUMIFS($E$6:$E173,$B$6:$B173,$B173))</x:f>
      </x:c>
      <x:c r="I173" s="36"/>
    </x:row>
    <x:row r="174">
      <x:c r="A174" s="36"/>
      <x:c r="B174" s="36"/>
      <x:c r="C174" s="36"/>
      <x:c r="D174" s="37"/>
      <x:c r="E174" s="37"/>
      <x:c r="F174" s="63" t="str">
        <x:f>IF($A174="","",$E174-$D174)</x:f>
      </x:c>
      <x:c r="G174" s="65" t="str">
        <x:f>IF($A174="","",IFERROR($E174/$D174,0))</x:f>
      </x:c>
      <x:c r="H174" s="63" t="str">
        <x:f>IF($A174="","",SUMIFS($E$6:$E174,$B$6:$B174,$B174))</x:f>
      </x:c>
      <x:c r="I174" s="36"/>
    </x:row>
    <x:row r="175">
      <x:c r="A175" s="36"/>
      <x:c r="B175" s="36"/>
      <x:c r="C175" s="36"/>
      <x:c r="D175" s="37"/>
      <x:c r="E175" s="37"/>
      <x:c r="F175" s="63" t="str">
        <x:f>IF($A175="","",$E175-$D175)</x:f>
      </x:c>
      <x:c r="G175" s="65" t="str">
        <x:f>IF($A175="","",IFERROR($E175/$D175,0))</x:f>
      </x:c>
      <x:c r="H175" s="63" t="str">
        <x:f>IF($A175="","",SUMIFS($E$6:$E175,$B$6:$B175,$B175))</x:f>
      </x:c>
      <x:c r="I175" s="36"/>
    </x:row>
    <x:row r="176">
      <x:c r="A176" s="36"/>
      <x:c r="B176" s="36"/>
      <x:c r="C176" s="36"/>
      <x:c r="D176" s="37"/>
      <x:c r="E176" s="37"/>
      <x:c r="F176" s="63" t="str">
        <x:f>IF($A176="","",$E176-$D176)</x:f>
      </x:c>
      <x:c r="G176" s="65" t="str">
        <x:f>IF($A176="","",IFERROR($E176/$D176,0))</x:f>
      </x:c>
      <x:c r="H176" s="63" t="str">
        <x:f>IF($A176="","",SUMIFS($E$6:$E176,$B$6:$B176,$B176))</x:f>
      </x:c>
      <x:c r="I176" s="36"/>
    </x:row>
    <x:row r="177">
      <x:c r="A177" s="36"/>
      <x:c r="B177" s="36"/>
      <x:c r="C177" s="36"/>
      <x:c r="D177" s="37"/>
      <x:c r="E177" s="37"/>
      <x:c r="F177" s="63" t="str">
        <x:f>IF($A177="","",$E177-$D177)</x:f>
      </x:c>
      <x:c r="G177" s="65" t="str">
        <x:f>IF($A177="","",IFERROR($E177/$D177,0))</x:f>
      </x:c>
      <x:c r="H177" s="63" t="str">
        <x:f>IF($A177="","",SUMIFS($E$6:$E177,$B$6:$B177,$B177))</x:f>
      </x:c>
      <x:c r="I177" s="36"/>
    </x:row>
    <x:row r="178">
      <x:c r="A178" s="36"/>
      <x:c r="B178" s="36"/>
      <x:c r="C178" s="36"/>
      <x:c r="D178" s="37"/>
      <x:c r="E178" s="37"/>
      <x:c r="F178" s="63" t="str">
        <x:f>IF($A178="","",$E178-$D178)</x:f>
      </x:c>
      <x:c r="G178" s="65" t="str">
        <x:f>IF($A178="","",IFERROR($E178/$D178,0))</x:f>
      </x:c>
      <x:c r="H178" s="63" t="str">
        <x:f>IF($A178="","",SUMIFS($E$6:$E178,$B$6:$B178,$B178))</x:f>
      </x:c>
      <x:c r="I178" s="36"/>
    </x:row>
    <x:row r="179">
      <x:c r="A179" s="36"/>
      <x:c r="B179" s="36"/>
      <x:c r="C179" s="36"/>
      <x:c r="D179" s="37"/>
      <x:c r="E179" s="37"/>
      <x:c r="F179" s="63" t="str">
        <x:f>IF($A179="","",$E179-$D179)</x:f>
      </x:c>
      <x:c r="G179" s="65" t="str">
        <x:f>IF($A179="","",IFERROR($E179/$D179,0))</x:f>
      </x:c>
      <x:c r="H179" s="63" t="str">
        <x:f>IF($A179="","",SUMIFS($E$6:$E179,$B$6:$B179,$B179))</x:f>
      </x:c>
      <x:c r="I179" s="36"/>
    </x:row>
    <x:row r="180">
      <x:c r="A180" s="36"/>
      <x:c r="B180" s="36"/>
      <x:c r="C180" s="36"/>
      <x:c r="D180" s="37"/>
      <x:c r="E180" s="37"/>
      <x:c r="F180" s="63" t="str">
        <x:f>IF($A180="","",$E180-$D180)</x:f>
      </x:c>
      <x:c r="G180" s="65" t="str">
        <x:f>IF($A180="","",IFERROR($E180/$D180,0))</x:f>
      </x:c>
      <x:c r="H180" s="63" t="str">
        <x:f>IF($A180="","",SUMIFS($E$6:$E180,$B$6:$B180,$B180))</x:f>
      </x:c>
      <x:c r="I180" s="36"/>
    </x:row>
    <x:row r="181">
      <x:c r="A181" s="36"/>
      <x:c r="B181" s="36"/>
      <x:c r="C181" s="36"/>
      <x:c r="D181" s="37"/>
      <x:c r="E181" s="37"/>
      <x:c r="F181" s="63" t="str">
        <x:f>IF($A181="","",$E181-$D181)</x:f>
      </x:c>
      <x:c r="G181" s="65" t="str">
        <x:f>IF($A181="","",IFERROR($E181/$D181,0))</x:f>
      </x:c>
      <x:c r="H181" s="63" t="str">
        <x:f>IF($A181="","",SUMIFS($E$6:$E181,$B$6:$B181,$B181))</x:f>
      </x:c>
      <x:c r="I181" s="36"/>
    </x:row>
    <x:row r="182">
      <x:c r="A182" s="36"/>
      <x:c r="B182" s="36"/>
      <x:c r="C182" s="36"/>
      <x:c r="D182" s="37"/>
      <x:c r="E182" s="37"/>
      <x:c r="F182" s="63" t="str">
        <x:f>IF($A182="","",$E182-$D182)</x:f>
      </x:c>
      <x:c r="G182" s="65" t="str">
        <x:f>IF($A182="","",IFERROR($E182/$D182,0))</x:f>
      </x:c>
      <x:c r="H182" s="63" t="str">
        <x:f>IF($A182="","",SUMIFS($E$6:$E182,$B$6:$B182,$B182))</x:f>
      </x:c>
      <x:c r="I182" s="36"/>
    </x:row>
    <x:row r="183">
      <x:c r="A183" s="36"/>
      <x:c r="B183" s="36"/>
      <x:c r="C183" s="36"/>
      <x:c r="D183" s="37"/>
      <x:c r="E183" s="37"/>
      <x:c r="F183" s="63" t="str">
        <x:f>IF($A183="","",$E183-$D183)</x:f>
      </x:c>
      <x:c r="G183" s="65" t="str">
        <x:f>IF($A183="","",IFERROR($E183/$D183,0))</x:f>
      </x:c>
      <x:c r="H183" s="63" t="str">
        <x:f>IF($A183="","",SUMIFS($E$6:$E183,$B$6:$B183,$B183))</x:f>
      </x:c>
      <x:c r="I183" s="36"/>
    </x:row>
    <x:row r="184">
      <x:c r="A184" s="36"/>
      <x:c r="B184" s="36"/>
      <x:c r="C184" s="36"/>
      <x:c r="D184" s="37"/>
      <x:c r="E184" s="37"/>
      <x:c r="F184" s="63" t="str">
        <x:f>IF($A184="","",$E184-$D184)</x:f>
      </x:c>
      <x:c r="G184" s="65" t="str">
        <x:f>IF($A184="","",IFERROR($E184/$D184,0))</x:f>
      </x:c>
      <x:c r="H184" s="63" t="str">
        <x:f>IF($A184="","",SUMIFS($E$6:$E184,$B$6:$B184,$B184))</x:f>
      </x:c>
      <x:c r="I184" s="36"/>
    </x:row>
    <x:row r="185">
      <x:c r="A185" s="36"/>
      <x:c r="B185" s="36"/>
      <x:c r="C185" s="36"/>
      <x:c r="D185" s="37"/>
      <x:c r="E185" s="37"/>
      <x:c r="F185" s="63" t="str">
        <x:f>IF($A185="","",$E185-$D185)</x:f>
      </x:c>
      <x:c r="G185" s="65" t="str">
        <x:f>IF($A185="","",IFERROR($E185/$D185,0))</x:f>
      </x:c>
      <x:c r="H185" s="63" t="str">
        <x:f>IF($A185="","",SUMIFS($E$6:$E185,$B$6:$B185,$B185))</x:f>
      </x:c>
      <x:c r="I185" s="36"/>
    </x:row>
    <x:row r="186">
      <x:c r="A186" s="36"/>
      <x:c r="B186" s="36"/>
      <x:c r="C186" s="36"/>
      <x:c r="D186" s="37"/>
      <x:c r="E186" s="37"/>
      <x:c r="F186" s="63" t="str">
        <x:f>IF($A186="","",$E186-$D186)</x:f>
      </x:c>
      <x:c r="G186" s="65" t="str">
        <x:f>IF($A186="","",IFERROR($E186/$D186,0))</x:f>
      </x:c>
      <x:c r="H186" s="63" t="str">
        <x:f>IF($A186="","",SUMIFS($E$6:$E186,$B$6:$B186,$B186))</x:f>
      </x:c>
      <x:c r="I186" s="36"/>
    </x:row>
    <x:row r="187">
      <x:c r="A187" s="36"/>
      <x:c r="B187" s="36"/>
      <x:c r="C187" s="36"/>
      <x:c r="D187" s="37"/>
      <x:c r="E187" s="37"/>
      <x:c r="F187" s="63" t="str">
        <x:f>IF($A187="","",$E187-$D187)</x:f>
      </x:c>
      <x:c r="G187" s="65" t="str">
        <x:f>IF($A187="","",IFERROR($E187/$D187,0))</x:f>
      </x:c>
      <x:c r="H187" s="63" t="str">
        <x:f>IF($A187="","",SUMIFS($E$6:$E187,$B$6:$B187,$B187))</x:f>
      </x:c>
      <x:c r="I187" s="36"/>
    </x:row>
    <x:row r="188">
      <x:c r="A188" s="36"/>
      <x:c r="B188" s="36"/>
      <x:c r="C188" s="36"/>
      <x:c r="D188" s="37"/>
      <x:c r="E188" s="37"/>
      <x:c r="F188" s="63" t="str">
        <x:f>IF($A188="","",$E188-$D188)</x:f>
      </x:c>
      <x:c r="G188" s="65" t="str">
        <x:f>IF($A188="","",IFERROR($E188/$D188,0))</x:f>
      </x:c>
      <x:c r="H188" s="63" t="str">
        <x:f>IF($A188="","",SUMIFS($E$6:$E188,$B$6:$B188,$B188))</x:f>
      </x:c>
      <x:c r="I188" s="36"/>
    </x:row>
    <x:row r="189">
      <x:c r="A189" s="36"/>
      <x:c r="B189" s="36"/>
      <x:c r="C189" s="36"/>
      <x:c r="D189" s="37"/>
      <x:c r="E189" s="37"/>
      <x:c r="F189" s="63" t="str">
        <x:f>IF($A189="","",$E189-$D189)</x:f>
      </x:c>
      <x:c r="G189" s="65" t="str">
        <x:f>IF($A189="","",IFERROR($E189/$D189,0))</x:f>
      </x:c>
      <x:c r="H189" s="63" t="str">
        <x:f>IF($A189="","",SUMIFS($E$6:$E189,$B$6:$B189,$B189))</x:f>
      </x:c>
      <x:c r="I189" s="36"/>
    </x:row>
    <x:row r="190">
      <x:c r="A190" s="36"/>
      <x:c r="B190" s="36"/>
      <x:c r="C190" s="36"/>
      <x:c r="D190" s="37"/>
      <x:c r="E190" s="37"/>
      <x:c r="F190" s="63" t="str">
        <x:f>IF($A190="","",$E190-$D190)</x:f>
      </x:c>
      <x:c r="G190" s="65" t="str">
        <x:f>IF($A190="","",IFERROR($E190/$D190,0))</x:f>
      </x:c>
      <x:c r="H190" s="63" t="str">
        <x:f>IF($A190="","",SUMIFS($E$6:$E190,$B$6:$B190,$B190))</x:f>
      </x:c>
      <x:c r="I190" s="36"/>
    </x:row>
    <x:row r="191">
      <x:c r="A191" s="36"/>
      <x:c r="B191" s="36"/>
      <x:c r="C191" s="36"/>
      <x:c r="D191" s="37"/>
      <x:c r="E191" s="37"/>
      <x:c r="F191" s="63" t="str">
        <x:f>IF($A191="","",$E191-$D191)</x:f>
      </x:c>
      <x:c r="G191" s="65" t="str">
        <x:f>IF($A191="","",IFERROR($E191/$D191,0))</x:f>
      </x:c>
      <x:c r="H191" s="63" t="str">
        <x:f>IF($A191="","",SUMIFS($E$6:$E191,$B$6:$B191,$B191))</x:f>
      </x:c>
      <x:c r="I191" s="36"/>
    </x:row>
    <x:row r="192">
      <x:c r="A192" s="36"/>
      <x:c r="B192" s="36"/>
      <x:c r="C192" s="36"/>
      <x:c r="D192" s="37"/>
      <x:c r="E192" s="37"/>
      <x:c r="F192" s="63" t="str">
        <x:f>IF($A192="","",$E192-$D192)</x:f>
      </x:c>
      <x:c r="G192" s="65" t="str">
        <x:f>IF($A192="","",IFERROR($E192/$D192,0))</x:f>
      </x:c>
      <x:c r="H192" s="63" t="str">
        <x:f>IF($A192="","",SUMIFS($E$6:$E192,$B$6:$B192,$B192))</x:f>
      </x:c>
      <x:c r="I192" s="36"/>
    </x:row>
    <x:row r="193">
      <x:c r="A193" s="36"/>
      <x:c r="B193" s="36"/>
      <x:c r="C193" s="36"/>
      <x:c r="D193" s="37"/>
      <x:c r="E193" s="37"/>
      <x:c r="F193" s="63" t="str">
        <x:f>IF($A193="","",$E193-$D193)</x:f>
      </x:c>
      <x:c r="G193" s="65" t="str">
        <x:f>IF($A193="","",IFERROR($E193/$D193,0))</x:f>
      </x:c>
      <x:c r="H193" s="63" t="str">
        <x:f>IF($A193="","",SUMIFS($E$6:$E193,$B$6:$B193,$B193))</x:f>
      </x:c>
      <x:c r="I193" s="36"/>
    </x:row>
    <x:row r="194">
      <x:c r="A194" s="36"/>
      <x:c r="B194" s="36"/>
      <x:c r="C194" s="36"/>
      <x:c r="D194" s="37"/>
      <x:c r="E194" s="37"/>
      <x:c r="F194" s="63" t="str">
        <x:f>IF($A194="","",$E194-$D194)</x:f>
      </x:c>
      <x:c r="G194" s="65" t="str">
        <x:f>IF($A194="","",IFERROR($E194/$D194,0))</x:f>
      </x:c>
      <x:c r="H194" s="63" t="str">
        <x:f>IF($A194="","",SUMIFS($E$6:$E194,$B$6:$B194,$B194))</x:f>
      </x:c>
      <x:c r="I194" s="36"/>
    </x:row>
    <x:row r="195">
      <x:c r="A195" s="36"/>
      <x:c r="B195" s="36"/>
      <x:c r="C195" s="36"/>
      <x:c r="D195" s="37"/>
      <x:c r="E195" s="37"/>
      <x:c r="F195" s="63" t="str">
        <x:f>IF($A195="","",$E195-$D195)</x:f>
      </x:c>
      <x:c r="G195" s="65" t="str">
        <x:f>IF($A195="","",IFERROR($E195/$D195,0))</x:f>
      </x:c>
      <x:c r="H195" s="63" t="str">
        <x:f>IF($A195="","",SUMIFS($E$6:$E195,$B$6:$B195,$B195))</x:f>
      </x:c>
      <x:c r="I195" s="36"/>
    </x:row>
    <x:row r="196">
      <x:c r="A196" s="36"/>
      <x:c r="B196" s="36"/>
      <x:c r="C196" s="36"/>
      <x:c r="D196" s="37"/>
      <x:c r="E196" s="37"/>
      <x:c r="F196" s="63" t="str">
        <x:f>IF($A196="","",$E196-$D196)</x:f>
      </x:c>
      <x:c r="G196" s="65" t="str">
        <x:f>IF($A196="","",IFERROR($E196/$D196,0))</x:f>
      </x:c>
      <x:c r="H196" s="63" t="str">
        <x:f>IF($A196="","",SUMIFS($E$6:$E196,$B$6:$B196,$B196))</x:f>
      </x:c>
      <x:c r="I196" s="36"/>
    </x:row>
    <x:row r="197">
      <x:c r="A197" s="36"/>
      <x:c r="B197" s="36"/>
      <x:c r="C197" s="36"/>
      <x:c r="D197" s="37"/>
      <x:c r="E197" s="37"/>
      <x:c r="F197" s="63" t="str">
        <x:f>IF($A197="","",$E197-$D197)</x:f>
      </x:c>
      <x:c r="G197" s="65" t="str">
        <x:f>IF($A197="","",IFERROR($E197/$D197,0))</x:f>
      </x:c>
      <x:c r="H197" s="63" t="str">
        <x:f>IF($A197="","",SUMIFS($E$6:$E197,$B$6:$B197,$B197))</x:f>
      </x:c>
      <x:c r="I197" s="36"/>
    </x:row>
    <x:row r="198">
      <x:c r="A198" s="36"/>
      <x:c r="B198" s="36"/>
      <x:c r="C198" s="36"/>
      <x:c r="D198" s="37"/>
      <x:c r="E198" s="37"/>
      <x:c r="F198" s="63" t="str">
        <x:f>IF($A198="","",$E198-$D198)</x:f>
      </x:c>
      <x:c r="G198" s="65" t="str">
        <x:f>IF($A198="","",IFERROR($E198/$D198,0))</x:f>
      </x:c>
      <x:c r="H198" s="63" t="str">
        <x:f>IF($A198="","",SUMIFS($E$6:$E198,$B$6:$B198,$B198))</x:f>
      </x:c>
      <x:c r="I198" s="36"/>
    </x:row>
    <x:row r="199">
      <x:c r="A199" s="36"/>
      <x:c r="B199" s="36"/>
      <x:c r="C199" s="36"/>
      <x:c r="D199" s="37"/>
      <x:c r="E199" s="37"/>
      <x:c r="F199" s="63" t="str">
        <x:f>IF($A199="","",$E199-$D199)</x:f>
      </x:c>
      <x:c r="G199" s="65" t="str">
        <x:f>IF($A199="","",IFERROR($E199/$D199,0))</x:f>
      </x:c>
      <x:c r="H199" s="63" t="str">
        <x:f>IF($A199="","",SUMIFS($E$6:$E199,$B$6:$B199,$B199))</x:f>
      </x:c>
      <x:c r="I199" s="36"/>
    </x:row>
    <x:row r="200">
      <x:c r="A200" s="36"/>
      <x:c r="B200" s="36"/>
      <x:c r="C200" s="36"/>
      <x:c r="D200" s="37"/>
      <x:c r="E200" s="37"/>
      <x:c r="F200" s="63" t="str">
        <x:f>IF($A200="","",$E200-$D200)</x:f>
      </x:c>
      <x:c r="G200" s="65" t="str">
        <x:f>IF($A200="","",IFERROR($E200/$D200,0))</x:f>
      </x:c>
      <x:c r="H200" s="63" t="str">
        <x:f>IF($A200="","",SUMIFS($E$6:$E200,$B$6:$B200,$B200))</x:f>
      </x:c>
      <x:c r="I200" s="36"/>
    </x:row>
    <x:row r="201">
      <x:c r="A201" s="36"/>
      <x:c r="B201" s="36"/>
      <x:c r="C201" s="36"/>
      <x:c r="D201" s="37"/>
      <x:c r="E201" s="37"/>
      <x:c r="F201" s="63" t="str">
        <x:f>IF($A201="","",$E201-$D201)</x:f>
      </x:c>
      <x:c r="G201" s="65" t="str">
        <x:f>IF($A201="","",IFERROR($E201/$D201,0))</x:f>
      </x:c>
      <x:c r="H201" s="63" t="str">
        <x:f>IF($A201="","",SUMIFS($E$6:$E201,$B$6:$B201,$B201))</x:f>
      </x:c>
      <x:c r="I201" s="36"/>
    </x:row>
    <x:row r="202">
      <x:c r="A202" s="36"/>
      <x:c r="B202" s="36"/>
      <x:c r="C202" s="36"/>
      <x:c r="D202" s="37"/>
      <x:c r="E202" s="37"/>
      <x:c r="F202" s="63" t="str">
        <x:f>IF($A202="","",$E202-$D202)</x:f>
      </x:c>
      <x:c r="G202" s="65" t="str">
        <x:f>IF($A202="","",IFERROR($E202/$D202,0))</x:f>
      </x:c>
      <x:c r="H202" s="63" t="str">
        <x:f>IF($A202="","",SUMIFS($E$6:$E202,$B$6:$B202,$B202))</x:f>
      </x:c>
      <x:c r="I202" s="36"/>
    </x:row>
    <x:row r="203">
      <x:c r="A203" s="36"/>
      <x:c r="B203" s="36"/>
      <x:c r="C203" s="36"/>
      <x:c r="D203" s="37"/>
      <x:c r="E203" s="37"/>
      <x:c r="F203" s="63" t="str">
        <x:f>IF($A203="","",$E203-$D203)</x:f>
      </x:c>
      <x:c r="G203" s="65" t="str">
        <x:f>IF($A203="","",IFERROR($E203/$D203,0))</x:f>
      </x:c>
      <x:c r="H203" s="63" t="str">
        <x:f>IF($A203="","",SUMIFS($E$6:$E203,$B$6:$B203,$B203))</x:f>
      </x:c>
      <x:c r="I203" s="36"/>
    </x:row>
    <x:row r="204">
      <x:c r="A204" s="36"/>
      <x:c r="B204" s="36"/>
      <x:c r="C204" s="36"/>
      <x:c r="D204" s="37"/>
      <x:c r="E204" s="37"/>
      <x:c r="F204" s="63" t="str">
        <x:f>IF($A204="","",$E204-$D204)</x:f>
      </x:c>
      <x:c r="G204" s="65" t="str">
        <x:f>IF($A204="","",IFERROR($E204/$D204,0))</x:f>
      </x:c>
      <x:c r="H204" s="63" t="str">
        <x:f>IF($A204="","",SUMIFS($E$6:$E204,$B$6:$B204,$B204))</x:f>
      </x:c>
      <x:c r="I204" s="36"/>
    </x:row>
    <x:row r="205">
      <x:c r="A205" s="36"/>
      <x:c r="B205" s="36"/>
      <x:c r="C205" s="36"/>
      <x:c r="D205" s="37"/>
      <x:c r="E205" s="37"/>
      <x:c r="F205" s="63" t="str">
        <x:f>IF($A205="","",$E205-$D205)</x:f>
      </x:c>
      <x:c r="G205" s="65" t="str">
        <x:f>IF($A205="","",IFERROR($E205/$D205,0))</x:f>
      </x:c>
      <x:c r="H205" s="63" t="str">
        <x:f>IF($A205="","",SUMIFS($E$6:$E205,$B$6:$B205,$B205))</x:f>
      </x:c>
      <x:c r="I205" s="36"/>
    </x:row>
  </x:sheetData>
  <x:mergeCells>
    <x:mergeCell ref="A1:I1"/>
    <x:mergeCell ref="A2:I2"/>
    <x:mergeCell ref="A3:I3"/>
  </x:mergeCells>
  <x:conditionalFormatting sqref="G6:G205">
    <x:cfRule type="dataBar" priority="1">
      <x:dataBar>
        <x:cfvo type="min"/>
        <x:cfvo type="max"/>
        <x:color rgb="FF2F9E65"/>
      </x:dataBar>
    </x:cfRule>
  </x:conditionalFormatting>
  <x:conditionalFormatting sqref="F6:F205">
    <x:cfRule type="cellIs" dxfId="15" priority="2" operator="lessThan">
      <x:formula>0</x:formula>
    </x:cfRule>
  </x:conditionalFormatting>
  <x:dataValidations count="2">
    <x:dataValidation type="list" sqref="B6:B205">
      <x:formula1>'Base de Categorias'!$A$2:$A$4</x:formula1>
    </x:dataValidation>
    <x:dataValidation type="list" sqref="C6:C205">
      <x:formula1>'Planejamento de Viagens'!$A$6:$A$205</x:formula1>
    </x:dataValidation>
  </x:dataValidations>
  <x:pageMargins left="0.7" right="0.7" top="0.75" bottom="0.75" header="0.3" footer="0.3"/>
  <x:drawing xmlns:r="http://schemas.openxmlformats.org/officeDocument/2006/relationships" r:id="R0aa43e1f136b489c"/>
  <x:tableParts count="1">
    <x:tablePart xmlns:r="http://schemas.openxmlformats.org/officeDocument/2006/relationships" r:id="R03dad5940f8144a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31.25" hidden="0" customWidth="1"/>
    <x:col min="3" max="3" width="23.1299991607666" hidden="0" customWidth="1"/>
    <x:col min="4" max="4" width="15" hidden="0" customWidth="1"/>
    <x:col min="5" max="5" width="15.630000114440918" hidden="0" customWidth="1"/>
    <x:col min="6" max="6" width="15" hidden="0" customWidth="1"/>
    <x:col min="7" max="7" width="13.75" hidden="0" customWidth="1"/>
    <x:col min="8" max="8" width="16.25" hidden="0" customWidth="1"/>
    <x:col min="9" max="9" width="15" hidden="0" customWidth="1"/>
    <x:col min="10" max="10" width="19.3799991607666" hidden="0" customWidth="1"/>
    <x:col min="11" max="11" width="15.630000114440918" hidden="0" customWidth="1"/>
    <x:col min="12" max="12" width="30" hidden="0" customWidth="1"/>
  </x:cols>
  <x:sheetData>
    <x:row r="1" ht="25.5" customHeight="1">
      <x:c r="A1" s="4" t="str">
        <x:v>Parcelamentos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1" customHeight="1">
      <x:c r="A2" s="9" t="str">
        <x:v>Controle parcelas, vencimentos e impacto mensal de compras feitas para as viagens.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 ht="22.5" customHeight="1">
      <x:c r="A3" s="47" t="str">
        <x:v>Células em azul são preenchidas manualmente. Células em cinza são calculadas automaticamente.</x:v>
      </x:c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9"/>
    </x:row>
    <x:row r="5">
      <x:c r="A5" s="107" t="str">
        <x:v>ID da viagem</x:v>
      </x:c>
      <x:c r="B5" s="107" t="str">
        <x:v>Gasto relacionado</x:v>
      </x:c>
      <x:c r="C5" s="107" t="str">
        <x:v>Pessoa responsável</x:v>
      </x:c>
      <x:c r="D5" s="107" t="str">
        <x:v>Valor total</x:v>
      </x:c>
      <x:c r="E5" s="107" t="str">
        <x:v>Número de parcelas</x:v>
      </x:c>
      <x:c r="F5" s="107" t="str">
        <x:v>Valor da parcela</x:v>
      </x:c>
      <x:c r="G5" s="107" t="str">
        <x:v>Parcela atual</x:v>
      </x:c>
      <x:c r="H5" s="107" t="str">
        <x:v>Data de vencimento</x:v>
      </x:c>
      <x:c r="I5" s="107" t="str">
        <x:v>Status</x:v>
      </x:c>
      <x:c r="J5" s="107" t="str">
        <x:v>Forma de pagamento</x:v>
      </x:c>
      <x:c r="K5" s="107" t="str">
        <x:v>Impacto mensal</x:v>
      </x:c>
      <x:c r="L5" s="107" t="str">
        <x:v>Observações</x:v>
      </x:c>
    </x:row>
    <x:row r="6">
      <x:c r="A6" s="36" t="str">
        <x:v>V001</x:v>
      </x:c>
      <x:c r="B6" s="36" t="str">
        <x:v>Passagem aérea Camilly</x:v>
      </x:c>
      <x:c r="C6" s="36" t="str">
        <x:v>Camilly Queiroz</x:v>
      </x:c>
      <x:c r="D6" s="37" t="n">
        <x:v>1320</x:v>
      </x:c>
      <x:c r="E6" s="36" t="n">
        <x:v>3</x:v>
      </x:c>
      <x:c r="F6" s="63" t="n">
        <x:f>IF($A6="","",IFERROR($D6/MAX($E6,1),$D6))</x:f>
        <x:v>440</x:v>
      </x:c>
      <x:c r="G6" s="36" t="n">
        <x:v>1</x:v>
      </x:c>
      <x:c r="H6" s="59" t="n">
        <x:v>46193</x:v>
      </x:c>
      <x:c r="I6" s="36" t="str">
        <x:v>Pendente</x:v>
      </x:c>
      <x:c r="J6" s="36" t="str">
        <x:v>Cartão de crédito</x:v>
      </x:c>
      <x:c r="K6" s="63" t="n">
        <x:f>IF($A6="","",$F6)</x:f>
        <x:v>440</x:v>
      </x:c>
      <x:c r="L6" s="36" t="str"/>
    </x:row>
    <x:row r="7">
      <x:c r="A7" s="36" t="str">
        <x:v>V001</x:v>
      </x:c>
      <x:c r="B7" s="36" t="str">
        <x:v>Passagem aérea Camilly</x:v>
      </x:c>
      <x:c r="C7" s="36" t="str">
        <x:v>Camilly Queiroz</x:v>
      </x:c>
      <x:c r="D7" s="37" t="n">
        <x:v>1320</x:v>
      </x:c>
      <x:c r="E7" s="36" t="n">
        <x:v>3</x:v>
      </x:c>
      <x:c r="F7" s="63" t="n">
        <x:f>IF($A7="","",IFERROR($D7/MAX($E7,1),$D7))</x:f>
        <x:v>440</x:v>
      </x:c>
      <x:c r="G7" s="36" t="n">
        <x:v>2</x:v>
      </x:c>
      <x:c r="H7" s="59" t="n">
        <x:v>46223</x:v>
      </x:c>
      <x:c r="I7" s="36" t="str">
        <x:v>Pendente</x:v>
      </x:c>
      <x:c r="J7" s="36" t="str">
        <x:v>Cartão de crédito</x:v>
      </x:c>
      <x:c r="K7" s="63" t="n">
        <x:f>IF($A7="","",$F7)</x:f>
        <x:v>440</x:v>
      </x:c>
      <x:c r="L7" s="36" t="str"/>
    </x:row>
    <x:row r="8">
      <x:c r="A8" s="36" t="str">
        <x:v>V001</x:v>
      </x:c>
      <x:c r="B8" s="36" t="str">
        <x:v>Passagem aérea Camilly</x:v>
      </x:c>
      <x:c r="C8" s="36" t="str">
        <x:v>Camilly Queiroz</x:v>
      </x:c>
      <x:c r="D8" s="37" t="n">
        <x:v>1320</x:v>
      </x:c>
      <x:c r="E8" s="36" t="n">
        <x:v>3</x:v>
      </x:c>
      <x:c r="F8" s="63" t="n">
        <x:f>IF($A8="","",IFERROR($D8/MAX($E8,1),$D8))</x:f>
        <x:v>440</x:v>
      </x:c>
      <x:c r="G8" s="36" t="n">
        <x:v>3</x:v>
      </x:c>
      <x:c r="H8" s="59" t="n">
        <x:v>46254</x:v>
      </x:c>
      <x:c r="I8" s="36" t="str">
        <x:v>Pendente</x:v>
      </x:c>
      <x:c r="J8" s="36" t="str">
        <x:v>Cartão de crédito</x:v>
      </x:c>
      <x:c r="K8" s="63" t="n">
        <x:f>IF($A8="","",$F8)</x:f>
        <x:v>440</x:v>
      </x:c>
      <x:c r="L8" s="36" t="str"/>
    </x:row>
    <x:row r="9">
      <x:c r="A9" s="36" t="str">
        <x:v>V002</x:v>
      </x:c>
      <x:c r="B9" s="36" t="str">
        <x:v>Airbnb Pedro visitando Camilly</x:v>
      </x:c>
      <x:c r="C9" s="36" t="str">
        <x:v>Camilly Queiroz</x:v>
      </x:c>
      <x:c r="D9" s="37" t="n">
        <x:v>860</x:v>
      </x:c>
      <x:c r="E9" s="36" t="n">
        <x:v>2</x:v>
      </x:c>
      <x:c r="F9" s="63" t="n">
        <x:f>IF($A9="","",IFERROR($D9/MAX($E9,1),$D9))</x:f>
        <x:v>430</x:v>
      </x:c>
      <x:c r="G9" s="36" t="n">
        <x:v>1</x:v>
      </x:c>
      <x:c r="H9" s="59" t="n">
        <x:v>46213</x:v>
      </x:c>
      <x:c r="I9" s="36" t="str">
        <x:v>Pendente</x:v>
      </x:c>
      <x:c r="J9" s="36" t="str">
        <x:v>Cartão de crédito</x:v>
      </x:c>
      <x:c r="K9" s="63" t="n">
        <x:f>IF($A9="","",$F9)</x:f>
        <x:v>430</x:v>
      </x:c>
      <x:c r="L9" s="36" t="str"/>
    </x:row>
    <x:row r="10">
      <x:c r="A10" s="36" t="str">
        <x:v>V002</x:v>
      </x:c>
      <x:c r="B10" s="36" t="str">
        <x:v>Airbnb Pedro visitando Camilly</x:v>
      </x:c>
      <x:c r="C10" s="36" t="str">
        <x:v>Camilly Queiroz</x:v>
      </x:c>
      <x:c r="D10" s="37" t="n">
        <x:v>860</x:v>
      </x:c>
      <x:c r="E10" s="36" t="n">
        <x:v>2</x:v>
      </x:c>
      <x:c r="F10" s="63" t="n">
        <x:f>IF($A10="","",IFERROR($D10/MAX($E10,1),$D10))</x:f>
        <x:v>430</x:v>
      </x:c>
      <x:c r="G10" s="36" t="n">
        <x:v>2</x:v>
      </x:c>
      <x:c r="H10" s="59" t="n">
        <x:v>46244</x:v>
      </x:c>
      <x:c r="I10" s="36" t="str">
        <x:v>Pendente</x:v>
      </x:c>
      <x:c r="J10" s="36" t="str">
        <x:v>Cartão de crédito</x:v>
      </x:c>
      <x:c r="K10" s="63" t="n">
        <x:f>IF($A10="","",$F10)</x:f>
        <x:v>430</x:v>
      </x:c>
      <x:c r="L10" s="36" t="str"/>
    </x:row>
    <x:row r="11">
      <x:c r="A11" s="36" t="str">
        <x:v>V003</x:v>
      </x:c>
      <x:c r="B11" s="36" t="str">
        <x:v>Hotel Recife</x:v>
      </x:c>
      <x:c r="C11" s="36" t="str">
        <x:v>Camilly Queiroz</x:v>
      </x:c>
      <x:c r="D11" s="37" t="n">
        <x:v>640</x:v>
      </x:c>
      <x:c r="E11" s="36" t="n">
        <x:v>2</x:v>
      </x:c>
      <x:c r="F11" s="63" t="n">
        <x:f>IF($A11="","",IFERROR($D11/MAX($E11,1),$D11))</x:f>
        <x:v>320</x:v>
      </x:c>
      <x:c r="G11" s="36" t="n">
        <x:v>2</x:v>
      </x:c>
      <x:c r="H11" s="59" t="n">
        <x:v>46183</x:v>
      </x:c>
      <x:c r="I11" s="36" t="str">
        <x:v>Concluído</x:v>
      </x:c>
      <x:c r="J11" s="36" t="str">
        <x:v>Cartão de crédito</x:v>
      </x:c>
      <x:c r="K11" s="63" t="n">
        <x:f>IF($A11="","",$F11)</x:f>
        <x:v>320</x:v>
      </x:c>
      <x:c r="L11" s="36" t="str"/>
    </x:row>
    <x:row r="12">
      <x:c r="A12" s="36"/>
      <x:c r="B12" s="36"/>
      <x:c r="C12" s="36"/>
      <x:c r="D12" s="37"/>
      <x:c r="E12" s="36"/>
      <x:c r="F12" s="63" t="str">
        <x:f>IF($A12="","",IFERROR($D12/MAX($E12,1),$D12))</x:f>
      </x:c>
      <x:c r="G12" s="36"/>
      <x:c r="H12" s="59"/>
      <x:c r="I12" s="36"/>
      <x:c r="J12" s="36"/>
      <x:c r="K12" s="63" t="str">
        <x:f>IF($A12="","",$F12)</x:f>
      </x:c>
      <x:c r="L12" s="36"/>
    </x:row>
    <x:row r="13">
      <x:c r="A13" s="36"/>
      <x:c r="B13" s="36"/>
      <x:c r="C13" s="36"/>
      <x:c r="D13" s="37"/>
      <x:c r="E13" s="36"/>
      <x:c r="F13" s="63" t="str">
        <x:f>IF($A13="","",IFERROR($D13/MAX($E13,1),$D13))</x:f>
      </x:c>
      <x:c r="G13" s="36"/>
      <x:c r="H13" s="59"/>
      <x:c r="I13" s="36"/>
      <x:c r="J13" s="36"/>
      <x:c r="K13" s="63" t="str">
        <x:f>IF($A13="","",$F13)</x:f>
      </x:c>
      <x:c r="L13" s="36"/>
    </x:row>
    <x:row r="14">
      <x:c r="A14" s="36"/>
      <x:c r="B14" s="36"/>
      <x:c r="C14" s="36"/>
      <x:c r="D14" s="37"/>
      <x:c r="E14" s="36"/>
      <x:c r="F14" s="63" t="str">
        <x:f>IF($A14="","",IFERROR($D14/MAX($E14,1),$D14))</x:f>
      </x:c>
      <x:c r="G14" s="36"/>
      <x:c r="H14" s="59"/>
      <x:c r="I14" s="36"/>
      <x:c r="J14" s="36"/>
      <x:c r="K14" s="63" t="str">
        <x:f>IF($A14="","",$F14)</x:f>
      </x:c>
      <x:c r="L14" s="36"/>
    </x:row>
    <x:row r="15">
      <x:c r="A15" s="36"/>
      <x:c r="B15" s="36"/>
      <x:c r="C15" s="36"/>
      <x:c r="D15" s="37"/>
      <x:c r="E15" s="36"/>
      <x:c r="F15" s="63" t="str">
        <x:f>IF($A15="","",IFERROR($D15/MAX($E15,1),$D15))</x:f>
      </x:c>
      <x:c r="G15" s="36"/>
      <x:c r="H15" s="59"/>
      <x:c r="I15" s="36"/>
      <x:c r="J15" s="36"/>
      <x:c r="K15" s="63" t="str">
        <x:f>IF($A15="","",$F15)</x:f>
      </x:c>
      <x:c r="L15" s="36"/>
    </x:row>
    <x:row r="16">
      <x:c r="A16" s="36"/>
      <x:c r="B16" s="36"/>
      <x:c r="C16" s="36"/>
      <x:c r="D16" s="37"/>
      <x:c r="E16" s="36"/>
      <x:c r="F16" s="63" t="str">
        <x:f>IF($A16="","",IFERROR($D16/MAX($E16,1),$D16))</x:f>
      </x:c>
      <x:c r="G16" s="36"/>
      <x:c r="H16" s="59"/>
      <x:c r="I16" s="36"/>
      <x:c r="J16" s="36"/>
      <x:c r="K16" s="63" t="str">
        <x:f>IF($A16="","",$F16)</x:f>
      </x:c>
      <x:c r="L16" s="36"/>
    </x:row>
    <x:row r="17">
      <x:c r="A17" s="36"/>
      <x:c r="B17" s="36"/>
      <x:c r="C17" s="36"/>
      <x:c r="D17" s="37"/>
      <x:c r="E17" s="36"/>
      <x:c r="F17" s="63" t="str">
        <x:f>IF($A17="","",IFERROR($D17/MAX($E17,1),$D17))</x:f>
      </x:c>
      <x:c r="G17" s="36"/>
      <x:c r="H17" s="59"/>
      <x:c r="I17" s="36"/>
      <x:c r="J17" s="36"/>
      <x:c r="K17" s="63" t="str">
        <x:f>IF($A17="","",$F17)</x:f>
      </x:c>
      <x:c r="L17" s="36"/>
    </x:row>
    <x:row r="18">
      <x:c r="A18" s="36"/>
      <x:c r="B18" s="36"/>
      <x:c r="C18" s="36"/>
      <x:c r="D18" s="37"/>
      <x:c r="E18" s="36"/>
      <x:c r="F18" s="63" t="str">
        <x:f>IF($A18="","",IFERROR($D18/MAX($E18,1),$D18))</x:f>
      </x:c>
      <x:c r="G18" s="36"/>
      <x:c r="H18" s="59"/>
      <x:c r="I18" s="36"/>
      <x:c r="J18" s="36"/>
      <x:c r="K18" s="63" t="str">
        <x:f>IF($A18="","",$F18)</x:f>
      </x:c>
      <x:c r="L18" s="36"/>
    </x:row>
    <x:row r="19">
      <x:c r="A19" s="36"/>
      <x:c r="B19" s="36"/>
      <x:c r="C19" s="36"/>
      <x:c r="D19" s="37"/>
      <x:c r="E19" s="36"/>
      <x:c r="F19" s="63" t="str">
        <x:f>IF($A19="","",IFERROR($D19/MAX($E19,1),$D19))</x:f>
      </x:c>
      <x:c r="G19" s="36"/>
      <x:c r="H19" s="59"/>
      <x:c r="I19" s="36"/>
      <x:c r="J19" s="36"/>
      <x:c r="K19" s="63" t="str">
        <x:f>IF($A19="","",$F19)</x:f>
      </x:c>
      <x:c r="L19" s="36"/>
    </x:row>
    <x:row r="20">
      <x:c r="A20" s="36"/>
      <x:c r="B20" s="36"/>
      <x:c r="C20" s="36"/>
      <x:c r="D20" s="37"/>
      <x:c r="E20" s="36"/>
      <x:c r="F20" s="63" t="str">
        <x:f>IF($A20="","",IFERROR($D20/MAX($E20,1),$D20))</x:f>
      </x:c>
      <x:c r="G20" s="36"/>
      <x:c r="H20" s="59"/>
      <x:c r="I20" s="36"/>
      <x:c r="J20" s="36"/>
      <x:c r="K20" s="63" t="str">
        <x:f>IF($A20="","",$F20)</x:f>
      </x:c>
      <x:c r="L20" s="36"/>
    </x:row>
    <x:row r="21">
      <x:c r="A21" s="36"/>
      <x:c r="B21" s="36"/>
      <x:c r="C21" s="36"/>
      <x:c r="D21" s="37"/>
      <x:c r="E21" s="36"/>
      <x:c r="F21" s="63" t="str">
        <x:f>IF($A21="","",IFERROR($D21/MAX($E21,1),$D21))</x:f>
      </x:c>
      <x:c r="G21" s="36"/>
      <x:c r="H21" s="59"/>
      <x:c r="I21" s="36"/>
      <x:c r="J21" s="36"/>
      <x:c r="K21" s="63" t="str">
        <x:f>IF($A21="","",$F21)</x:f>
      </x:c>
      <x:c r="L21" s="36"/>
    </x:row>
    <x:row r="22">
      <x:c r="A22" s="36"/>
      <x:c r="B22" s="36"/>
      <x:c r="C22" s="36"/>
      <x:c r="D22" s="37"/>
      <x:c r="E22" s="36"/>
      <x:c r="F22" s="63" t="str">
        <x:f>IF($A22="","",IFERROR($D22/MAX($E22,1),$D22))</x:f>
      </x:c>
      <x:c r="G22" s="36"/>
      <x:c r="H22" s="59"/>
      <x:c r="I22" s="36"/>
      <x:c r="J22" s="36"/>
      <x:c r="K22" s="63" t="str">
        <x:f>IF($A22="","",$F22)</x:f>
      </x:c>
      <x:c r="L22" s="36"/>
    </x:row>
    <x:row r="23">
      <x:c r="A23" s="36"/>
      <x:c r="B23" s="36"/>
      <x:c r="C23" s="36"/>
      <x:c r="D23" s="37"/>
      <x:c r="E23" s="36"/>
      <x:c r="F23" s="63" t="str">
        <x:f>IF($A23="","",IFERROR($D23/MAX($E23,1),$D23))</x:f>
      </x:c>
      <x:c r="G23" s="36"/>
      <x:c r="H23" s="59"/>
      <x:c r="I23" s="36"/>
      <x:c r="J23" s="36"/>
      <x:c r="K23" s="63" t="str">
        <x:f>IF($A23="","",$F23)</x:f>
      </x:c>
      <x:c r="L23" s="36"/>
    </x:row>
    <x:row r="24">
      <x:c r="A24" s="36"/>
      <x:c r="B24" s="36"/>
      <x:c r="C24" s="36"/>
      <x:c r="D24" s="37"/>
      <x:c r="E24" s="36"/>
      <x:c r="F24" s="63" t="str">
        <x:f>IF($A24="","",IFERROR($D24/MAX($E24,1),$D24))</x:f>
      </x:c>
      <x:c r="G24" s="36"/>
      <x:c r="H24" s="59"/>
      <x:c r="I24" s="36"/>
      <x:c r="J24" s="36"/>
      <x:c r="K24" s="63" t="str">
        <x:f>IF($A24="","",$F24)</x:f>
      </x:c>
      <x:c r="L24" s="36"/>
    </x:row>
    <x:row r="25">
      <x:c r="A25" s="36"/>
      <x:c r="B25" s="36"/>
      <x:c r="C25" s="36"/>
      <x:c r="D25" s="37"/>
      <x:c r="E25" s="36"/>
      <x:c r="F25" s="63" t="str">
        <x:f>IF($A25="","",IFERROR($D25/MAX($E25,1),$D25))</x:f>
      </x:c>
      <x:c r="G25" s="36"/>
      <x:c r="H25" s="59"/>
      <x:c r="I25" s="36"/>
      <x:c r="J25" s="36"/>
      <x:c r="K25" s="63" t="str">
        <x:f>IF($A25="","",$F25)</x:f>
      </x:c>
      <x:c r="L25" s="36"/>
    </x:row>
    <x:row r="26">
      <x:c r="A26" s="36"/>
      <x:c r="B26" s="36"/>
      <x:c r="C26" s="36"/>
      <x:c r="D26" s="37"/>
      <x:c r="E26" s="36"/>
      <x:c r="F26" s="63" t="str">
        <x:f>IF($A26="","",IFERROR($D26/MAX($E26,1),$D26))</x:f>
      </x:c>
      <x:c r="G26" s="36"/>
      <x:c r="H26" s="59"/>
      <x:c r="I26" s="36"/>
      <x:c r="J26" s="36"/>
      <x:c r="K26" s="63" t="str">
        <x:f>IF($A26="","",$F26)</x:f>
      </x:c>
      <x:c r="L26" s="36"/>
    </x:row>
    <x:row r="27">
      <x:c r="A27" s="36"/>
      <x:c r="B27" s="36"/>
      <x:c r="C27" s="36"/>
      <x:c r="D27" s="37"/>
      <x:c r="E27" s="36"/>
      <x:c r="F27" s="63" t="str">
        <x:f>IF($A27="","",IFERROR($D27/MAX($E27,1),$D27))</x:f>
      </x:c>
      <x:c r="G27" s="36"/>
      <x:c r="H27" s="59"/>
      <x:c r="I27" s="36"/>
      <x:c r="J27" s="36"/>
      <x:c r="K27" s="63" t="str">
        <x:f>IF($A27="","",$F27)</x:f>
      </x:c>
      <x:c r="L27" s="36"/>
    </x:row>
    <x:row r="28">
      <x:c r="A28" s="36"/>
      <x:c r="B28" s="36"/>
      <x:c r="C28" s="36"/>
      <x:c r="D28" s="37"/>
      <x:c r="E28" s="36"/>
      <x:c r="F28" s="63" t="str">
        <x:f>IF($A28="","",IFERROR($D28/MAX($E28,1),$D28))</x:f>
      </x:c>
      <x:c r="G28" s="36"/>
      <x:c r="H28" s="59"/>
      <x:c r="I28" s="36"/>
      <x:c r="J28" s="36"/>
      <x:c r="K28" s="63" t="str">
        <x:f>IF($A28="","",$F28)</x:f>
      </x:c>
      <x:c r="L28" s="36"/>
    </x:row>
    <x:row r="29">
      <x:c r="A29" s="36"/>
      <x:c r="B29" s="36"/>
      <x:c r="C29" s="36"/>
      <x:c r="D29" s="37"/>
      <x:c r="E29" s="36"/>
      <x:c r="F29" s="63" t="str">
        <x:f>IF($A29="","",IFERROR($D29/MAX($E29,1),$D29))</x:f>
      </x:c>
      <x:c r="G29" s="36"/>
      <x:c r="H29" s="59"/>
      <x:c r="I29" s="36"/>
      <x:c r="J29" s="36"/>
      <x:c r="K29" s="63" t="str">
        <x:f>IF($A29="","",$F29)</x:f>
      </x:c>
      <x:c r="L29" s="36"/>
    </x:row>
    <x:row r="30">
      <x:c r="A30" s="36"/>
      <x:c r="B30" s="36"/>
      <x:c r="C30" s="36"/>
      <x:c r="D30" s="37"/>
      <x:c r="E30" s="36"/>
      <x:c r="F30" s="63" t="str">
        <x:f>IF($A30="","",IFERROR($D30/MAX($E30,1),$D30))</x:f>
      </x:c>
      <x:c r="G30" s="36"/>
      <x:c r="H30" s="59"/>
      <x:c r="I30" s="36"/>
      <x:c r="J30" s="36"/>
      <x:c r="K30" s="63" t="str">
        <x:f>IF($A30="","",$F30)</x:f>
      </x:c>
      <x:c r="L30" s="36"/>
    </x:row>
    <x:row r="31">
      <x:c r="A31" s="36"/>
      <x:c r="B31" s="36"/>
      <x:c r="C31" s="36"/>
      <x:c r="D31" s="37"/>
      <x:c r="E31" s="36"/>
      <x:c r="F31" s="63" t="str">
        <x:f>IF($A31="","",IFERROR($D31/MAX($E31,1),$D31))</x:f>
      </x:c>
      <x:c r="G31" s="36"/>
      <x:c r="H31" s="59"/>
      <x:c r="I31" s="36"/>
      <x:c r="J31" s="36"/>
      <x:c r="K31" s="63" t="str">
        <x:f>IF($A31="","",$F31)</x:f>
      </x:c>
      <x:c r="L31" s="36"/>
    </x:row>
    <x:row r="32">
      <x:c r="A32" s="36"/>
      <x:c r="B32" s="36"/>
      <x:c r="C32" s="36"/>
      <x:c r="D32" s="37"/>
      <x:c r="E32" s="36"/>
      <x:c r="F32" s="63" t="str">
        <x:f>IF($A32="","",IFERROR($D32/MAX($E32,1),$D32))</x:f>
      </x:c>
      <x:c r="G32" s="36"/>
      <x:c r="H32" s="59"/>
      <x:c r="I32" s="36"/>
      <x:c r="J32" s="36"/>
      <x:c r="K32" s="63" t="str">
        <x:f>IF($A32="","",$F32)</x:f>
      </x:c>
      <x:c r="L32" s="36"/>
    </x:row>
    <x:row r="33">
      <x:c r="A33" s="36"/>
      <x:c r="B33" s="36"/>
      <x:c r="C33" s="36"/>
      <x:c r="D33" s="37"/>
      <x:c r="E33" s="36"/>
      <x:c r="F33" s="63" t="str">
        <x:f>IF($A33="","",IFERROR($D33/MAX($E33,1),$D33))</x:f>
      </x:c>
      <x:c r="G33" s="36"/>
      <x:c r="H33" s="59"/>
      <x:c r="I33" s="36"/>
      <x:c r="J33" s="36"/>
      <x:c r="K33" s="63" t="str">
        <x:f>IF($A33="","",$F33)</x:f>
      </x:c>
      <x:c r="L33" s="36"/>
    </x:row>
    <x:row r="34">
      <x:c r="A34" s="36"/>
      <x:c r="B34" s="36"/>
      <x:c r="C34" s="36"/>
      <x:c r="D34" s="37"/>
      <x:c r="E34" s="36"/>
      <x:c r="F34" s="63" t="str">
        <x:f>IF($A34="","",IFERROR($D34/MAX($E34,1),$D34))</x:f>
      </x:c>
      <x:c r="G34" s="36"/>
      <x:c r="H34" s="59"/>
      <x:c r="I34" s="36"/>
      <x:c r="J34" s="36"/>
      <x:c r="K34" s="63" t="str">
        <x:f>IF($A34="","",$F34)</x:f>
      </x:c>
      <x:c r="L34" s="36"/>
    </x:row>
    <x:row r="35">
      <x:c r="A35" s="36"/>
      <x:c r="B35" s="36"/>
      <x:c r="C35" s="36"/>
      <x:c r="D35" s="37"/>
      <x:c r="E35" s="36"/>
      <x:c r="F35" s="63" t="str">
        <x:f>IF($A35="","",IFERROR($D35/MAX($E35,1),$D35))</x:f>
      </x:c>
      <x:c r="G35" s="36"/>
      <x:c r="H35" s="59"/>
      <x:c r="I35" s="36"/>
      <x:c r="J35" s="36"/>
      <x:c r="K35" s="63" t="str">
        <x:f>IF($A35="","",$F35)</x:f>
      </x:c>
      <x:c r="L35" s="36"/>
    </x:row>
    <x:row r="36">
      <x:c r="A36" s="36"/>
      <x:c r="B36" s="36"/>
      <x:c r="C36" s="36"/>
      <x:c r="D36" s="37"/>
      <x:c r="E36" s="36"/>
      <x:c r="F36" s="63" t="str">
        <x:f>IF($A36="","",IFERROR($D36/MAX($E36,1),$D36))</x:f>
      </x:c>
      <x:c r="G36" s="36"/>
      <x:c r="H36" s="59"/>
      <x:c r="I36" s="36"/>
      <x:c r="J36" s="36"/>
      <x:c r="K36" s="63" t="str">
        <x:f>IF($A36="","",$F36)</x:f>
      </x:c>
      <x:c r="L36" s="36"/>
    </x:row>
    <x:row r="37">
      <x:c r="A37" s="36"/>
      <x:c r="B37" s="36"/>
      <x:c r="C37" s="36"/>
      <x:c r="D37" s="37"/>
      <x:c r="E37" s="36"/>
      <x:c r="F37" s="63" t="str">
        <x:f>IF($A37="","",IFERROR($D37/MAX($E37,1),$D37))</x:f>
      </x:c>
      <x:c r="G37" s="36"/>
      <x:c r="H37" s="59"/>
      <x:c r="I37" s="36"/>
      <x:c r="J37" s="36"/>
      <x:c r="K37" s="63" t="str">
        <x:f>IF($A37="","",$F37)</x:f>
      </x:c>
      <x:c r="L37" s="36"/>
    </x:row>
    <x:row r="38">
      <x:c r="A38" s="36"/>
      <x:c r="B38" s="36"/>
      <x:c r="C38" s="36"/>
      <x:c r="D38" s="37"/>
      <x:c r="E38" s="36"/>
      <x:c r="F38" s="63" t="str">
        <x:f>IF($A38="","",IFERROR($D38/MAX($E38,1),$D38))</x:f>
      </x:c>
      <x:c r="G38" s="36"/>
      <x:c r="H38" s="59"/>
      <x:c r="I38" s="36"/>
      <x:c r="J38" s="36"/>
      <x:c r="K38" s="63" t="str">
        <x:f>IF($A38="","",$F38)</x:f>
      </x:c>
      <x:c r="L38" s="36"/>
    </x:row>
    <x:row r="39">
      <x:c r="A39" s="36"/>
      <x:c r="B39" s="36"/>
      <x:c r="C39" s="36"/>
      <x:c r="D39" s="37"/>
      <x:c r="E39" s="36"/>
      <x:c r="F39" s="63" t="str">
        <x:f>IF($A39="","",IFERROR($D39/MAX($E39,1),$D39))</x:f>
      </x:c>
      <x:c r="G39" s="36"/>
      <x:c r="H39" s="59"/>
      <x:c r="I39" s="36"/>
      <x:c r="J39" s="36"/>
      <x:c r="K39" s="63" t="str">
        <x:f>IF($A39="","",$F39)</x:f>
      </x:c>
      <x:c r="L39" s="36"/>
    </x:row>
    <x:row r="40">
      <x:c r="A40" s="36"/>
      <x:c r="B40" s="36"/>
      <x:c r="C40" s="36"/>
      <x:c r="D40" s="37"/>
      <x:c r="E40" s="36"/>
      <x:c r="F40" s="63" t="str">
        <x:f>IF($A40="","",IFERROR($D40/MAX($E40,1),$D40))</x:f>
      </x:c>
      <x:c r="G40" s="36"/>
      <x:c r="H40" s="59"/>
      <x:c r="I40" s="36"/>
      <x:c r="J40" s="36"/>
      <x:c r="K40" s="63" t="str">
        <x:f>IF($A40="","",$F40)</x:f>
      </x:c>
      <x:c r="L40" s="36"/>
    </x:row>
    <x:row r="41">
      <x:c r="A41" s="36"/>
      <x:c r="B41" s="36"/>
      <x:c r="C41" s="36"/>
      <x:c r="D41" s="37"/>
      <x:c r="E41" s="36"/>
      <x:c r="F41" s="63" t="str">
        <x:f>IF($A41="","",IFERROR($D41/MAX($E41,1),$D41))</x:f>
      </x:c>
      <x:c r="G41" s="36"/>
      <x:c r="H41" s="59"/>
      <x:c r="I41" s="36"/>
      <x:c r="J41" s="36"/>
      <x:c r="K41" s="63" t="str">
        <x:f>IF($A41="","",$F41)</x:f>
      </x:c>
      <x:c r="L41" s="36"/>
    </x:row>
    <x:row r="42">
      <x:c r="A42" s="36"/>
      <x:c r="B42" s="36"/>
      <x:c r="C42" s="36"/>
      <x:c r="D42" s="37"/>
      <x:c r="E42" s="36"/>
      <x:c r="F42" s="63" t="str">
        <x:f>IF($A42="","",IFERROR($D42/MAX($E42,1),$D42))</x:f>
      </x:c>
      <x:c r="G42" s="36"/>
      <x:c r="H42" s="59"/>
      <x:c r="I42" s="36"/>
      <x:c r="J42" s="36"/>
      <x:c r="K42" s="63" t="str">
        <x:f>IF($A42="","",$F42)</x:f>
      </x:c>
      <x:c r="L42" s="36"/>
    </x:row>
    <x:row r="43">
      <x:c r="A43" s="36"/>
      <x:c r="B43" s="36"/>
      <x:c r="C43" s="36"/>
      <x:c r="D43" s="37"/>
      <x:c r="E43" s="36"/>
      <x:c r="F43" s="63" t="str">
        <x:f>IF($A43="","",IFERROR($D43/MAX($E43,1),$D43))</x:f>
      </x:c>
      <x:c r="G43" s="36"/>
      <x:c r="H43" s="59"/>
      <x:c r="I43" s="36"/>
      <x:c r="J43" s="36"/>
      <x:c r="K43" s="63" t="str">
        <x:f>IF($A43="","",$F43)</x:f>
      </x:c>
      <x:c r="L43" s="36"/>
    </x:row>
    <x:row r="44">
      <x:c r="A44" s="36"/>
      <x:c r="B44" s="36"/>
      <x:c r="C44" s="36"/>
      <x:c r="D44" s="37"/>
      <x:c r="E44" s="36"/>
      <x:c r="F44" s="63" t="str">
        <x:f>IF($A44="","",IFERROR($D44/MAX($E44,1),$D44))</x:f>
      </x:c>
      <x:c r="G44" s="36"/>
      <x:c r="H44" s="59"/>
      <x:c r="I44" s="36"/>
      <x:c r="J44" s="36"/>
      <x:c r="K44" s="63" t="str">
        <x:f>IF($A44="","",$F44)</x:f>
      </x:c>
      <x:c r="L44" s="36"/>
    </x:row>
    <x:row r="45">
      <x:c r="A45" s="36"/>
      <x:c r="B45" s="36"/>
      <x:c r="C45" s="36"/>
      <x:c r="D45" s="37"/>
      <x:c r="E45" s="36"/>
      <x:c r="F45" s="63" t="str">
        <x:f>IF($A45="","",IFERROR($D45/MAX($E45,1),$D45))</x:f>
      </x:c>
      <x:c r="G45" s="36"/>
      <x:c r="H45" s="59"/>
      <x:c r="I45" s="36"/>
      <x:c r="J45" s="36"/>
      <x:c r="K45" s="63" t="str">
        <x:f>IF($A45="","",$F45)</x:f>
      </x:c>
      <x:c r="L45" s="36"/>
    </x:row>
    <x:row r="46">
      <x:c r="A46" s="36"/>
      <x:c r="B46" s="36"/>
      <x:c r="C46" s="36"/>
      <x:c r="D46" s="37"/>
      <x:c r="E46" s="36"/>
      <x:c r="F46" s="63" t="str">
        <x:f>IF($A46="","",IFERROR($D46/MAX($E46,1),$D46))</x:f>
      </x:c>
      <x:c r="G46" s="36"/>
      <x:c r="H46" s="59"/>
      <x:c r="I46" s="36"/>
      <x:c r="J46" s="36"/>
      <x:c r="K46" s="63" t="str">
        <x:f>IF($A46="","",$F46)</x:f>
      </x:c>
      <x:c r="L46" s="36"/>
    </x:row>
    <x:row r="47">
      <x:c r="A47" s="36"/>
      <x:c r="B47" s="36"/>
      <x:c r="C47" s="36"/>
      <x:c r="D47" s="37"/>
      <x:c r="E47" s="36"/>
      <x:c r="F47" s="63" t="str">
        <x:f>IF($A47="","",IFERROR($D47/MAX($E47,1),$D47))</x:f>
      </x:c>
      <x:c r="G47" s="36"/>
      <x:c r="H47" s="59"/>
      <x:c r="I47" s="36"/>
      <x:c r="J47" s="36"/>
      <x:c r="K47" s="63" t="str">
        <x:f>IF($A47="","",$F47)</x:f>
      </x:c>
      <x:c r="L47" s="36"/>
    </x:row>
    <x:row r="48">
      <x:c r="A48" s="36"/>
      <x:c r="B48" s="36"/>
      <x:c r="C48" s="36"/>
      <x:c r="D48" s="37"/>
      <x:c r="E48" s="36"/>
      <x:c r="F48" s="63" t="str">
        <x:f>IF($A48="","",IFERROR($D48/MAX($E48,1),$D48))</x:f>
      </x:c>
      <x:c r="G48" s="36"/>
      <x:c r="H48" s="59"/>
      <x:c r="I48" s="36"/>
      <x:c r="J48" s="36"/>
      <x:c r="K48" s="63" t="str">
        <x:f>IF($A48="","",$F48)</x:f>
      </x:c>
      <x:c r="L48" s="36"/>
    </x:row>
    <x:row r="49">
      <x:c r="A49" s="36"/>
      <x:c r="B49" s="36"/>
      <x:c r="C49" s="36"/>
      <x:c r="D49" s="37"/>
      <x:c r="E49" s="36"/>
      <x:c r="F49" s="63" t="str">
        <x:f>IF($A49="","",IFERROR($D49/MAX($E49,1),$D49))</x:f>
      </x:c>
      <x:c r="G49" s="36"/>
      <x:c r="H49" s="59"/>
      <x:c r="I49" s="36"/>
      <x:c r="J49" s="36"/>
      <x:c r="K49" s="63" t="str">
        <x:f>IF($A49="","",$F49)</x:f>
      </x:c>
      <x:c r="L49" s="36"/>
    </x:row>
    <x:row r="50">
      <x:c r="A50" s="36"/>
      <x:c r="B50" s="36"/>
      <x:c r="C50" s="36"/>
      <x:c r="D50" s="37"/>
      <x:c r="E50" s="36"/>
      <x:c r="F50" s="63" t="str">
        <x:f>IF($A50="","",IFERROR($D50/MAX($E50,1),$D50))</x:f>
      </x:c>
      <x:c r="G50" s="36"/>
      <x:c r="H50" s="59"/>
      <x:c r="I50" s="36"/>
      <x:c r="J50" s="36"/>
      <x:c r="K50" s="63" t="str">
        <x:f>IF($A50="","",$F50)</x:f>
      </x:c>
      <x:c r="L50" s="36"/>
    </x:row>
    <x:row r="51">
      <x:c r="A51" s="36"/>
      <x:c r="B51" s="36"/>
      <x:c r="C51" s="36"/>
      <x:c r="D51" s="37"/>
      <x:c r="E51" s="36"/>
      <x:c r="F51" s="63" t="str">
        <x:f>IF($A51="","",IFERROR($D51/MAX($E51,1),$D51))</x:f>
      </x:c>
      <x:c r="G51" s="36"/>
      <x:c r="H51" s="59"/>
      <x:c r="I51" s="36"/>
      <x:c r="J51" s="36"/>
      <x:c r="K51" s="63" t="str">
        <x:f>IF($A51="","",$F51)</x:f>
      </x:c>
      <x:c r="L51" s="36"/>
    </x:row>
    <x:row r="52">
      <x:c r="A52" s="36"/>
      <x:c r="B52" s="36"/>
      <x:c r="C52" s="36"/>
      <x:c r="D52" s="37"/>
      <x:c r="E52" s="36"/>
      <x:c r="F52" s="63" t="str">
        <x:f>IF($A52="","",IFERROR($D52/MAX($E52,1),$D52))</x:f>
      </x:c>
      <x:c r="G52" s="36"/>
      <x:c r="H52" s="59"/>
      <x:c r="I52" s="36"/>
      <x:c r="J52" s="36"/>
      <x:c r="K52" s="63" t="str">
        <x:f>IF($A52="","",$F52)</x:f>
      </x:c>
      <x:c r="L52" s="36"/>
    </x:row>
    <x:row r="53">
      <x:c r="A53" s="36"/>
      <x:c r="B53" s="36"/>
      <x:c r="C53" s="36"/>
      <x:c r="D53" s="37"/>
      <x:c r="E53" s="36"/>
      <x:c r="F53" s="63" t="str">
        <x:f>IF($A53="","",IFERROR($D53/MAX($E53,1),$D53))</x:f>
      </x:c>
      <x:c r="G53" s="36"/>
      <x:c r="H53" s="59"/>
      <x:c r="I53" s="36"/>
      <x:c r="J53" s="36"/>
      <x:c r="K53" s="63" t="str">
        <x:f>IF($A53="","",$F53)</x:f>
      </x:c>
      <x:c r="L53" s="36"/>
    </x:row>
    <x:row r="54">
      <x:c r="A54" s="36"/>
      <x:c r="B54" s="36"/>
      <x:c r="C54" s="36"/>
      <x:c r="D54" s="37"/>
      <x:c r="E54" s="36"/>
      <x:c r="F54" s="63" t="str">
        <x:f>IF($A54="","",IFERROR($D54/MAX($E54,1),$D54))</x:f>
      </x:c>
      <x:c r="G54" s="36"/>
      <x:c r="H54" s="59"/>
      <x:c r="I54" s="36"/>
      <x:c r="J54" s="36"/>
      <x:c r="K54" s="63" t="str">
        <x:f>IF($A54="","",$F54)</x:f>
      </x:c>
      <x:c r="L54" s="36"/>
    </x:row>
    <x:row r="55">
      <x:c r="A55" s="36"/>
      <x:c r="B55" s="36"/>
      <x:c r="C55" s="36"/>
      <x:c r="D55" s="37"/>
      <x:c r="E55" s="36"/>
      <x:c r="F55" s="63" t="str">
        <x:f>IF($A55="","",IFERROR($D55/MAX($E55,1),$D55))</x:f>
      </x:c>
      <x:c r="G55" s="36"/>
      <x:c r="H55" s="59"/>
      <x:c r="I55" s="36"/>
      <x:c r="J55" s="36"/>
      <x:c r="K55" s="63" t="str">
        <x:f>IF($A55="","",$F55)</x:f>
      </x:c>
      <x:c r="L55" s="36"/>
    </x:row>
    <x:row r="56">
      <x:c r="A56" s="36"/>
      <x:c r="B56" s="36"/>
      <x:c r="C56" s="36"/>
      <x:c r="D56" s="37"/>
      <x:c r="E56" s="36"/>
      <x:c r="F56" s="63" t="str">
        <x:f>IF($A56="","",IFERROR($D56/MAX($E56,1),$D56))</x:f>
      </x:c>
      <x:c r="G56" s="36"/>
      <x:c r="H56" s="59"/>
      <x:c r="I56" s="36"/>
      <x:c r="J56" s="36"/>
      <x:c r="K56" s="63" t="str">
        <x:f>IF($A56="","",$F56)</x:f>
      </x:c>
      <x:c r="L56" s="36"/>
    </x:row>
    <x:row r="57">
      <x:c r="A57" s="36"/>
      <x:c r="B57" s="36"/>
      <x:c r="C57" s="36"/>
      <x:c r="D57" s="37"/>
      <x:c r="E57" s="36"/>
      <x:c r="F57" s="63" t="str">
        <x:f>IF($A57="","",IFERROR($D57/MAX($E57,1),$D57))</x:f>
      </x:c>
      <x:c r="G57" s="36"/>
      <x:c r="H57" s="59"/>
      <x:c r="I57" s="36"/>
      <x:c r="J57" s="36"/>
      <x:c r="K57" s="63" t="str">
        <x:f>IF($A57="","",$F57)</x:f>
      </x:c>
      <x:c r="L57" s="36"/>
    </x:row>
    <x:row r="58">
      <x:c r="A58" s="36"/>
      <x:c r="B58" s="36"/>
      <x:c r="C58" s="36"/>
      <x:c r="D58" s="37"/>
      <x:c r="E58" s="36"/>
      <x:c r="F58" s="63" t="str">
        <x:f>IF($A58="","",IFERROR($D58/MAX($E58,1),$D58))</x:f>
      </x:c>
      <x:c r="G58" s="36"/>
      <x:c r="H58" s="59"/>
      <x:c r="I58" s="36"/>
      <x:c r="J58" s="36"/>
      <x:c r="K58" s="63" t="str">
        <x:f>IF($A58="","",$F58)</x:f>
      </x:c>
      <x:c r="L58" s="36"/>
    </x:row>
    <x:row r="59">
      <x:c r="A59" s="36"/>
      <x:c r="B59" s="36"/>
      <x:c r="C59" s="36"/>
      <x:c r="D59" s="37"/>
      <x:c r="E59" s="36"/>
      <x:c r="F59" s="63" t="str">
        <x:f>IF($A59="","",IFERROR($D59/MAX($E59,1),$D59))</x:f>
      </x:c>
      <x:c r="G59" s="36"/>
      <x:c r="H59" s="59"/>
      <x:c r="I59" s="36"/>
      <x:c r="J59" s="36"/>
      <x:c r="K59" s="63" t="str">
        <x:f>IF($A59="","",$F59)</x:f>
      </x:c>
      <x:c r="L59" s="36"/>
    </x:row>
    <x:row r="60">
      <x:c r="A60" s="36"/>
      <x:c r="B60" s="36"/>
      <x:c r="C60" s="36"/>
      <x:c r="D60" s="37"/>
      <x:c r="E60" s="36"/>
      <x:c r="F60" s="63" t="str">
        <x:f>IF($A60="","",IFERROR($D60/MAX($E60,1),$D60))</x:f>
      </x:c>
      <x:c r="G60" s="36"/>
      <x:c r="H60" s="59"/>
      <x:c r="I60" s="36"/>
      <x:c r="J60" s="36"/>
      <x:c r="K60" s="63" t="str">
        <x:f>IF($A60="","",$F60)</x:f>
      </x:c>
      <x:c r="L60" s="36"/>
    </x:row>
    <x:row r="61">
      <x:c r="A61" s="36"/>
      <x:c r="B61" s="36"/>
      <x:c r="C61" s="36"/>
      <x:c r="D61" s="37"/>
      <x:c r="E61" s="36"/>
      <x:c r="F61" s="63" t="str">
        <x:f>IF($A61="","",IFERROR($D61/MAX($E61,1),$D61))</x:f>
      </x:c>
      <x:c r="G61" s="36"/>
      <x:c r="H61" s="59"/>
      <x:c r="I61" s="36"/>
      <x:c r="J61" s="36"/>
      <x:c r="K61" s="63" t="str">
        <x:f>IF($A61="","",$F61)</x:f>
      </x:c>
      <x:c r="L61" s="36"/>
    </x:row>
    <x:row r="62">
      <x:c r="A62" s="36"/>
      <x:c r="B62" s="36"/>
      <x:c r="C62" s="36"/>
      <x:c r="D62" s="37"/>
      <x:c r="E62" s="36"/>
      <x:c r="F62" s="63" t="str">
        <x:f>IF($A62="","",IFERROR($D62/MAX($E62,1),$D62))</x:f>
      </x:c>
      <x:c r="G62" s="36"/>
      <x:c r="H62" s="59"/>
      <x:c r="I62" s="36"/>
      <x:c r="J62" s="36"/>
      <x:c r="K62" s="63" t="str">
        <x:f>IF($A62="","",$F62)</x:f>
      </x:c>
      <x:c r="L62" s="36"/>
    </x:row>
    <x:row r="63">
      <x:c r="A63" s="36"/>
      <x:c r="B63" s="36"/>
      <x:c r="C63" s="36"/>
      <x:c r="D63" s="37"/>
      <x:c r="E63" s="36"/>
      <x:c r="F63" s="63" t="str">
        <x:f>IF($A63="","",IFERROR($D63/MAX($E63,1),$D63))</x:f>
      </x:c>
      <x:c r="G63" s="36"/>
      <x:c r="H63" s="59"/>
      <x:c r="I63" s="36"/>
      <x:c r="J63" s="36"/>
      <x:c r="K63" s="63" t="str">
        <x:f>IF($A63="","",$F63)</x:f>
      </x:c>
      <x:c r="L63" s="36"/>
    </x:row>
    <x:row r="64">
      <x:c r="A64" s="36"/>
      <x:c r="B64" s="36"/>
      <x:c r="C64" s="36"/>
      <x:c r="D64" s="37"/>
      <x:c r="E64" s="36"/>
      <x:c r="F64" s="63" t="str">
        <x:f>IF($A64="","",IFERROR($D64/MAX($E64,1),$D64))</x:f>
      </x:c>
      <x:c r="G64" s="36"/>
      <x:c r="H64" s="59"/>
      <x:c r="I64" s="36"/>
      <x:c r="J64" s="36"/>
      <x:c r="K64" s="63" t="str">
        <x:f>IF($A64="","",$F64)</x:f>
      </x:c>
      <x:c r="L64" s="36"/>
    </x:row>
    <x:row r="65">
      <x:c r="A65" s="36"/>
      <x:c r="B65" s="36"/>
      <x:c r="C65" s="36"/>
      <x:c r="D65" s="37"/>
      <x:c r="E65" s="36"/>
      <x:c r="F65" s="63" t="str">
        <x:f>IF($A65="","",IFERROR($D65/MAX($E65,1),$D65))</x:f>
      </x:c>
      <x:c r="G65" s="36"/>
      <x:c r="H65" s="59"/>
      <x:c r="I65" s="36"/>
      <x:c r="J65" s="36"/>
      <x:c r="K65" s="63" t="str">
        <x:f>IF($A65="","",$F65)</x:f>
      </x:c>
      <x:c r="L65" s="36"/>
    </x:row>
    <x:row r="66">
      <x:c r="A66" s="36"/>
      <x:c r="B66" s="36"/>
      <x:c r="C66" s="36"/>
      <x:c r="D66" s="37"/>
      <x:c r="E66" s="36"/>
      <x:c r="F66" s="63" t="str">
        <x:f>IF($A66="","",IFERROR($D66/MAX($E66,1),$D66))</x:f>
      </x:c>
      <x:c r="G66" s="36"/>
      <x:c r="H66" s="59"/>
      <x:c r="I66" s="36"/>
      <x:c r="J66" s="36"/>
      <x:c r="K66" s="63" t="str">
        <x:f>IF($A66="","",$F66)</x:f>
      </x:c>
      <x:c r="L66" s="36"/>
    </x:row>
    <x:row r="67">
      <x:c r="A67" s="36"/>
      <x:c r="B67" s="36"/>
      <x:c r="C67" s="36"/>
      <x:c r="D67" s="37"/>
      <x:c r="E67" s="36"/>
      <x:c r="F67" s="63" t="str">
        <x:f>IF($A67="","",IFERROR($D67/MAX($E67,1),$D67))</x:f>
      </x:c>
      <x:c r="G67" s="36"/>
      <x:c r="H67" s="59"/>
      <x:c r="I67" s="36"/>
      <x:c r="J67" s="36"/>
      <x:c r="K67" s="63" t="str">
        <x:f>IF($A67="","",$F67)</x:f>
      </x:c>
      <x:c r="L67" s="36"/>
    </x:row>
    <x:row r="68">
      <x:c r="A68" s="36"/>
      <x:c r="B68" s="36"/>
      <x:c r="C68" s="36"/>
      <x:c r="D68" s="37"/>
      <x:c r="E68" s="36"/>
      <x:c r="F68" s="63" t="str">
        <x:f>IF($A68="","",IFERROR($D68/MAX($E68,1),$D68))</x:f>
      </x:c>
      <x:c r="G68" s="36"/>
      <x:c r="H68" s="59"/>
      <x:c r="I68" s="36"/>
      <x:c r="J68" s="36"/>
      <x:c r="K68" s="63" t="str">
        <x:f>IF($A68="","",$F68)</x:f>
      </x:c>
      <x:c r="L68" s="36"/>
    </x:row>
    <x:row r="69">
      <x:c r="A69" s="36"/>
      <x:c r="B69" s="36"/>
      <x:c r="C69" s="36"/>
      <x:c r="D69" s="37"/>
      <x:c r="E69" s="36"/>
      <x:c r="F69" s="63" t="str">
        <x:f>IF($A69="","",IFERROR($D69/MAX($E69,1),$D69))</x:f>
      </x:c>
      <x:c r="G69" s="36"/>
      <x:c r="H69" s="59"/>
      <x:c r="I69" s="36"/>
      <x:c r="J69" s="36"/>
      <x:c r="K69" s="63" t="str">
        <x:f>IF($A69="","",$F69)</x:f>
      </x:c>
      <x:c r="L69" s="36"/>
    </x:row>
    <x:row r="70">
      <x:c r="A70" s="36"/>
      <x:c r="B70" s="36"/>
      <x:c r="C70" s="36"/>
      <x:c r="D70" s="37"/>
      <x:c r="E70" s="36"/>
      <x:c r="F70" s="63" t="str">
        <x:f>IF($A70="","",IFERROR($D70/MAX($E70,1),$D70))</x:f>
      </x:c>
      <x:c r="G70" s="36"/>
      <x:c r="H70" s="59"/>
      <x:c r="I70" s="36"/>
      <x:c r="J70" s="36"/>
      <x:c r="K70" s="63" t="str">
        <x:f>IF($A70="","",$F70)</x:f>
      </x:c>
      <x:c r="L70" s="36"/>
    </x:row>
    <x:row r="71">
      <x:c r="A71" s="36"/>
      <x:c r="B71" s="36"/>
      <x:c r="C71" s="36"/>
      <x:c r="D71" s="37"/>
      <x:c r="E71" s="36"/>
      <x:c r="F71" s="63" t="str">
        <x:f>IF($A71="","",IFERROR($D71/MAX($E71,1),$D71))</x:f>
      </x:c>
      <x:c r="G71" s="36"/>
      <x:c r="H71" s="59"/>
      <x:c r="I71" s="36"/>
      <x:c r="J71" s="36"/>
      <x:c r="K71" s="63" t="str">
        <x:f>IF($A71="","",$F71)</x:f>
      </x:c>
      <x:c r="L71" s="36"/>
    </x:row>
    <x:row r="72">
      <x:c r="A72" s="36"/>
      <x:c r="B72" s="36"/>
      <x:c r="C72" s="36"/>
      <x:c r="D72" s="37"/>
      <x:c r="E72" s="36"/>
      <x:c r="F72" s="63" t="str">
        <x:f>IF($A72="","",IFERROR($D72/MAX($E72,1),$D72))</x:f>
      </x:c>
      <x:c r="G72" s="36"/>
      <x:c r="H72" s="59"/>
      <x:c r="I72" s="36"/>
      <x:c r="J72" s="36"/>
      <x:c r="K72" s="63" t="str">
        <x:f>IF($A72="","",$F72)</x:f>
      </x:c>
      <x:c r="L72" s="36"/>
    </x:row>
    <x:row r="73">
      <x:c r="A73" s="36"/>
      <x:c r="B73" s="36"/>
      <x:c r="C73" s="36"/>
      <x:c r="D73" s="37"/>
      <x:c r="E73" s="36"/>
      <x:c r="F73" s="63" t="str">
        <x:f>IF($A73="","",IFERROR($D73/MAX($E73,1),$D73))</x:f>
      </x:c>
      <x:c r="G73" s="36"/>
      <x:c r="H73" s="59"/>
      <x:c r="I73" s="36"/>
      <x:c r="J73" s="36"/>
      <x:c r="K73" s="63" t="str">
        <x:f>IF($A73="","",$F73)</x:f>
      </x:c>
      <x:c r="L73" s="36"/>
    </x:row>
    <x:row r="74">
      <x:c r="A74" s="36"/>
      <x:c r="B74" s="36"/>
      <x:c r="C74" s="36"/>
      <x:c r="D74" s="37"/>
      <x:c r="E74" s="36"/>
      <x:c r="F74" s="63" t="str">
        <x:f>IF($A74="","",IFERROR($D74/MAX($E74,1),$D74))</x:f>
      </x:c>
      <x:c r="G74" s="36"/>
      <x:c r="H74" s="59"/>
      <x:c r="I74" s="36"/>
      <x:c r="J74" s="36"/>
      <x:c r="K74" s="63" t="str">
        <x:f>IF($A74="","",$F74)</x:f>
      </x:c>
      <x:c r="L74" s="36"/>
    </x:row>
    <x:row r="75">
      <x:c r="A75" s="36"/>
      <x:c r="B75" s="36"/>
      <x:c r="C75" s="36"/>
      <x:c r="D75" s="37"/>
      <x:c r="E75" s="36"/>
      <x:c r="F75" s="63" t="str">
        <x:f>IF($A75="","",IFERROR($D75/MAX($E75,1),$D75))</x:f>
      </x:c>
      <x:c r="G75" s="36"/>
      <x:c r="H75" s="59"/>
      <x:c r="I75" s="36"/>
      <x:c r="J75" s="36"/>
      <x:c r="K75" s="63" t="str">
        <x:f>IF($A75="","",$F75)</x:f>
      </x:c>
      <x:c r="L75" s="36"/>
    </x:row>
    <x:row r="76">
      <x:c r="A76" s="36"/>
      <x:c r="B76" s="36"/>
      <x:c r="C76" s="36"/>
      <x:c r="D76" s="37"/>
      <x:c r="E76" s="36"/>
      <x:c r="F76" s="63" t="str">
        <x:f>IF($A76="","",IFERROR($D76/MAX($E76,1),$D76))</x:f>
      </x:c>
      <x:c r="G76" s="36"/>
      <x:c r="H76" s="59"/>
      <x:c r="I76" s="36"/>
      <x:c r="J76" s="36"/>
      <x:c r="K76" s="63" t="str">
        <x:f>IF($A76="","",$F76)</x:f>
      </x:c>
      <x:c r="L76" s="36"/>
    </x:row>
    <x:row r="77">
      <x:c r="A77" s="36"/>
      <x:c r="B77" s="36"/>
      <x:c r="C77" s="36"/>
      <x:c r="D77" s="37"/>
      <x:c r="E77" s="36"/>
      <x:c r="F77" s="63" t="str">
        <x:f>IF($A77="","",IFERROR($D77/MAX($E77,1),$D77))</x:f>
      </x:c>
      <x:c r="G77" s="36"/>
      <x:c r="H77" s="59"/>
      <x:c r="I77" s="36"/>
      <x:c r="J77" s="36"/>
      <x:c r="K77" s="63" t="str">
        <x:f>IF($A77="","",$F77)</x:f>
      </x:c>
      <x:c r="L77" s="36"/>
    </x:row>
    <x:row r="78">
      <x:c r="A78" s="36"/>
      <x:c r="B78" s="36"/>
      <x:c r="C78" s="36"/>
      <x:c r="D78" s="37"/>
      <x:c r="E78" s="36"/>
      <x:c r="F78" s="63" t="str">
        <x:f>IF($A78="","",IFERROR($D78/MAX($E78,1),$D78))</x:f>
      </x:c>
      <x:c r="G78" s="36"/>
      <x:c r="H78" s="59"/>
      <x:c r="I78" s="36"/>
      <x:c r="J78" s="36"/>
      <x:c r="K78" s="63" t="str">
        <x:f>IF($A78="","",$F78)</x:f>
      </x:c>
      <x:c r="L78" s="36"/>
    </x:row>
    <x:row r="79">
      <x:c r="A79" s="36"/>
      <x:c r="B79" s="36"/>
      <x:c r="C79" s="36"/>
      <x:c r="D79" s="37"/>
      <x:c r="E79" s="36"/>
      <x:c r="F79" s="63" t="str">
        <x:f>IF($A79="","",IFERROR($D79/MAX($E79,1),$D79))</x:f>
      </x:c>
      <x:c r="G79" s="36"/>
      <x:c r="H79" s="59"/>
      <x:c r="I79" s="36"/>
      <x:c r="J79" s="36"/>
      <x:c r="K79" s="63" t="str">
        <x:f>IF($A79="","",$F79)</x:f>
      </x:c>
      <x:c r="L79" s="36"/>
    </x:row>
    <x:row r="80">
      <x:c r="A80" s="36"/>
      <x:c r="B80" s="36"/>
      <x:c r="C80" s="36"/>
      <x:c r="D80" s="37"/>
      <x:c r="E80" s="36"/>
      <x:c r="F80" s="63" t="str">
        <x:f>IF($A80="","",IFERROR($D80/MAX($E80,1),$D80))</x:f>
      </x:c>
      <x:c r="G80" s="36"/>
      <x:c r="H80" s="59"/>
      <x:c r="I80" s="36"/>
      <x:c r="J80" s="36"/>
      <x:c r="K80" s="63" t="str">
        <x:f>IF($A80="","",$F80)</x:f>
      </x:c>
      <x:c r="L80" s="36"/>
    </x:row>
    <x:row r="81">
      <x:c r="A81" s="36"/>
      <x:c r="B81" s="36"/>
      <x:c r="C81" s="36"/>
      <x:c r="D81" s="37"/>
      <x:c r="E81" s="36"/>
      <x:c r="F81" s="63" t="str">
        <x:f>IF($A81="","",IFERROR($D81/MAX($E81,1),$D81))</x:f>
      </x:c>
      <x:c r="G81" s="36"/>
      <x:c r="H81" s="59"/>
      <x:c r="I81" s="36"/>
      <x:c r="J81" s="36"/>
      <x:c r="K81" s="63" t="str">
        <x:f>IF($A81="","",$F81)</x:f>
      </x:c>
      <x:c r="L81" s="36"/>
    </x:row>
    <x:row r="82">
      <x:c r="A82" s="36"/>
      <x:c r="B82" s="36"/>
      <x:c r="C82" s="36"/>
      <x:c r="D82" s="37"/>
      <x:c r="E82" s="36"/>
      <x:c r="F82" s="63" t="str">
        <x:f>IF($A82="","",IFERROR($D82/MAX($E82,1),$D82))</x:f>
      </x:c>
      <x:c r="G82" s="36"/>
      <x:c r="H82" s="59"/>
      <x:c r="I82" s="36"/>
      <x:c r="J82" s="36"/>
      <x:c r="K82" s="63" t="str">
        <x:f>IF($A82="","",$F82)</x:f>
      </x:c>
      <x:c r="L82" s="36"/>
    </x:row>
    <x:row r="83">
      <x:c r="A83" s="36"/>
      <x:c r="B83" s="36"/>
      <x:c r="C83" s="36"/>
      <x:c r="D83" s="37"/>
      <x:c r="E83" s="36"/>
      <x:c r="F83" s="63" t="str">
        <x:f>IF($A83="","",IFERROR($D83/MAX($E83,1),$D83))</x:f>
      </x:c>
      <x:c r="G83" s="36"/>
      <x:c r="H83" s="59"/>
      <x:c r="I83" s="36"/>
      <x:c r="J83" s="36"/>
      <x:c r="K83" s="63" t="str">
        <x:f>IF($A83="","",$F83)</x:f>
      </x:c>
      <x:c r="L83" s="36"/>
    </x:row>
    <x:row r="84">
      <x:c r="A84" s="36"/>
      <x:c r="B84" s="36"/>
      <x:c r="C84" s="36"/>
      <x:c r="D84" s="37"/>
      <x:c r="E84" s="36"/>
      <x:c r="F84" s="63" t="str">
        <x:f>IF($A84="","",IFERROR($D84/MAX($E84,1),$D84))</x:f>
      </x:c>
      <x:c r="G84" s="36"/>
      <x:c r="H84" s="59"/>
      <x:c r="I84" s="36"/>
      <x:c r="J84" s="36"/>
      <x:c r="K84" s="63" t="str">
        <x:f>IF($A84="","",$F84)</x:f>
      </x:c>
      <x:c r="L84" s="36"/>
    </x:row>
    <x:row r="85">
      <x:c r="A85" s="36"/>
      <x:c r="B85" s="36"/>
      <x:c r="C85" s="36"/>
      <x:c r="D85" s="37"/>
      <x:c r="E85" s="36"/>
      <x:c r="F85" s="63" t="str">
        <x:f>IF($A85="","",IFERROR($D85/MAX($E85,1),$D85))</x:f>
      </x:c>
      <x:c r="G85" s="36"/>
      <x:c r="H85" s="59"/>
      <x:c r="I85" s="36"/>
      <x:c r="J85" s="36"/>
      <x:c r="K85" s="63" t="str">
        <x:f>IF($A85="","",$F85)</x:f>
      </x:c>
      <x:c r="L85" s="36"/>
    </x:row>
    <x:row r="86">
      <x:c r="A86" s="36"/>
      <x:c r="B86" s="36"/>
      <x:c r="C86" s="36"/>
      <x:c r="D86" s="37"/>
      <x:c r="E86" s="36"/>
      <x:c r="F86" s="63" t="str">
        <x:f>IF($A86="","",IFERROR($D86/MAX($E86,1),$D86))</x:f>
      </x:c>
      <x:c r="G86" s="36"/>
      <x:c r="H86" s="59"/>
      <x:c r="I86" s="36"/>
      <x:c r="J86" s="36"/>
      <x:c r="K86" s="63" t="str">
        <x:f>IF($A86="","",$F86)</x:f>
      </x:c>
      <x:c r="L86" s="36"/>
    </x:row>
    <x:row r="87">
      <x:c r="A87" s="36"/>
      <x:c r="B87" s="36"/>
      <x:c r="C87" s="36"/>
      <x:c r="D87" s="37"/>
      <x:c r="E87" s="36"/>
      <x:c r="F87" s="63" t="str">
        <x:f>IF($A87="","",IFERROR($D87/MAX($E87,1),$D87))</x:f>
      </x:c>
      <x:c r="G87" s="36"/>
      <x:c r="H87" s="59"/>
      <x:c r="I87" s="36"/>
      <x:c r="J87" s="36"/>
      <x:c r="K87" s="63" t="str">
        <x:f>IF($A87="","",$F87)</x:f>
      </x:c>
      <x:c r="L87" s="36"/>
    </x:row>
    <x:row r="88">
      <x:c r="A88" s="36"/>
      <x:c r="B88" s="36"/>
      <x:c r="C88" s="36"/>
      <x:c r="D88" s="37"/>
      <x:c r="E88" s="36"/>
      <x:c r="F88" s="63" t="str">
        <x:f>IF($A88="","",IFERROR($D88/MAX($E88,1),$D88))</x:f>
      </x:c>
      <x:c r="G88" s="36"/>
      <x:c r="H88" s="59"/>
      <x:c r="I88" s="36"/>
      <x:c r="J88" s="36"/>
      <x:c r="K88" s="63" t="str">
        <x:f>IF($A88="","",$F88)</x:f>
      </x:c>
      <x:c r="L88" s="36"/>
    </x:row>
    <x:row r="89">
      <x:c r="A89" s="36"/>
      <x:c r="B89" s="36"/>
      <x:c r="C89" s="36"/>
      <x:c r="D89" s="37"/>
      <x:c r="E89" s="36"/>
      <x:c r="F89" s="63" t="str">
        <x:f>IF($A89="","",IFERROR($D89/MAX($E89,1),$D89))</x:f>
      </x:c>
      <x:c r="G89" s="36"/>
      <x:c r="H89" s="59"/>
      <x:c r="I89" s="36"/>
      <x:c r="J89" s="36"/>
      <x:c r="K89" s="63" t="str">
        <x:f>IF($A89="","",$F89)</x:f>
      </x:c>
      <x:c r="L89" s="36"/>
    </x:row>
    <x:row r="90">
      <x:c r="A90" s="36"/>
      <x:c r="B90" s="36"/>
      <x:c r="C90" s="36"/>
      <x:c r="D90" s="37"/>
      <x:c r="E90" s="36"/>
      <x:c r="F90" s="63" t="str">
        <x:f>IF($A90="","",IFERROR($D90/MAX($E90,1),$D90))</x:f>
      </x:c>
      <x:c r="G90" s="36"/>
      <x:c r="H90" s="59"/>
      <x:c r="I90" s="36"/>
      <x:c r="J90" s="36"/>
      <x:c r="K90" s="63" t="str">
        <x:f>IF($A90="","",$F90)</x:f>
      </x:c>
      <x:c r="L90" s="36"/>
    </x:row>
    <x:row r="91">
      <x:c r="A91" s="36"/>
      <x:c r="B91" s="36"/>
      <x:c r="C91" s="36"/>
      <x:c r="D91" s="37"/>
      <x:c r="E91" s="36"/>
      <x:c r="F91" s="63" t="str">
        <x:f>IF($A91="","",IFERROR($D91/MAX($E91,1),$D91))</x:f>
      </x:c>
      <x:c r="G91" s="36"/>
      <x:c r="H91" s="59"/>
      <x:c r="I91" s="36"/>
      <x:c r="J91" s="36"/>
      <x:c r="K91" s="63" t="str">
        <x:f>IF($A91="","",$F91)</x:f>
      </x:c>
      <x:c r="L91" s="36"/>
    </x:row>
    <x:row r="92">
      <x:c r="A92" s="36"/>
      <x:c r="B92" s="36"/>
      <x:c r="C92" s="36"/>
      <x:c r="D92" s="37"/>
      <x:c r="E92" s="36"/>
      <x:c r="F92" s="63" t="str">
        <x:f>IF($A92="","",IFERROR($D92/MAX($E92,1),$D92))</x:f>
      </x:c>
      <x:c r="G92" s="36"/>
      <x:c r="H92" s="59"/>
      <x:c r="I92" s="36"/>
      <x:c r="J92" s="36"/>
      <x:c r="K92" s="63" t="str">
        <x:f>IF($A92="","",$F92)</x:f>
      </x:c>
      <x:c r="L92" s="36"/>
    </x:row>
    <x:row r="93">
      <x:c r="A93" s="36"/>
      <x:c r="B93" s="36"/>
      <x:c r="C93" s="36"/>
      <x:c r="D93" s="37"/>
      <x:c r="E93" s="36"/>
      <x:c r="F93" s="63" t="str">
        <x:f>IF($A93="","",IFERROR($D93/MAX($E93,1),$D93))</x:f>
      </x:c>
      <x:c r="G93" s="36"/>
      <x:c r="H93" s="59"/>
      <x:c r="I93" s="36"/>
      <x:c r="J93" s="36"/>
      <x:c r="K93" s="63" t="str">
        <x:f>IF($A93="","",$F93)</x:f>
      </x:c>
      <x:c r="L93" s="36"/>
    </x:row>
    <x:row r="94">
      <x:c r="A94" s="36"/>
      <x:c r="B94" s="36"/>
      <x:c r="C94" s="36"/>
      <x:c r="D94" s="37"/>
      <x:c r="E94" s="36"/>
      <x:c r="F94" s="63" t="str">
        <x:f>IF($A94="","",IFERROR($D94/MAX($E94,1),$D94))</x:f>
      </x:c>
      <x:c r="G94" s="36"/>
      <x:c r="H94" s="59"/>
      <x:c r="I94" s="36"/>
      <x:c r="J94" s="36"/>
      <x:c r="K94" s="63" t="str">
        <x:f>IF($A94="","",$F94)</x:f>
      </x:c>
      <x:c r="L94" s="36"/>
    </x:row>
    <x:row r="95">
      <x:c r="A95" s="36"/>
      <x:c r="B95" s="36"/>
      <x:c r="C95" s="36"/>
      <x:c r="D95" s="37"/>
      <x:c r="E95" s="36"/>
      <x:c r="F95" s="63" t="str">
        <x:f>IF($A95="","",IFERROR($D95/MAX($E95,1),$D95))</x:f>
      </x:c>
      <x:c r="G95" s="36"/>
      <x:c r="H95" s="59"/>
      <x:c r="I95" s="36"/>
      <x:c r="J95" s="36"/>
      <x:c r="K95" s="63" t="str">
        <x:f>IF($A95="","",$F95)</x:f>
      </x:c>
      <x:c r="L95" s="36"/>
    </x:row>
    <x:row r="96">
      <x:c r="A96" s="36"/>
      <x:c r="B96" s="36"/>
      <x:c r="C96" s="36"/>
      <x:c r="D96" s="37"/>
      <x:c r="E96" s="36"/>
      <x:c r="F96" s="63" t="str">
        <x:f>IF($A96="","",IFERROR($D96/MAX($E96,1),$D96))</x:f>
      </x:c>
      <x:c r="G96" s="36"/>
      <x:c r="H96" s="59"/>
      <x:c r="I96" s="36"/>
      <x:c r="J96" s="36"/>
      <x:c r="K96" s="63" t="str">
        <x:f>IF($A96="","",$F96)</x:f>
      </x:c>
      <x:c r="L96" s="36"/>
    </x:row>
    <x:row r="97">
      <x:c r="A97" s="36"/>
      <x:c r="B97" s="36"/>
      <x:c r="C97" s="36"/>
      <x:c r="D97" s="37"/>
      <x:c r="E97" s="36"/>
      <x:c r="F97" s="63" t="str">
        <x:f>IF($A97="","",IFERROR($D97/MAX($E97,1),$D97))</x:f>
      </x:c>
      <x:c r="G97" s="36"/>
      <x:c r="H97" s="59"/>
      <x:c r="I97" s="36"/>
      <x:c r="J97" s="36"/>
      <x:c r="K97" s="63" t="str">
        <x:f>IF($A97="","",$F97)</x:f>
      </x:c>
      <x:c r="L97" s="36"/>
    </x:row>
    <x:row r="98">
      <x:c r="A98" s="36"/>
      <x:c r="B98" s="36"/>
      <x:c r="C98" s="36"/>
      <x:c r="D98" s="37"/>
      <x:c r="E98" s="36"/>
      <x:c r="F98" s="63" t="str">
        <x:f>IF($A98="","",IFERROR($D98/MAX($E98,1),$D98))</x:f>
      </x:c>
      <x:c r="G98" s="36"/>
      <x:c r="H98" s="59"/>
      <x:c r="I98" s="36"/>
      <x:c r="J98" s="36"/>
      <x:c r="K98" s="63" t="str">
        <x:f>IF($A98="","",$F98)</x:f>
      </x:c>
      <x:c r="L98" s="36"/>
    </x:row>
    <x:row r="99">
      <x:c r="A99" s="36"/>
      <x:c r="B99" s="36"/>
      <x:c r="C99" s="36"/>
      <x:c r="D99" s="37"/>
      <x:c r="E99" s="36"/>
      <x:c r="F99" s="63" t="str">
        <x:f>IF($A99="","",IFERROR($D99/MAX($E99,1),$D99))</x:f>
      </x:c>
      <x:c r="G99" s="36"/>
      <x:c r="H99" s="59"/>
      <x:c r="I99" s="36"/>
      <x:c r="J99" s="36"/>
      <x:c r="K99" s="63" t="str">
        <x:f>IF($A99="","",$F99)</x:f>
      </x:c>
      <x:c r="L99" s="36"/>
    </x:row>
    <x:row r="100">
      <x:c r="A100" s="36"/>
      <x:c r="B100" s="36"/>
      <x:c r="C100" s="36"/>
      <x:c r="D100" s="37"/>
      <x:c r="E100" s="36"/>
      <x:c r="F100" s="63" t="str">
        <x:f>IF($A100="","",IFERROR($D100/MAX($E100,1),$D100))</x:f>
      </x:c>
      <x:c r="G100" s="36"/>
      <x:c r="H100" s="59"/>
      <x:c r="I100" s="36"/>
      <x:c r="J100" s="36"/>
      <x:c r="K100" s="63" t="str">
        <x:f>IF($A100="","",$F100)</x:f>
      </x:c>
      <x:c r="L100" s="36"/>
    </x:row>
    <x:row r="101">
      <x:c r="A101" s="36"/>
      <x:c r="B101" s="36"/>
      <x:c r="C101" s="36"/>
      <x:c r="D101" s="37"/>
      <x:c r="E101" s="36"/>
      <x:c r="F101" s="63" t="str">
        <x:f>IF($A101="","",IFERROR($D101/MAX($E101,1),$D101))</x:f>
      </x:c>
      <x:c r="G101" s="36"/>
      <x:c r="H101" s="59"/>
      <x:c r="I101" s="36"/>
      <x:c r="J101" s="36"/>
      <x:c r="K101" s="63" t="str">
        <x:f>IF($A101="","",$F101)</x:f>
      </x:c>
      <x:c r="L101" s="36"/>
    </x:row>
    <x:row r="102">
      <x:c r="A102" s="36"/>
      <x:c r="B102" s="36"/>
      <x:c r="C102" s="36"/>
      <x:c r="D102" s="37"/>
      <x:c r="E102" s="36"/>
      <x:c r="F102" s="63" t="str">
        <x:f>IF($A102="","",IFERROR($D102/MAX($E102,1),$D102))</x:f>
      </x:c>
      <x:c r="G102" s="36"/>
      <x:c r="H102" s="59"/>
      <x:c r="I102" s="36"/>
      <x:c r="J102" s="36"/>
      <x:c r="K102" s="63" t="str">
        <x:f>IF($A102="","",$F102)</x:f>
      </x:c>
      <x:c r="L102" s="36"/>
    </x:row>
    <x:row r="103">
      <x:c r="A103" s="36"/>
      <x:c r="B103" s="36"/>
      <x:c r="C103" s="36"/>
      <x:c r="D103" s="37"/>
      <x:c r="E103" s="36"/>
      <x:c r="F103" s="63" t="str">
        <x:f>IF($A103="","",IFERROR($D103/MAX($E103,1),$D103))</x:f>
      </x:c>
      <x:c r="G103" s="36"/>
      <x:c r="H103" s="59"/>
      <x:c r="I103" s="36"/>
      <x:c r="J103" s="36"/>
      <x:c r="K103" s="63" t="str">
        <x:f>IF($A103="","",$F103)</x:f>
      </x:c>
      <x:c r="L103" s="36"/>
    </x:row>
    <x:row r="104">
      <x:c r="A104" s="36"/>
      <x:c r="B104" s="36"/>
      <x:c r="C104" s="36"/>
      <x:c r="D104" s="37"/>
      <x:c r="E104" s="36"/>
      <x:c r="F104" s="63" t="str">
        <x:f>IF($A104="","",IFERROR($D104/MAX($E104,1),$D104))</x:f>
      </x:c>
      <x:c r="G104" s="36"/>
      <x:c r="H104" s="59"/>
      <x:c r="I104" s="36"/>
      <x:c r="J104" s="36"/>
      <x:c r="K104" s="63" t="str">
        <x:f>IF($A104="","",$F104)</x:f>
      </x:c>
      <x:c r="L104" s="36"/>
    </x:row>
    <x:row r="105">
      <x:c r="A105" s="36"/>
      <x:c r="B105" s="36"/>
      <x:c r="C105" s="36"/>
      <x:c r="D105" s="37"/>
      <x:c r="E105" s="36"/>
      <x:c r="F105" s="63" t="str">
        <x:f>IF($A105="","",IFERROR($D105/MAX($E105,1),$D105))</x:f>
      </x:c>
      <x:c r="G105" s="36"/>
      <x:c r="H105" s="59"/>
      <x:c r="I105" s="36"/>
      <x:c r="J105" s="36"/>
      <x:c r="K105" s="63" t="str">
        <x:f>IF($A105="","",$F105)</x:f>
      </x:c>
      <x:c r="L105" s="36"/>
    </x:row>
    <x:row r="106">
      <x:c r="A106" s="36"/>
      <x:c r="B106" s="36"/>
      <x:c r="C106" s="36"/>
      <x:c r="D106" s="37"/>
      <x:c r="E106" s="36"/>
      <x:c r="F106" s="63" t="str">
        <x:f>IF($A106="","",IFERROR($D106/MAX($E106,1),$D106))</x:f>
      </x:c>
      <x:c r="G106" s="36"/>
      <x:c r="H106" s="59"/>
      <x:c r="I106" s="36"/>
      <x:c r="J106" s="36"/>
      <x:c r="K106" s="63" t="str">
        <x:f>IF($A106="","",$F106)</x:f>
      </x:c>
      <x:c r="L106" s="36"/>
    </x:row>
    <x:row r="107">
      <x:c r="A107" s="36"/>
      <x:c r="B107" s="36"/>
      <x:c r="C107" s="36"/>
      <x:c r="D107" s="37"/>
      <x:c r="E107" s="36"/>
      <x:c r="F107" s="63" t="str">
        <x:f>IF($A107="","",IFERROR($D107/MAX($E107,1),$D107))</x:f>
      </x:c>
      <x:c r="G107" s="36"/>
      <x:c r="H107" s="59"/>
      <x:c r="I107" s="36"/>
      <x:c r="J107" s="36"/>
      <x:c r="K107" s="63" t="str">
        <x:f>IF($A107="","",$F107)</x:f>
      </x:c>
      <x:c r="L107" s="36"/>
    </x:row>
    <x:row r="108">
      <x:c r="A108" s="36"/>
      <x:c r="B108" s="36"/>
      <x:c r="C108" s="36"/>
      <x:c r="D108" s="37"/>
      <x:c r="E108" s="36"/>
      <x:c r="F108" s="63" t="str">
        <x:f>IF($A108="","",IFERROR($D108/MAX($E108,1),$D108))</x:f>
      </x:c>
      <x:c r="G108" s="36"/>
      <x:c r="H108" s="59"/>
      <x:c r="I108" s="36"/>
      <x:c r="J108" s="36"/>
      <x:c r="K108" s="63" t="str">
        <x:f>IF($A108="","",$F108)</x:f>
      </x:c>
      <x:c r="L108" s="36"/>
    </x:row>
    <x:row r="109">
      <x:c r="A109" s="36"/>
      <x:c r="B109" s="36"/>
      <x:c r="C109" s="36"/>
      <x:c r="D109" s="37"/>
      <x:c r="E109" s="36"/>
      <x:c r="F109" s="63" t="str">
        <x:f>IF($A109="","",IFERROR($D109/MAX($E109,1),$D109))</x:f>
      </x:c>
      <x:c r="G109" s="36"/>
      <x:c r="H109" s="59"/>
      <x:c r="I109" s="36"/>
      <x:c r="J109" s="36"/>
      <x:c r="K109" s="63" t="str">
        <x:f>IF($A109="","",$F109)</x:f>
      </x:c>
      <x:c r="L109" s="36"/>
    </x:row>
    <x:row r="110">
      <x:c r="A110" s="36"/>
      <x:c r="B110" s="36"/>
      <x:c r="C110" s="36"/>
      <x:c r="D110" s="37"/>
      <x:c r="E110" s="36"/>
      <x:c r="F110" s="63" t="str">
        <x:f>IF($A110="","",IFERROR($D110/MAX($E110,1),$D110))</x:f>
      </x:c>
      <x:c r="G110" s="36"/>
      <x:c r="H110" s="59"/>
      <x:c r="I110" s="36"/>
      <x:c r="J110" s="36"/>
      <x:c r="K110" s="63" t="str">
        <x:f>IF($A110="","",$F110)</x:f>
      </x:c>
      <x:c r="L110" s="36"/>
    </x:row>
    <x:row r="111">
      <x:c r="A111" s="36"/>
      <x:c r="B111" s="36"/>
      <x:c r="C111" s="36"/>
      <x:c r="D111" s="37"/>
      <x:c r="E111" s="36"/>
      <x:c r="F111" s="63" t="str">
        <x:f>IF($A111="","",IFERROR($D111/MAX($E111,1),$D111))</x:f>
      </x:c>
      <x:c r="G111" s="36"/>
      <x:c r="H111" s="59"/>
      <x:c r="I111" s="36"/>
      <x:c r="J111" s="36"/>
      <x:c r="K111" s="63" t="str">
        <x:f>IF($A111="","",$F111)</x:f>
      </x:c>
      <x:c r="L111" s="36"/>
    </x:row>
    <x:row r="112">
      <x:c r="A112" s="36"/>
      <x:c r="B112" s="36"/>
      <x:c r="C112" s="36"/>
      <x:c r="D112" s="37"/>
      <x:c r="E112" s="36"/>
      <x:c r="F112" s="63" t="str">
        <x:f>IF($A112="","",IFERROR($D112/MAX($E112,1),$D112))</x:f>
      </x:c>
      <x:c r="G112" s="36"/>
      <x:c r="H112" s="59"/>
      <x:c r="I112" s="36"/>
      <x:c r="J112" s="36"/>
      <x:c r="K112" s="63" t="str">
        <x:f>IF($A112="","",$F112)</x:f>
      </x:c>
      <x:c r="L112" s="36"/>
    </x:row>
    <x:row r="113">
      <x:c r="A113" s="36"/>
      <x:c r="B113" s="36"/>
      <x:c r="C113" s="36"/>
      <x:c r="D113" s="37"/>
      <x:c r="E113" s="36"/>
      <x:c r="F113" s="63" t="str">
        <x:f>IF($A113="","",IFERROR($D113/MAX($E113,1),$D113))</x:f>
      </x:c>
      <x:c r="G113" s="36"/>
      <x:c r="H113" s="59"/>
      <x:c r="I113" s="36"/>
      <x:c r="J113" s="36"/>
      <x:c r="K113" s="63" t="str">
        <x:f>IF($A113="","",$F113)</x:f>
      </x:c>
      <x:c r="L113" s="36"/>
    </x:row>
    <x:row r="114">
      <x:c r="A114" s="36"/>
      <x:c r="B114" s="36"/>
      <x:c r="C114" s="36"/>
      <x:c r="D114" s="37"/>
      <x:c r="E114" s="36"/>
      <x:c r="F114" s="63" t="str">
        <x:f>IF($A114="","",IFERROR($D114/MAX($E114,1),$D114))</x:f>
      </x:c>
      <x:c r="G114" s="36"/>
      <x:c r="H114" s="59"/>
      <x:c r="I114" s="36"/>
      <x:c r="J114" s="36"/>
      <x:c r="K114" s="63" t="str">
        <x:f>IF($A114="","",$F114)</x:f>
      </x:c>
      <x:c r="L114" s="36"/>
    </x:row>
    <x:row r="115">
      <x:c r="A115" s="36"/>
      <x:c r="B115" s="36"/>
      <x:c r="C115" s="36"/>
      <x:c r="D115" s="37"/>
      <x:c r="E115" s="36"/>
      <x:c r="F115" s="63" t="str">
        <x:f>IF($A115="","",IFERROR($D115/MAX($E115,1),$D115))</x:f>
      </x:c>
      <x:c r="G115" s="36"/>
      <x:c r="H115" s="59"/>
      <x:c r="I115" s="36"/>
      <x:c r="J115" s="36"/>
      <x:c r="K115" s="63" t="str">
        <x:f>IF($A115="","",$F115)</x:f>
      </x:c>
      <x:c r="L115" s="36"/>
    </x:row>
    <x:row r="116">
      <x:c r="A116" s="36"/>
      <x:c r="B116" s="36"/>
      <x:c r="C116" s="36"/>
      <x:c r="D116" s="37"/>
      <x:c r="E116" s="36"/>
      <x:c r="F116" s="63" t="str">
        <x:f>IF($A116="","",IFERROR($D116/MAX($E116,1),$D116))</x:f>
      </x:c>
      <x:c r="G116" s="36"/>
      <x:c r="H116" s="59"/>
      <x:c r="I116" s="36"/>
      <x:c r="J116" s="36"/>
      <x:c r="K116" s="63" t="str">
        <x:f>IF($A116="","",$F116)</x:f>
      </x:c>
      <x:c r="L116" s="36"/>
    </x:row>
    <x:row r="117">
      <x:c r="A117" s="36"/>
      <x:c r="B117" s="36"/>
      <x:c r="C117" s="36"/>
      <x:c r="D117" s="37"/>
      <x:c r="E117" s="36"/>
      <x:c r="F117" s="63" t="str">
        <x:f>IF($A117="","",IFERROR($D117/MAX($E117,1),$D117))</x:f>
      </x:c>
      <x:c r="G117" s="36"/>
      <x:c r="H117" s="59"/>
      <x:c r="I117" s="36"/>
      <x:c r="J117" s="36"/>
      <x:c r="K117" s="63" t="str">
        <x:f>IF($A117="","",$F117)</x:f>
      </x:c>
      <x:c r="L117" s="36"/>
    </x:row>
    <x:row r="118">
      <x:c r="A118" s="36"/>
      <x:c r="B118" s="36"/>
      <x:c r="C118" s="36"/>
      <x:c r="D118" s="37"/>
      <x:c r="E118" s="36"/>
      <x:c r="F118" s="63" t="str">
        <x:f>IF($A118="","",IFERROR($D118/MAX($E118,1),$D118))</x:f>
      </x:c>
      <x:c r="G118" s="36"/>
      <x:c r="H118" s="59"/>
      <x:c r="I118" s="36"/>
      <x:c r="J118" s="36"/>
      <x:c r="K118" s="63" t="str">
        <x:f>IF($A118="","",$F118)</x:f>
      </x:c>
      <x:c r="L118" s="36"/>
    </x:row>
    <x:row r="119">
      <x:c r="A119" s="36"/>
      <x:c r="B119" s="36"/>
      <x:c r="C119" s="36"/>
      <x:c r="D119" s="37"/>
      <x:c r="E119" s="36"/>
      <x:c r="F119" s="63" t="str">
        <x:f>IF($A119="","",IFERROR($D119/MAX($E119,1),$D119))</x:f>
      </x:c>
      <x:c r="G119" s="36"/>
      <x:c r="H119" s="59"/>
      <x:c r="I119" s="36"/>
      <x:c r="J119" s="36"/>
      <x:c r="K119" s="63" t="str">
        <x:f>IF($A119="","",$F119)</x:f>
      </x:c>
      <x:c r="L119" s="36"/>
    </x:row>
    <x:row r="120">
      <x:c r="A120" s="36"/>
      <x:c r="B120" s="36"/>
      <x:c r="C120" s="36"/>
      <x:c r="D120" s="37"/>
      <x:c r="E120" s="36"/>
      <x:c r="F120" s="63" t="str">
        <x:f>IF($A120="","",IFERROR($D120/MAX($E120,1),$D120))</x:f>
      </x:c>
      <x:c r="G120" s="36"/>
      <x:c r="H120" s="59"/>
      <x:c r="I120" s="36"/>
      <x:c r="J120" s="36"/>
      <x:c r="K120" s="63" t="str">
        <x:f>IF($A120="","",$F120)</x:f>
      </x:c>
      <x:c r="L120" s="36"/>
    </x:row>
    <x:row r="121">
      <x:c r="A121" s="36"/>
      <x:c r="B121" s="36"/>
      <x:c r="C121" s="36"/>
      <x:c r="D121" s="37"/>
      <x:c r="E121" s="36"/>
      <x:c r="F121" s="63" t="str">
        <x:f>IF($A121="","",IFERROR($D121/MAX($E121,1),$D121))</x:f>
      </x:c>
      <x:c r="G121" s="36"/>
      <x:c r="H121" s="59"/>
      <x:c r="I121" s="36"/>
      <x:c r="J121" s="36"/>
      <x:c r="K121" s="63" t="str">
        <x:f>IF($A121="","",$F121)</x:f>
      </x:c>
      <x:c r="L121" s="36"/>
    </x:row>
    <x:row r="122">
      <x:c r="A122" s="36"/>
      <x:c r="B122" s="36"/>
      <x:c r="C122" s="36"/>
      <x:c r="D122" s="37"/>
      <x:c r="E122" s="36"/>
      <x:c r="F122" s="63" t="str">
        <x:f>IF($A122="","",IFERROR($D122/MAX($E122,1),$D122))</x:f>
      </x:c>
      <x:c r="G122" s="36"/>
      <x:c r="H122" s="59"/>
      <x:c r="I122" s="36"/>
      <x:c r="J122" s="36"/>
      <x:c r="K122" s="63" t="str">
        <x:f>IF($A122="","",$F122)</x:f>
      </x:c>
      <x:c r="L122" s="36"/>
    </x:row>
    <x:row r="123">
      <x:c r="A123" s="36"/>
      <x:c r="B123" s="36"/>
      <x:c r="C123" s="36"/>
      <x:c r="D123" s="37"/>
      <x:c r="E123" s="36"/>
      <x:c r="F123" s="63" t="str">
        <x:f>IF($A123="","",IFERROR($D123/MAX($E123,1),$D123))</x:f>
      </x:c>
      <x:c r="G123" s="36"/>
      <x:c r="H123" s="59"/>
      <x:c r="I123" s="36"/>
      <x:c r="J123" s="36"/>
      <x:c r="K123" s="63" t="str">
        <x:f>IF($A123="","",$F123)</x:f>
      </x:c>
      <x:c r="L123" s="36"/>
    </x:row>
    <x:row r="124">
      <x:c r="A124" s="36"/>
      <x:c r="B124" s="36"/>
      <x:c r="C124" s="36"/>
      <x:c r="D124" s="37"/>
      <x:c r="E124" s="36"/>
      <x:c r="F124" s="63" t="str">
        <x:f>IF($A124="","",IFERROR($D124/MAX($E124,1),$D124))</x:f>
      </x:c>
      <x:c r="G124" s="36"/>
      <x:c r="H124" s="59"/>
      <x:c r="I124" s="36"/>
      <x:c r="J124" s="36"/>
      <x:c r="K124" s="63" t="str">
        <x:f>IF($A124="","",$F124)</x:f>
      </x:c>
      <x:c r="L124" s="36"/>
    </x:row>
    <x:row r="125">
      <x:c r="A125" s="36"/>
      <x:c r="B125" s="36"/>
      <x:c r="C125" s="36"/>
      <x:c r="D125" s="37"/>
      <x:c r="E125" s="36"/>
      <x:c r="F125" s="63" t="str">
        <x:f>IF($A125="","",IFERROR($D125/MAX($E125,1),$D125))</x:f>
      </x:c>
      <x:c r="G125" s="36"/>
      <x:c r="H125" s="59"/>
      <x:c r="I125" s="36"/>
      <x:c r="J125" s="36"/>
      <x:c r="K125" s="63" t="str">
        <x:f>IF($A125="","",$F125)</x:f>
      </x:c>
      <x:c r="L125" s="36"/>
    </x:row>
    <x:row r="126">
      <x:c r="A126" s="36"/>
      <x:c r="B126" s="36"/>
      <x:c r="C126" s="36"/>
      <x:c r="D126" s="37"/>
      <x:c r="E126" s="36"/>
      <x:c r="F126" s="63" t="str">
        <x:f>IF($A126="","",IFERROR($D126/MAX($E126,1),$D126))</x:f>
      </x:c>
      <x:c r="G126" s="36"/>
      <x:c r="H126" s="59"/>
      <x:c r="I126" s="36"/>
      <x:c r="J126" s="36"/>
      <x:c r="K126" s="63" t="str">
        <x:f>IF($A126="","",$F126)</x:f>
      </x:c>
      <x:c r="L126" s="36"/>
    </x:row>
    <x:row r="127">
      <x:c r="A127" s="36"/>
      <x:c r="B127" s="36"/>
      <x:c r="C127" s="36"/>
      <x:c r="D127" s="37"/>
      <x:c r="E127" s="36"/>
      <x:c r="F127" s="63" t="str">
        <x:f>IF($A127="","",IFERROR($D127/MAX($E127,1),$D127))</x:f>
      </x:c>
      <x:c r="G127" s="36"/>
      <x:c r="H127" s="59"/>
      <x:c r="I127" s="36"/>
      <x:c r="J127" s="36"/>
      <x:c r="K127" s="63" t="str">
        <x:f>IF($A127="","",$F127)</x:f>
      </x:c>
      <x:c r="L127" s="36"/>
    </x:row>
    <x:row r="128">
      <x:c r="A128" s="36"/>
      <x:c r="B128" s="36"/>
      <x:c r="C128" s="36"/>
      <x:c r="D128" s="37"/>
      <x:c r="E128" s="36"/>
      <x:c r="F128" s="63" t="str">
        <x:f>IF($A128="","",IFERROR($D128/MAX($E128,1),$D128))</x:f>
      </x:c>
      <x:c r="G128" s="36"/>
      <x:c r="H128" s="59"/>
      <x:c r="I128" s="36"/>
      <x:c r="J128" s="36"/>
      <x:c r="K128" s="63" t="str">
        <x:f>IF($A128="","",$F128)</x:f>
      </x:c>
      <x:c r="L128" s="36"/>
    </x:row>
    <x:row r="129">
      <x:c r="A129" s="36"/>
      <x:c r="B129" s="36"/>
      <x:c r="C129" s="36"/>
      <x:c r="D129" s="37"/>
      <x:c r="E129" s="36"/>
      <x:c r="F129" s="63" t="str">
        <x:f>IF($A129="","",IFERROR($D129/MAX($E129,1),$D129))</x:f>
      </x:c>
      <x:c r="G129" s="36"/>
      <x:c r="H129" s="59"/>
      <x:c r="I129" s="36"/>
      <x:c r="J129" s="36"/>
      <x:c r="K129" s="63" t="str">
        <x:f>IF($A129="","",$F129)</x:f>
      </x:c>
      <x:c r="L129" s="36"/>
    </x:row>
    <x:row r="130">
      <x:c r="A130" s="36"/>
      <x:c r="B130" s="36"/>
      <x:c r="C130" s="36"/>
      <x:c r="D130" s="37"/>
      <x:c r="E130" s="36"/>
      <x:c r="F130" s="63" t="str">
        <x:f>IF($A130="","",IFERROR($D130/MAX($E130,1),$D130))</x:f>
      </x:c>
      <x:c r="G130" s="36"/>
      <x:c r="H130" s="59"/>
      <x:c r="I130" s="36"/>
      <x:c r="J130" s="36"/>
      <x:c r="K130" s="63" t="str">
        <x:f>IF($A130="","",$F130)</x:f>
      </x:c>
      <x:c r="L130" s="36"/>
    </x:row>
    <x:row r="131">
      <x:c r="A131" s="36"/>
      <x:c r="B131" s="36"/>
      <x:c r="C131" s="36"/>
      <x:c r="D131" s="37"/>
      <x:c r="E131" s="36"/>
      <x:c r="F131" s="63" t="str">
        <x:f>IF($A131="","",IFERROR($D131/MAX($E131,1),$D131))</x:f>
      </x:c>
      <x:c r="G131" s="36"/>
      <x:c r="H131" s="59"/>
      <x:c r="I131" s="36"/>
      <x:c r="J131" s="36"/>
      <x:c r="K131" s="63" t="str">
        <x:f>IF($A131="","",$F131)</x:f>
      </x:c>
      <x:c r="L131" s="36"/>
    </x:row>
    <x:row r="132">
      <x:c r="A132" s="36"/>
      <x:c r="B132" s="36"/>
      <x:c r="C132" s="36"/>
      <x:c r="D132" s="37"/>
      <x:c r="E132" s="36"/>
      <x:c r="F132" s="63" t="str">
        <x:f>IF($A132="","",IFERROR($D132/MAX($E132,1),$D132))</x:f>
      </x:c>
      <x:c r="G132" s="36"/>
      <x:c r="H132" s="59"/>
      <x:c r="I132" s="36"/>
      <x:c r="J132" s="36"/>
      <x:c r="K132" s="63" t="str">
        <x:f>IF($A132="","",$F132)</x:f>
      </x:c>
      <x:c r="L132" s="36"/>
    </x:row>
    <x:row r="133">
      <x:c r="A133" s="36"/>
      <x:c r="B133" s="36"/>
      <x:c r="C133" s="36"/>
      <x:c r="D133" s="37"/>
      <x:c r="E133" s="36"/>
      <x:c r="F133" s="63" t="str">
        <x:f>IF($A133="","",IFERROR($D133/MAX($E133,1),$D133))</x:f>
      </x:c>
      <x:c r="G133" s="36"/>
      <x:c r="H133" s="59"/>
      <x:c r="I133" s="36"/>
      <x:c r="J133" s="36"/>
      <x:c r="K133" s="63" t="str">
        <x:f>IF($A133="","",$F133)</x:f>
      </x:c>
      <x:c r="L133" s="36"/>
    </x:row>
    <x:row r="134">
      <x:c r="A134" s="36"/>
      <x:c r="B134" s="36"/>
      <x:c r="C134" s="36"/>
      <x:c r="D134" s="37"/>
      <x:c r="E134" s="36"/>
      <x:c r="F134" s="63" t="str">
        <x:f>IF($A134="","",IFERROR($D134/MAX($E134,1),$D134))</x:f>
      </x:c>
      <x:c r="G134" s="36"/>
      <x:c r="H134" s="59"/>
      <x:c r="I134" s="36"/>
      <x:c r="J134" s="36"/>
      <x:c r="K134" s="63" t="str">
        <x:f>IF($A134="","",$F134)</x:f>
      </x:c>
      <x:c r="L134" s="36"/>
    </x:row>
    <x:row r="135">
      <x:c r="A135" s="36"/>
      <x:c r="B135" s="36"/>
      <x:c r="C135" s="36"/>
      <x:c r="D135" s="37"/>
      <x:c r="E135" s="36"/>
      <x:c r="F135" s="63" t="str">
        <x:f>IF($A135="","",IFERROR($D135/MAX($E135,1),$D135))</x:f>
      </x:c>
      <x:c r="G135" s="36"/>
      <x:c r="H135" s="59"/>
      <x:c r="I135" s="36"/>
      <x:c r="J135" s="36"/>
      <x:c r="K135" s="63" t="str">
        <x:f>IF($A135="","",$F135)</x:f>
      </x:c>
      <x:c r="L135" s="36"/>
    </x:row>
    <x:row r="136">
      <x:c r="A136" s="36"/>
      <x:c r="B136" s="36"/>
      <x:c r="C136" s="36"/>
      <x:c r="D136" s="37"/>
      <x:c r="E136" s="36"/>
      <x:c r="F136" s="63" t="str">
        <x:f>IF($A136="","",IFERROR($D136/MAX($E136,1),$D136))</x:f>
      </x:c>
      <x:c r="G136" s="36"/>
      <x:c r="H136" s="59"/>
      <x:c r="I136" s="36"/>
      <x:c r="J136" s="36"/>
      <x:c r="K136" s="63" t="str">
        <x:f>IF($A136="","",$F136)</x:f>
      </x:c>
      <x:c r="L136" s="36"/>
    </x:row>
    <x:row r="137">
      <x:c r="A137" s="36"/>
      <x:c r="B137" s="36"/>
      <x:c r="C137" s="36"/>
      <x:c r="D137" s="37"/>
      <x:c r="E137" s="36"/>
      <x:c r="F137" s="63" t="str">
        <x:f>IF($A137="","",IFERROR($D137/MAX($E137,1),$D137))</x:f>
      </x:c>
      <x:c r="G137" s="36"/>
      <x:c r="H137" s="59"/>
      <x:c r="I137" s="36"/>
      <x:c r="J137" s="36"/>
      <x:c r="K137" s="63" t="str">
        <x:f>IF($A137="","",$F137)</x:f>
      </x:c>
      <x:c r="L137" s="36"/>
    </x:row>
    <x:row r="138">
      <x:c r="A138" s="36"/>
      <x:c r="B138" s="36"/>
      <x:c r="C138" s="36"/>
      <x:c r="D138" s="37"/>
      <x:c r="E138" s="36"/>
      <x:c r="F138" s="63" t="str">
        <x:f>IF($A138="","",IFERROR($D138/MAX($E138,1),$D138))</x:f>
      </x:c>
      <x:c r="G138" s="36"/>
      <x:c r="H138" s="59"/>
      <x:c r="I138" s="36"/>
      <x:c r="J138" s="36"/>
      <x:c r="K138" s="63" t="str">
        <x:f>IF($A138="","",$F138)</x:f>
      </x:c>
      <x:c r="L138" s="36"/>
    </x:row>
    <x:row r="139">
      <x:c r="A139" s="36"/>
      <x:c r="B139" s="36"/>
      <x:c r="C139" s="36"/>
      <x:c r="D139" s="37"/>
      <x:c r="E139" s="36"/>
      <x:c r="F139" s="63" t="str">
        <x:f>IF($A139="","",IFERROR($D139/MAX($E139,1),$D139))</x:f>
      </x:c>
      <x:c r="G139" s="36"/>
      <x:c r="H139" s="59"/>
      <x:c r="I139" s="36"/>
      <x:c r="J139" s="36"/>
      <x:c r="K139" s="63" t="str">
        <x:f>IF($A139="","",$F139)</x:f>
      </x:c>
      <x:c r="L139" s="36"/>
    </x:row>
    <x:row r="140">
      <x:c r="A140" s="36"/>
      <x:c r="B140" s="36"/>
      <x:c r="C140" s="36"/>
      <x:c r="D140" s="37"/>
      <x:c r="E140" s="36"/>
      <x:c r="F140" s="63" t="str">
        <x:f>IF($A140="","",IFERROR($D140/MAX($E140,1),$D140))</x:f>
      </x:c>
      <x:c r="G140" s="36"/>
      <x:c r="H140" s="59"/>
      <x:c r="I140" s="36"/>
      <x:c r="J140" s="36"/>
      <x:c r="K140" s="63" t="str">
        <x:f>IF($A140="","",$F140)</x:f>
      </x:c>
      <x:c r="L140" s="36"/>
    </x:row>
    <x:row r="141">
      <x:c r="A141" s="36"/>
      <x:c r="B141" s="36"/>
      <x:c r="C141" s="36"/>
      <x:c r="D141" s="37"/>
      <x:c r="E141" s="36"/>
      <x:c r="F141" s="63" t="str">
        <x:f>IF($A141="","",IFERROR($D141/MAX($E141,1),$D141))</x:f>
      </x:c>
      <x:c r="G141" s="36"/>
      <x:c r="H141" s="59"/>
      <x:c r="I141" s="36"/>
      <x:c r="J141" s="36"/>
      <x:c r="K141" s="63" t="str">
        <x:f>IF($A141="","",$F141)</x:f>
      </x:c>
      <x:c r="L141" s="36"/>
    </x:row>
    <x:row r="142">
      <x:c r="A142" s="36"/>
      <x:c r="B142" s="36"/>
      <x:c r="C142" s="36"/>
      <x:c r="D142" s="37"/>
      <x:c r="E142" s="36"/>
      <x:c r="F142" s="63" t="str">
        <x:f>IF($A142="","",IFERROR($D142/MAX($E142,1),$D142))</x:f>
      </x:c>
      <x:c r="G142" s="36"/>
      <x:c r="H142" s="59"/>
      <x:c r="I142" s="36"/>
      <x:c r="J142" s="36"/>
      <x:c r="K142" s="63" t="str">
        <x:f>IF($A142="","",$F142)</x:f>
      </x:c>
      <x:c r="L142" s="36"/>
    </x:row>
    <x:row r="143">
      <x:c r="A143" s="36"/>
      <x:c r="B143" s="36"/>
      <x:c r="C143" s="36"/>
      <x:c r="D143" s="37"/>
      <x:c r="E143" s="36"/>
      <x:c r="F143" s="63" t="str">
        <x:f>IF($A143="","",IFERROR($D143/MAX($E143,1),$D143))</x:f>
      </x:c>
      <x:c r="G143" s="36"/>
      <x:c r="H143" s="59"/>
      <x:c r="I143" s="36"/>
      <x:c r="J143" s="36"/>
      <x:c r="K143" s="63" t="str">
        <x:f>IF($A143="","",$F143)</x:f>
      </x:c>
      <x:c r="L143" s="36"/>
    </x:row>
    <x:row r="144">
      <x:c r="A144" s="36"/>
      <x:c r="B144" s="36"/>
      <x:c r="C144" s="36"/>
      <x:c r="D144" s="37"/>
      <x:c r="E144" s="36"/>
      <x:c r="F144" s="63" t="str">
        <x:f>IF($A144="","",IFERROR($D144/MAX($E144,1),$D144))</x:f>
      </x:c>
      <x:c r="G144" s="36"/>
      <x:c r="H144" s="59"/>
      <x:c r="I144" s="36"/>
      <x:c r="J144" s="36"/>
      <x:c r="K144" s="63" t="str">
        <x:f>IF($A144="","",$F144)</x:f>
      </x:c>
      <x:c r="L144" s="36"/>
    </x:row>
    <x:row r="145">
      <x:c r="A145" s="36"/>
      <x:c r="B145" s="36"/>
      <x:c r="C145" s="36"/>
      <x:c r="D145" s="37"/>
      <x:c r="E145" s="36"/>
      <x:c r="F145" s="63" t="str">
        <x:f>IF($A145="","",IFERROR($D145/MAX($E145,1),$D145))</x:f>
      </x:c>
      <x:c r="G145" s="36"/>
      <x:c r="H145" s="59"/>
      <x:c r="I145" s="36"/>
      <x:c r="J145" s="36"/>
      <x:c r="K145" s="63" t="str">
        <x:f>IF($A145="","",$F145)</x:f>
      </x:c>
      <x:c r="L145" s="36"/>
    </x:row>
    <x:row r="146">
      <x:c r="A146" s="36"/>
      <x:c r="B146" s="36"/>
      <x:c r="C146" s="36"/>
      <x:c r="D146" s="37"/>
      <x:c r="E146" s="36"/>
      <x:c r="F146" s="63" t="str">
        <x:f>IF($A146="","",IFERROR($D146/MAX($E146,1),$D146))</x:f>
      </x:c>
      <x:c r="G146" s="36"/>
      <x:c r="H146" s="59"/>
      <x:c r="I146" s="36"/>
      <x:c r="J146" s="36"/>
      <x:c r="K146" s="63" t="str">
        <x:f>IF($A146="","",$F146)</x:f>
      </x:c>
      <x:c r="L146" s="36"/>
    </x:row>
    <x:row r="147">
      <x:c r="A147" s="36"/>
      <x:c r="B147" s="36"/>
      <x:c r="C147" s="36"/>
      <x:c r="D147" s="37"/>
      <x:c r="E147" s="36"/>
      <x:c r="F147" s="63" t="str">
        <x:f>IF($A147="","",IFERROR($D147/MAX($E147,1),$D147))</x:f>
      </x:c>
      <x:c r="G147" s="36"/>
      <x:c r="H147" s="59"/>
      <x:c r="I147" s="36"/>
      <x:c r="J147" s="36"/>
      <x:c r="K147" s="63" t="str">
        <x:f>IF($A147="","",$F147)</x:f>
      </x:c>
      <x:c r="L147" s="36"/>
    </x:row>
    <x:row r="148">
      <x:c r="A148" s="36"/>
      <x:c r="B148" s="36"/>
      <x:c r="C148" s="36"/>
      <x:c r="D148" s="37"/>
      <x:c r="E148" s="36"/>
      <x:c r="F148" s="63" t="str">
        <x:f>IF($A148="","",IFERROR($D148/MAX($E148,1),$D148))</x:f>
      </x:c>
      <x:c r="G148" s="36"/>
      <x:c r="H148" s="59"/>
      <x:c r="I148" s="36"/>
      <x:c r="J148" s="36"/>
      <x:c r="K148" s="63" t="str">
        <x:f>IF($A148="","",$F148)</x:f>
      </x:c>
      <x:c r="L148" s="36"/>
    </x:row>
    <x:row r="149">
      <x:c r="A149" s="36"/>
      <x:c r="B149" s="36"/>
      <x:c r="C149" s="36"/>
      <x:c r="D149" s="37"/>
      <x:c r="E149" s="36"/>
      <x:c r="F149" s="63" t="str">
        <x:f>IF($A149="","",IFERROR($D149/MAX($E149,1),$D149))</x:f>
      </x:c>
      <x:c r="G149" s="36"/>
      <x:c r="H149" s="59"/>
      <x:c r="I149" s="36"/>
      <x:c r="J149" s="36"/>
      <x:c r="K149" s="63" t="str">
        <x:f>IF($A149="","",$F149)</x:f>
      </x:c>
      <x:c r="L149" s="36"/>
    </x:row>
    <x:row r="150">
      <x:c r="A150" s="36"/>
      <x:c r="B150" s="36"/>
      <x:c r="C150" s="36"/>
      <x:c r="D150" s="37"/>
      <x:c r="E150" s="36"/>
      <x:c r="F150" s="63" t="str">
        <x:f>IF($A150="","",IFERROR($D150/MAX($E150,1),$D150))</x:f>
      </x:c>
      <x:c r="G150" s="36"/>
      <x:c r="H150" s="59"/>
      <x:c r="I150" s="36"/>
      <x:c r="J150" s="36"/>
      <x:c r="K150" s="63" t="str">
        <x:f>IF($A150="","",$F150)</x:f>
      </x:c>
      <x:c r="L150" s="36"/>
    </x:row>
    <x:row r="151">
      <x:c r="A151" s="36"/>
      <x:c r="B151" s="36"/>
      <x:c r="C151" s="36"/>
      <x:c r="D151" s="37"/>
      <x:c r="E151" s="36"/>
      <x:c r="F151" s="63" t="str">
        <x:f>IF($A151="","",IFERROR($D151/MAX($E151,1),$D151))</x:f>
      </x:c>
      <x:c r="G151" s="36"/>
      <x:c r="H151" s="59"/>
      <x:c r="I151" s="36"/>
      <x:c r="J151" s="36"/>
      <x:c r="K151" s="63" t="str">
        <x:f>IF($A151="","",$F151)</x:f>
      </x:c>
      <x:c r="L151" s="36"/>
    </x:row>
    <x:row r="152">
      <x:c r="A152" s="36"/>
      <x:c r="B152" s="36"/>
      <x:c r="C152" s="36"/>
      <x:c r="D152" s="37"/>
      <x:c r="E152" s="36"/>
      <x:c r="F152" s="63" t="str">
        <x:f>IF($A152="","",IFERROR($D152/MAX($E152,1),$D152))</x:f>
      </x:c>
      <x:c r="G152" s="36"/>
      <x:c r="H152" s="59"/>
      <x:c r="I152" s="36"/>
      <x:c r="J152" s="36"/>
      <x:c r="K152" s="63" t="str">
        <x:f>IF($A152="","",$F152)</x:f>
      </x:c>
      <x:c r="L152" s="36"/>
    </x:row>
    <x:row r="153">
      <x:c r="A153" s="36"/>
      <x:c r="B153" s="36"/>
      <x:c r="C153" s="36"/>
      <x:c r="D153" s="37"/>
      <x:c r="E153" s="36"/>
      <x:c r="F153" s="63" t="str">
        <x:f>IF($A153="","",IFERROR($D153/MAX($E153,1),$D153))</x:f>
      </x:c>
      <x:c r="G153" s="36"/>
      <x:c r="H153" s="59"/>
      <x:c r="I153" s="36"/>
      <x:c r="J153" s="36"/>
      <x:c r="K153" s="63" t="str">
        <x:f>IF($A153="","",$F153)</x:f>
      </x:c>
      <x:c r="L153" s="36"/>
    </x:row>
    <x:row r="154">
      <x:c r="A154" s="36"/>
      <x:c r="B154" s="36"/>
      <x:c r="C154" s="36"/>
      <x:c r="D154" s="37"/>
      <x:c r="E154" s="36"/>
      <x:c r="F154" s="63" t="str">
        <x:f>IF($A154="","",IFERROR($D154/MAX($E154,1),$D154))</x:f>
      </x:c>
      <x:c r="G154" s="36"/>
      <x:c r="H154" s="59"/>
      <x:c r="I154" s="36"/>
      <x:c r="J154" s="36"/>
      <x:c r="K154" s="63" t="str">
        <x:f>IF($A154="","",$F154)</x:f>
      </x:c>
      <x:c r="L154" s="36"/>
    </x:row>
    <x:row r="155">
      <x:c r="A155" s="36"/>
      <x:c r="B155" s="36"/>
      <x:c r="C155" s="36"/>
      <x:c r="D155" s="37"/>
      <x:c r="E155" s="36"/>
      <x:c r="F155" s="63" t="str">
        <x:f>IF($A155="","",IFERROR($D155/MAX($E155,1),$D155))</x:f>
      </x:c>
      <x:c r="G155" s="36"/>
      <x:c r="H155" s="59"/>
      <x:c r="I155" s="36"/>
      <x:c r="J155" s="36"/>
      <x:c r="K155" s="63" t="str">
        <x:f>IF($A155="","",$F155)</x:f>
      </x:c>
      <x:c r="L155" s="36"/>
    </x:row>
    <x:row r="156">
      <x:c r="A156" s="36"/>
      <x:c r="B156" s="36"/>
      <x:c r="C156" s="36"/>
      <x:c r="D156" s="37"/>
      <x:c r="E156" s="36"/>
      <x:c r="F156" s="63" t="str">
        <x:f>IF($A156="","",IFERROR($D156/MAX($E156,1),$D156))</x:f>
      </x:c>
      <x:c r="G156" s="36"/>
      <x:c r="H156" s="59"/>
      <x:c r="I156" s="36"/>
      <x:c r="J156" s="36"/>
      <x:c r="K156" s="63" t="str">
        <x:f>IF($A156="","",$F156)</x:f>
      </x:c>
      <x:c r="L156" s="36"/>
    </x:row>
    <x:row r="157">
      <x:c r="A157" s="36"/>
      <x:c r="B157" s="36"/>
      <x:c r="C157" s="36"/>
      <x:c r="D157" s="37"/>
      <x:c r="E157" s="36"/>
      <x:c r="F157" s="63" t="str">
        <x:f>IF($A157="","",IFERROR($D157/MAX($E157,1),$D157))</x:f>
      </x:c>
      <x:c r="G157" s="36"/>
      <x:c r="H157" s="59"/>
      <x:c r="I157" s="36"/>
      <x:c r="J157" s="36"/>
      <x:c r="K157" s="63" t="str">
        <x:f>IF($A157="","",$F157)</x:f>
      </x:c>
      <x:c r="L157" s="36"/>
    </x:row>
    <x:row r="158">
      <x:c r="A158" s="36"/>
      <x:c r="B158" s="36"/>
      <x:c r="C158" s="36"/>
      <x:c r="D158" s="37"/>
      <x:c r="E158" s="36"/>
      <x:c r="F158" s="63" t="str">
        <x:f>IF($A158="","",IFERROR($D158/MAX($E158,1),$D158))</x:f>
      </x:c>
      <x:c r="G158" s="36"/>
      <x:c r="H158" s="59"/>
      <x:c r="I158" s="36"/>
      <x:c r="J158" s="36"/>
      <x:c r="K158" s="63" t="str">
        <x:f>IF($A158="","",$F158)</x:f>
      </x:c>
      <x:c r="L158" s="36"/>
    </x:row>
    <x:row r="159">
      <x:c r="A159" s="36"/>
      <x:c r="B159" s="36"/>
      <x:c r="C159" s="36"/>
      <x:c r="D159" s="37"/>
      <x:c r="E159" s="36"/>
      <x:c r="F159" s="63" t="str">
        <x:f>IF($A159="","",IFERROR($D159/MAX($E159,1),$D159))</x:f>
      </x:c>
      <x:c r="G159" s="36"/>
      <x:c r="H159" s="59"/>
      <x:c r="I159" s="36"/>
      <x:c r="J159" s="36"/>
      <x:c r="K159" s="63" t="str">
        <x:f>IF($A159="","",$F159)</x:f>
      </x:c>
      <x:c r="L159" s="36"/>
    </x:row>
    <x:row r="160">
      <x:c r="A160" s="36"/>
      <x:c r="B160" s="36"/>
      <x:c r="C160" s="36"/>
      <x:c r="D160" s="37"/>
      <x:c r="E160" s="36"/>
      <x:c r="F160" s="63" t="str">
        <x:f>IF($A160="","",IFERROR($D160/MAX($E160,1),$D160))</x:f>
      </x:c>
      <x:c r="G160" s="36"/>
      <x:c r="H160" s="59"/>
      <x:c r="I160" s="36"/>
      <x:c r="J160" s="36"/>
      <x:c r="K160" s="63" t="str">
        <x:f>IF($A160="","",$F160)</x:f>
      </x:c>
      <x:c r="L160" s="36"/>
    </x:row>
    <x:row r="161">
      <x:c r="A161" s="36"/>
      <x:c r="B161" s="36"/>
      <x:c r="C161" s="36"/>
      <x:c r="D161" s="37"/>
      <x:c r="E161" s="36"/>
      <x:c r="F161" s="63" t="str">
        <x:f>IF($A161="","",IFERROR($D161/MAX($E161,1),$D161))</x:f>
      </x:c>
      <x:c r="G161" s="36"/>
      <x:c r="H161" s="59"/>
      <x:c r="I161" s="36"/>
      <x:c r="J161" s="36"/>
      <x:c r="K161" s="63" t="str">
        <x:f>IF($A161="","",$F161)</x:f>
      </x:c>
      <x:c r="L161" s="36"/>
    </x:row>
    <x:row r="162">
      <x:c r="A162" s="36"/>
      <x:c r="B162" s="36"/>
      <x:c r="C162" s="36"/>
      <x:c r="D162" s="37"/>
      <x:c r="E162" s="36"/>
      <x:c r="F162" s="63" t="str">
        <x:f>IF($A162="","",IFERROR($D162/MAX($E162,1),$D162))</x:f>
      </x:c>
      <x:c r="G162" s="36"/>
      <x:c r="H162" s="59"/>
      <x:c r="I162" s="36"/>
      <x:c r="J162" s="36"/>
      <x:c r="K162" s="63" t="str">
        <x:f>IF($A162="","",$F162)</x:f>
      </x:c>
      <x:c r="L162" s="36"/>
    </x:row>
    <x:row r="163">
      <x:c r="A163" s="36"/>
      <x:c r="B163" s="36"/>
      <x:c r="C163" s="36"/>
      <x:c r="D163" s="37"/>
      <x:c r="E163" s="36"/>
      <x:c r="F163" s="63" t="str">
        <x:f>IF($A163="","",IFERROR($D163/MAX($E163,1),$D163))</x:f>
      </x:c>
      <x:c r="G163" s="36"/>
      <x:c r="H163" s="59"/>
      <x:c r="I163" s="36"/>
      <x:c r="J163" s="36"/>
      <x:c r="K163" s="63" t="str">
        <x:f>IF($A163="","",$F163)</x:f>
      </x:c>
      <x:c r="L163" s="36"/>
    </x:row>
    <x:row r="164">
      <x:c r="A164" s="36"/>
      <x:c r="B164" s="36"/>
      <x:c r="C164" s="36"/>
      <x:c r="D164" s="37"/>
      <x:c r="E164" s="36"/>
      <x:c r="F164" s="63" t="str">
        <x:f>IF($A164="","",IFERROR($D164/MAX($E164,1),$D164))</x:f>
      </x:c>
      <x:c r="G164" s="36"/>
      <x:c r="H164" s="59"/>
      <x:c r="I164" s="36"/>
      <x:c r="J164" s="36"/>
      <x:c r="K164" s="63" t="str">
        <x:f>IF($A164="","",$F164)</x:f>
      </x:c>
      <x:c r="L164" s="36"/>
    </x:row>
    <x:row r="165">
      <x:c r="A165" s="36"/>
      <x:c r="B165" s="36"/>
      <x:c r="C165" s="36"/>
      <x:c r="D165" s="37"/>
      <x:c r="E165" s="36"/>
      <x:c r="F165" s="63" t="str">
        <x:f>IF($A165="","",IFERROR($D165/MAX($E165,1),$D165))</x:f>
      </x:c>
      <x:c r="G165" s="36"/>
      <x:c r="H165" s="59"/>
      <x:c r="I165" s="36"/>
      <x:c r="J165" s="36"/>
      <x:c r="K165" s="63" t="str">
        <x:f>IF($A165="","",$F165)</x:f>
      </x:c>
      <x:c r="L165" s="36"/>
    </x:row>
    <x:row r="166">
      <x:c r="A166" s="36"/>
      <x:c r="B166" s="36"/>
      <x:c r="C166" s="36"/>
      <x:c r="D166" s="37"/>
      <x:c r="E166" s="36"/>
      <x:c r="F166" s="63" t="str">
        <x:f>IF($A166="","",IFERROR($D166/MAX($E166,1),$D166))</x:f>
      </x:c>
      <x:c r="G166" s="36"/>
      <x:c r="H166" s="59"/>
      <x:c r="I166" s="36"/>
      <x:c r="J166" s="36"/>
      <x:c r="K166" s="63" t="str">
        <x:f>IF($A166="","",$F166)</x:f>
      </x:c>
      <x:c r="L166" s="36"/>
    </x:row>
    <x:row r="167">
      <x:c r="A167" s="36"/>
      <x:c r="B167" s="36"/>
      <x:c r="C167" s="36"/>
      <x:c r="D167" s="37"/>
      <x:c r="E167" s="36"/>
      <x:c r="F167" s="63" t="str">
        <x:f>IF($A167="","",IFERROR($D167/MAX($E167,1),$D167))</x:f>
      </x:c>
      <x:c r="G167" s="36"/>
      <x:c r="H167" s="59"/>
      <x:c r="I167" s="36"/>
      <x:c r="J167" s="36"/>
      <x:c r="K167" s="63" t="str">
        <x:f>IF($A167="","",$F167)</x:f>
      </x:c>
      <x:c r="L167" s="36"/>
    </x:row>
    <x:row r="168">
      <x:c r="A168" s="36"/>
      <x:c r="B168" s="36"/>
      <x:c r="C168" s="36"/>
      <x:c r="D168" s="37"/>
      <x:c r="E168" s="36"/>
      <x:c r="F168" s="63" t="str">
        <x:f>IF($A168="","",IFERROR($D168/MAX($E168,1),$D168))</x:f>
      </x:c>
      <x:c r="G168" s="36"/>
      <x:c r="H168" s="59"/>
      <x:c r="I168" s="36"/>
      <x:c r="J168" s="36"/>
      <x:c r="K168" s="63" t="str">
        <x:f>IF($A168="","",$F168)</x:f>
      </x:c>
      <x:c r="L168" s="36"/>
    </x:row>
    <x:row r="169">
      <x:c r="A169" s="36"/>
      <x:c r="B169" s="36"/>
      <x:c r="C169" s="36"/>
      <x:c r="D169" s="37"/>
      <x:c r="E169" s="36"/>
      <x:c r="F169" s="63" t="str">
        <x:f>IF($A169="","",IFERROR($D169/MAX($E169,1),$D169))</x:f>
      </x:c>
      <x:c r="G169" s="36"/>
      <x:c r="H169" s="59"/>
      <x:c r="I169" s="36"/>
      <x:c r="J169" s="36"/>
      <x:c r="K169" s="63" t="str">
        <x:f>IF($A169="","",$F169)</x:f>
      </x:c>
      <x:c r="L169" s="36"/>
    </x:row>
    <x:row r="170">
      <x:c r="A170" s="36"/>
      <x:c r="B170" s="36"/>
      <x:c r="C170" s="36"/>
      <x:c r="D170" s="37"/>
      <x:c r="E170" s="36"/>
      <x:c r="F170" s="63" t="str">
        <x:f>IF($A170="","",IFERROR($D170/MAX($E170,1),$D170))</x:f>
      </x:c>
      <x:c r="G170" s="36"/>
      <x:c r="H170" s="59"/>
      <x:c r="I170" s="36"/>
      <x:c r="J170" s="36"/>
      <x:c r="K170" s="63" t="str">
        <x:f>IF($A170="","",$F170)</x:f>
      </x:c>
      <x:c r="L170" s="36"/>
    </x:row>
    <x:row r="171">
      <x:c r="A171" s="36"/>
      <x:c r="B171" s="36"/>
      <x:c r="C171" s="36"/>
      <x:c r="D171" s="37"/>
      <x:c r="E171" s="36"/>
      <x:c r="F171" s="63" t="str">
        <x:f>IF($A171="","",IFERROR($D171/MAX($E171,1),$D171))</x:f>
      </x:c>
      <x:c r="G171" s="36"/>
      <x:c r="H171" s="59"/>
      <x:c r="I171" s="36"/>
      <x:c r="J171" s="36"/>
      <x:c r="K171" s="63" t="str">
        <x:f>IF($A171="","",$F171)</x:f>
      </x:c>
      <x:c r="L171" s="36"/>
    </x:row>
    <x:row r="172">
      <x:c r="A172" s="36"/>
      <x:c r="B172" s="36"/>
      <x:c r="C172" s="36"/>
      <x:c r="D172" s="37"/>
      <x:c r="E172" s="36"/>
      <x:c r="F172" s="63" t="str">
        <x:f>IF($A172="","",IFERROR($D172/MAX($E172,1),$D172))</x:f>
      </x:c>
      <x:c r="G172" s="36"/>
      <x:c r="H172" s="59"/>
      <x:c r="I172" s="36"/>
      <x:c r="J172" s="36"/>
      <x:c r="K172" s="63" t="str">
        <x:f>IF($A172="","",$F172)</x:f>
      </x:c>
      <x:c r="L172" s="36"/>
    </x:row>
    <x:row r="173">
      <x:c r="A173" s="36"/>
      <x:c r="B173" s="36"/>
      <x:c r="C173" s="36"/>
      <x:c r="D173" s="37"/>
      <x:c r="E173" s="36"/>
      <x:c r="F173" s="63" t="str">
        <x:f>IF($A173="","",IFERROR($D173/MAX($E173,1),$D173))</x:f>
      </x:c>
      <x:c r="G173" s="36"/>
      <x:c r="H173" s="59"/>
      <x:c r="I173" s="36"/>
      <x:c r="J173" s="36"/>
      <x:c r="K173" s="63" t="str">
        <x:f>IF($A173="","",$F173)</x:f>
      </x:c>
      <x:c r="L173" s="36"/>
    </x:row>
    <x:row r="174">
      <x:c r="A174" s="36"/>
      <x:c r="B174" s="36"/>
      <x:c r="C174" s="36"/>
      <x:c r="D174" s="37"/>
      <x:c r="E174" s="36"/>
      <x:c r="F174" s="63" t="str">
        <x:f>IF($A174="","",IFERROR($D174/MAX($E174,1),$D174))</x:f>
      </x:c>
      <x:c r="G174" s="36"/>
      <x:c r="H174" s="59"/>
      <x:c r="I174" s="36"/>
      <x:c r="J174" s="36"/>
      <x:c r="K174" s="63" t="str">
        <x:f>IF($A174="","",$F174)</x:f>
      </x:c>
      <x:c r="L174" s="36"/>
    </x:row>
    <x:row r="175">
      <x:c r="A175" s="36"/>
      <x:c r="B175" s="36"/>
      <x:c r="C175" s="36"/>
      <x:c r="D175" s="37"/>
      <x:c r="E175" s="36"/>
      <x:c r="F175" s="63" t="str">
        <x:f>IF($A175="","",IFERROR($D175/MAX($E175,1),$D175))</x:f>
      </x:c>
      <x:c r="G175" s="36"/>
      <x:c r="H175" s="59"/>
      <x:c r="I175" s="36"/>
      <x:c r="J175" s="36"/>
      <x:c r="K175" s="63" t="str">
        <x:f>IF($A175="","",$F175)</x:f>
      </x:c>
      <x:c r="L175" s="36"/>
    </x:row>
    <x:row r="176">
      <x:c r="A176" s="36"/>
      <x:c r="B176" s="36"/>
      <x:c r="C176" s="36"/>
      <x:c r="D176" s="37"/>
      <x:c r="E176" s="36"/>
      <x:c r="F176" s="63" t="str">
        <x:f>IF($A176="","",IFERROR($D176/MAX($E176,1),$D176))</x:f>
      </x:c>
      <x:c r="G176" s="36"/>
      <x:c r="H176" s="59"/>
      <x:c r="I176" s="36"/>
      <x:c r="J176" s="36"/>
      <x:c r="K176" s="63" t="str">
        <x:f>IF($A176="","",$F176)</x:f>
      </x:c>
      <x:c r="L176" s="36"/>
    </x:row>
    <x:row r="177">
      <x:c r="A177" s="36"/>
      <x:c r="B177" s="36"/>
      <x:c r="C177" s="36"/>
      <x:c r="D177" s="37"/>
      <x:c r="E177" s="36"/>
      <x:c r="F177" s="63" t="str">
        <x:f>IF($A177="","",IFERROR($D177/MAX($E177,1),$D177))</x:f>
      </x:c>
      <x:c r="G177" s="36"/>
      <x:c r="H177" s="59"/>
      <x:c r="I177" s="36"/>
      <x:c r="J177" s="36"/>
      <x:c r="K177" s="63" t="str">
        <x:f>IF($A177="","",$F177)</x:f>
      </x:c>
      <x:c r="L177" s="36"/>
    </x:row>
    <x:row r="178">
      <x:c r="A178" s="36"/>
      <x:c r="B178" s="36"/>
      <x:c r="C178" s="36"/>
      <x:c r="D178" s="37"/>
      <x:c r="E178" s="36"/>
      <x:c r="F178" s="63" t="str">
        <x:f>IF($A178="","",IFERROR($D178/MAX($E178,1),$D178))</x:f>
      </x:c>
      <x:c r="G178" s="36"/>
      <x:c r="H178" s="59"/>
      <x:c r="I178" s="36"/>
      <x:c r="J178" s="36"/>
      <x:c r="K178" s="63" t="str">
        <x:f>IF($A178="","",$F178)</x:f>
      </x:c>
      <x:c r="L178" s="36"/>
    </x:row>
    <x:row r="179">
      <x:c r="A179" s="36"/>
      <x:c r="B179" s="36"/>
      <x:c r="C179" s="36"/>
      <x:c r="D179" s="37"/>
      <x:c r="E179" s="36"/>
      <x:c r="F179" s="63" t="str">
        <x:f>IF($A179="","",IFERROR($D179/MAX($E179,1),$D179))</x:f>
      </x:c>
      <x:c r="G179" s="36"/>
      <x:c r="H179" s="59"/>
      <x:c r="I179" s="36"/>
      <x:c r="J179" s="36"/>
      <x:c r="K179" s="63" t="str">
        <x:f>IF($A179="","",$F179)</x:f>
      </x:c>
      <x:c r="L179" s="36"/>
    </x:row>
    <x:row r="180">
      <x:c r="A180" s="36"/>
      <x:c r="B180" s="36"/>
      <x:c r="C180" s="36"/>
      <x:c r="D180" s="37"/>
      <x:c r="E180" s="36"/>
      <x:c r="F180" s="63" t="str">
        <x:f>IF($A180="","",IFERROR($D180/MAX($E180,1),$D180))</x:f>
      </x:c>
      <x:c r="G180" s="36"/>
      <x:c r="H180" s="59"/>
      <x:c r="I180" s="36"/>
      <x:c r="J180" s="36"/>
      <x:c r="K180" s="63" t="str">
        <x:f>IF($A180="","",$F180)</x:f>
      </x:c>
      <x:c r="L180" s="36"/>
    </x:row>
    <x:row r="181">
      <x:c r="A181" s="36"/>
      <x:c r="B181" s="36"/>
      <x:c r="C181" s="36"/>
      <x:c r="D181" s="37"/>
      <x:c r="E181" s="36"/>
      <x:c r="F181" s="63" t="str">
        <x:f>IF($A181="","",IFERROR($D181/MAX($E181,1),$D181))</x:f>
      </x:c>
      <x:c r="G181" s="36"/>
      <x:c r="H181" s="59"/>
      <x:c r="I181" s="36"/>
      <x:c r="J181" s="36"/>
      <x:c r="K181" s="63" t="str">
        <x:f>IF($A181="","",$F181)</x:f>
      </x:c>
      <x:c r="L181" s="36"/>
    </x:row>
    <x:row r="182">
      <x:c r="A182" s="36"/>
      <x:c r="B182" s="36"/>
      <x:c r="C182" s="36"/>
      <x:c r="D182" s="37"/>
      <x:c r="E182" s="36"/>
      <x:c r="F182" s="63" t="str">
        <x:f>IF($A182="","",IFERROR($D182/MAX($E182,1),$D182))</x:f>
      </x:c>
      <x:c r="G182" s="36"/>
      <x:c r="H182" s="59"/>
      <x:c r="I182" s="36"/>
      <x:c r="J182" s="36"/>
      <x:c r="K182" s="63" t="str">
        <x:f>IF($A182="","",$F182)</x:f>
      </x:c>
      <x:c r="L182" s="36"/>
    </x:row>
    <x:row r="183">
      <x:c r="A183" s="36"/>
      <x:c r="B183" s="36"/>
      <x:c r="C183" s="36"/>
      <x:c r="D183" s="37"/>
      <x:c r="E183" s="36"/>
      <x:c r="F183" s="63" t="str">
        <x:f>IF($A183="","",IFERROR($D183/MAX($E183,1),$D183))</x:f>
      </x:c>
      <x:c r="G183" s="36"/>
      <x:c r="H183" s="59"/>
      <x:c r="I183" s="36"/>
      <x:c r="J183" s="36"/>
      <x:c r="K183" s="63" t="str">
        <x:f>IF($A183="","",$F183)</x:f>
      </x:c>
      <x:c r="L183" s="36"/>
    </x:row>
    <x:row r="184">
      <x:c r="A184" s="36"/>
      <x:c r="B184" s="36"/>
      <x:c r="C184" s="36"/>
      <x:c r="D184" s="37"/>
      <x:c r="E184" s="36"/>
      <x:c r="F184" s="63" t="str">
        <x:f>IF($A184="","",IFERROR($D184/MAX($E184,1),$D184))</x:f>
      </x:c>
      <x:c r="G184" s="36"/>
      <x:c r="H184" s="59"/>
      <x:c r="I184" s="36"/>
      <x:c r="J184" s="36"/>
      <x:c r="K184" s="63" t="str">
        <x:f>IF($A184="","",$F184)</x:f>
      </x:c>
      <x:c r="L184" s="36"/>
    </x:row>
    <x:row r="185">
      <x:c r="A185" s="36"/>
      <x:c r="B185" s="36"/>
      <x:c r="C185" s="36"/>
      <x:c r="D185" s="37"/>
      <x:c r="E185" s="36"/>
      <x:c r="F185" s="63" t="str">
        <x:f>IF($A185="","",IFERROR($D185/MAX($E185,1),$D185))</x:f>
      </x:c>
      <x:c r="G185" s="36"/>
      <x:c r="H185" s="59"/>
      <x:c r="I185" s="36"/>
      <x:c r="J185" s="36"/>
      <x:c r="K185" s="63" t="str">
        <x:f>IF($A185="","",$F185)</x:f>
      </x:c>
      <x:c r="L185" s="36"/>
    </x:row>
    <x:row r="186">
      <x:c r="A186" s="36"/>
      <x:c r="B186" s="36"/>
      <x:c r="C186" s="36"/>
      <x:c r="D186" s="37"/>
      <x:c r="E186" s="36"/>
      <x:c r="F186" s="63" t="str">
        <x:f>IF($A186="","",IFERROR($D186/MAX($E186,1),$D186))</x:f>
      </x:c>
      <x:c r="G186" s="36"/>
      <x:c r="H186" s="59"/>
      <x:c r="I186" s="36"/>
      <x:c r="J186" s="36"/>
      <x:c r="K186" s="63" t="str">
        <x:f>IF($A186="","",$F186)</x:f>
      </x:c>
      <x:c r="L186" s="36"/>
    </x:row>
    <x:row r="187">
      <x:c r="A187" s="36"/>
      <x:c r="B187" s="36"/>
      <x:c r="C187" s="36"/>
      <x:c r="D187" s="37"/>
      <x:c r="E187" s="36"/>
      <x:c r="F187" s="63" t="str">
        <x:f>IF($A187="","",IFERROR($D187/MAX($E187,1),$D187))</x:f>
      </x:c>
      <x:c r="G187" s="36"/>
      <x:c r="H187" s="59"/>
      <x:c r="I187" s="36"/>
      <x:c r="J187" s="36"/>
      <x:c r="K187" s="63" t="str">
        <x:f>IF($A187="","",$F187)</x:f>
      </x:c>
      <x:c r="L187" s="36"/>
    </x:row>
    <x:row r="188">
      <x:c r="A188" s="36"/>
      <x:c r="B188" s="36"/>
      <x:c r="C188" s="36"/>
      <x:c r="D188" s="37"/>
      <x:c r="E188" s="36"/>
      <x:c r="F188" s="63" t="str">
        <x:f>IF($A188="","",IFERROR($D188/MAX($E188,1),$D188))</x:f>
      </x:c>
      <x:c r="G188" s="36"/>
      <x:c r="H188" s="59"/>
      <x:c r="I188" s="36"/>
      <x:c r="J188" s="36"/>
      <x:c r="K188" s="63" t="str">
        <x:f>IF($A188="","",$F188)</x:f>
      </x:c>
      <x:c r="L188" s="36"/>
    </x:row>
    <x:row r="189">
      <x:c r="A189" s="36"/>
      <x:c r="B189" s="36"/>
      <x:c r="C189" s="36"/>
      <x:c r="D189" s="37"/>
      <x:c r="E189" s="36"/>
      <x:c r="F189" s="63" t="str">
        <x:f>IF($A189="","",IFERROR($D189/MAX($E189,1),$D189))</x:f>
      </x:c>
      <x:c r="G189" s="36"/>
      <x:c r="H189" s="59"/>
      <x:c r="I189" s="36"/>
      <x:c r="J189" s="36"/>
      <x:c r="K189" s="63" t="str">
        <x:f>IF($A189="","",$F189)</x:f>
      </x:c>
      <x:c r="L189" s="36"/>
    </x:row>
    <x:row r="190">
      <x:c r="A190" s="36"/>
      <x:c r="B190" s="36"/>
      <x:c r="C190" s="36"/>
      <x:c r="D190" s="37"/>
      <x:c r="E190" s="36"/>
      <x:c r="F190" s="63" t="str">
        <x:f>IF($A190="","",IFERROR($D190/MAX($E190,1),$D190))</x:f>
      </x:c>
      <x:c r="G190" s="36"/>
      <x:c r="H190" s="59"/>
      <x:c r="I190" s="36"/>
      <x:c r="J190" s="36"/>
      <x:c r="K190" s="63" t="str">
        <x:f>IF($A190="","",$F190)</x:f>
      </x:c>
      <x:c r="L190" s="36"/>
    </x:row>
    <x:row r="191">
      <x:c r="A191" s="36"/>
      <x:c r="B191" s="36"/>
      <x:c r="C191" s="36"/>
      <x:c r="D191" s="37"/>
      <x:c r="E191" s="36"/>
      <x:c r="F191" s="63" t="str">
        <x:f>IF($A191="","",IFERROR($D191/MAX($E191,1),$D191))</x:f>
      </x:c>
      <x:c r="G191" s="36"/>
      <x:c r="H191" s="59"/>
      <x:c r="I191" s="36"/>
      <x:c r="J191" s="36"/>
      <x:c r="K191" s="63" t="str">
        <x:f>IF($A191="","",$F191)</x:f>
      </x:c>
      <x:c r="L191" s="36"/>
    </x:row>
    <x:row r="192">
      <x:c r="A192" s="36"/>
      <x:c r="B192" s="36"/>
      <x:c r="C192" s="36"/>
      <x:c r="D192" s="37"/>
      <x:c r="E192" s="36"/>
      <x:c r="F192" s="63" t="str">
        <x:f>IF($A192="","",IFERROR($D192/MAX($E192,1),$D192))</x:f>
      </x:c>
      <x:c r="G192" s="36"/>
      <x:c r="H192" s="59"/>
      <x:c r="I192" s="36"/>
      <x:c r="J192" s="36"/>
      <x:c r="K192" s="63" t="str">
        <x:f>IF($A192="","",$F192)</x:f>
      </x:c>
      <x:c r="L192" s="36"/>
    </x:row>
    <x:row r="193">
      <x:c r="A193" s="36"/>
      <x:c r="B193" s="36"/>
      <x:c r="C193" s="36"/>
      <x:c r="D193" s="37"/>
      <x:c r="E193" s="36"/>
      <x:c r="F193" s="63" t="str">
        <x:f>IF($A193="","",IFERROR($D193/MAX($E193,1),$D193))</x:f>
      </x:c>
      <x:c r="G193" s="36"/>
      <x:c r="H193" s="59"/>
      <x:c r="I193" s="36"/>
      <x:c r="J193" s="36"/>
      <x:c r="K193" s="63" t="str">
        <x:f>IF($A193="","",$F193)</x:f>
      </x:c>
      <x:c r="L193" s="36"/>
    </x:row>
    <x:row r="194">
      <x:c r="A194" s="36"/>
      <x:c r="B194" s="36"/>
      <x:c r="C194" s="36"/>
      <x:c r="D194" s="37"/>
      <x:c r="E194" s="36"/>
      <x:c r="F194" s="63" t="str">
        <x:f>IF($A194="","",IFERROR($D194/MAX($E194,1),$D194))</x:f>
      </x:c>
      <x:c r="G194" s="36"/>
      <x:c r="H194" s="59"/>
      <x:c r="I194" s="36"/>
      <x:c r="J194" s="36"/>
      <x:c r="K194" s="63" t="str">
        <x:f>IF($A194="","",$F194)</x:f>
      </x:c>
      <x:c r="L194" s="36"/>
    </x:row>
    <x:row r="195">
      <x:c r="A195" s="36"/>
      <x:c r="B195" s="36"/>
      <x:c r="C195" s="36"/>
      <x:c r="D195" s="37"/>
      <x:c r="E195" s="36"/>
      <x:c r="F195" s="63" t="str">
        <x:f>IF($A195="","",IFERROR($D195/MAX($E195,1),$D195))</x:f>
      </x:c>
      <x:c r="G195" s="36"/>
      <x:c r="H195" s="59"/>
      <x:c r="I195" s="36"/>
      <x:c r="J195" s="36"/>
      <x:c r="K195" s="63" t="str">
        <x:f>IF($A195="","",$F195)</x:f>
      </x:c>
      <x:c r="L195" s="36"/>
    </x:row>
    <x:row r="196">
      <x:c r="A196" s="36"/>
      <x:c r="B196" s="36"/>
      <x:c r="C196" s="36"/>
      <x:c r="D196" s="37"/>
      <x:c r="E196" s="36"/>
      <x:c r="F196" s="63" t="str">
        <x:f>IF($A196="","",IFERROR($D196/MAX($E196,1),$D196))</x:f>
      </x:c>
      <x:c r="G196" s="36"/>
      <x:c r="H196" s="59"/>
      <x:c r="I196" s="36"/>
      <x:c r="J196" s="36"/>
      <x:c r="K196" s="63" t="str">
        <x:f>IF($A196="","",$F196)</x:f>
      </x:c>
      <x:c r="L196" s="36"/>
    </x:row>
    <x:row r="197">
      <x:c r="A197" s="36"/>
      <x:c r="B197" s="36"/>
      <x:c r="C197" s="36"/>
      <x:c r="D197" s="37"/>
      <x:c r="E197" s="36"/>
      <x:c r="F197" s="63" t="str">
        <x:f>IF($A197="","",IFERROR($D197/MAX($E197,1),$D197))</x:f>
      </x:c>
      <x:c r="G197" s="36"/>
      <x:c r="H197" s="59"/>
      <x:c r="I197" s="36"/>
      <x:c r="J197" s="36"/>
      <x:c r="K197" s="63" t="str">
        <x:f>IF($A197="","",$F197)</x:f>
      </x:c>
      <x:c r="L197" s="36"/>
    </x:row>
    <x:row r="198">
      <x:c r="A198" s="36"/>
      <x:c r="B198" s="36"/>
      <x:c r="C198" s="36"/>
      <x:c r="D198" s="37"/>
      <x:c r="E198" s="36"/>
      <x:c r="F198" s="63" t="str">
        <x:f>IF($A198="","",IFERROR($D198/MAX($E198,1),$D198))</x:f>
      </x:c>
      <x:c r="G198" s="36"/>
      <x:c r="H198" s="59"/>
      <x:c r="I198" s="36"/>
      <x:c r="J198" s="36"/>
      <x:c r="K198" s="63" t="str">
        <x:f>IF($A198="","",$F198)</x:f>
      </x:c>
      <x:c r="L198" s="36"/>
    </x:row>
    <x:row r="199">
      <x:c r="A199" s="36"/>
      <x:c r="B199" s="36"/>
      <x:c r="C199" s="36"/>
      <x:c r="D199" s="37"/>
      <x:c r="E199" s="36"/>
      <x:c r="F199" s="63" t="str">
        <x:f>IF($A199="","",IFERROR($D199/MAX($E199,1),$D199))</x:f>
      </x:c>
      <x:c r="G199" s="36"/>
      <x:c r="H199" s="59"/>
      <x:c r="I199" s="36"/>
      <x:c r="J199" s="36"/>
      <x:c r="K199" s="63" t="str">
        <x:f>IF($A199="","",$F199)</x:f>
      </x:c>
      <x:c r="L199" s="36"/>
    </x:row>
    <x:row r="200">
      <x:c r="A200" s="36"/>
      <x:c r="B200" s="36"/>
      <x:c r="C200" s="36"/>
      <x:c r="D200" s="37"/>
      <x:c r="E200" s="36"/>
      <x:c r="F200" s="63" t="str">
        <x:f>IF($A200="","",IFERROR($D200/MAX($E200,1),$D200))</x:f>
      </x:c>
      <x:c r="G200" s="36"/>
      <x:c r="H200" s="59"/>
      <x:c r="I200" s="36"/>
      <x:c r="J200" s="36"/>
      <x:c r="K200" s="63" t="str">
        <x:f>IF($A200="","",$F200)</x:f>
      </x:c>
      <x:c r="L200" s="36"/>
    </x:row>
    <x:row r="201">
      <x:c r="A201" s="36"/>
      <x:c r="B201" s="36"/>
      <x:c r="C201" s="36"/>
      <x:c r="D201" s="37"/>
      <x:c r="E201" s="36"/>
      <x:c r="F201" s="63" t="str">
        <x:f>IF($A201="","",IFERROR($D201/MAX($E201,1),$D201))</x:f>
      </x:c>
      <x:c r="G201" s="36"/>
      <x:c r="H201" s="59"/>
      <x:c r="I201" s="36"/>
      <x:c r="J201" s="36"/>
      <x:c r="K201" s="63" t="str">
        <x:f>IF($A201="","",$F201)</x:f>
      </x:c>
      <x:c r="L201" s="36"/>
    </x:row>
    <x:row r="202">
      <x:c r="A202" s="36"/>
      <x:c r="B202" s="36"/>
      <x:c r="C202" s="36"/>
      <x:c r="D202" s="37"/>
      <x:c r="E202" s="36"/>
      <x:c r="F202" s="63" t="str">
        <x:f>IF($A202="","",IFERROR($D202/MAX($E202,1),$D202))</x:f>
      </x:c>
      <x:c r="G202" s="36"/>
      <x:c r="H202" s="59"/>
      <x:c r="I202" s="36"/>
      <x:c r="J202" s="36"/>
      <x:c r="K202" s="63" t="str">
        <x:f>IF($A202="","",$F202)</x:f>
      </x:c>
      <x:c r="L202" s="36"/>
    </x:row>
    <x:row r="203">
      <x:c r="A203" s="36"/>
      <x:c r="B203" s="36"/>
      <x:c r="C203" s="36"/>
      <x:c r="D203" s="37"/>
      <x:c r="E203" s="36"/>
      <x:c r="F203" s="63" t="str">
        <x:f>IF($A203="","",IFERROR($D203/MAX($E203,1),$D203))</x:f>
      </x:c>
      <x:c r="G203" s="36"/>
      <x:c r="H203" s="59"/>
      <x:c r="I203" s="36"/>
      <x:c r="J203" s="36"/>
      <x:c r="K203" s="63" t="str">
        <x:f>IF($A203="","",$F203)</x:f>
      </x:c>
      <x:c r="L203" s="36"/>
    </x:row>
    <x:row r="204">
      <x:c r="A204" s="36"/>
      <x:c r="B204" s="36"/>
      <x:c r="C204" s="36"/>
      <x:c r="D204" s="37"/>
      <x:c r="E204" s="36"/>
      <x:c r="F204" s="63" t="str">
        <x:f>IF($A204="","",IFERROR($D204/MAX($E204,1),$D204))</x:f>
      </x:c>
      <x:c r="G204" s="36"/>
      <x:c r="H204" s="59"/>
      <x:c r="I204" s="36"/>
      <x:c r="J204" s="36"/>
      <x:c r="K204" s="63" t="str">
        <x:f>IF($A204="","",$F204)</x:f>
      </x:c>
      <x:c r="L204" s="36"/>
    </x:row>
    <x:row r="205">
      <x:c r="A205" s="36"/>
      <x:c r="B205" s="36"/>
      <x:c r="C205" s="36"/>
      <x:c r="D205" s="37"/>
      <x:c r="E205" s="36"/>
      <x:c r="F205" s="63" t="str">
        <x:f>IF($A205="","",IFERROR($D205/MAX($E205,1),$D205))</x:f>
      </x:c>
      <x:c r="G205" s="36"/>
      <x:c r="H205" s="59"/>
      <x:c r="I205" s="36"/>
      <x:c r="J205" s="36"/>
      <x:c r="K205" s="63" t="str">
        <x:f>IF($A205="","",$F205)</x:f>
      </x:c>
      <x:c r="L205" s="36"/>
    </x:row>
  </x:sheetData>
  <x:mergeCells>
    <x:mergeCell ref="A1:L1"/>
    <x:mergeCell ref="A2:L2"/>
    <x:mergeCell ref="A3:L3"/>
  </x:mergeCells>
  <x:conditionalFormatting sqref="H6:H205">
    <x:cfRule type="cellIs" dxfId="16" priority="1" operator="lessThan">
      <x:formula>TODAY()</x:formula>
    </x:cfRule>
    <x:cfRule type="timePeriod" dxfId="17" priority="2" timePeriod="nextWeek"/>
  </x:conditionalFormatting>
  <x:conditionalFormatting sqref="I6:I205">
    <x:cfRule type="containsText" dxfId="18" priority="3" operator="containsText" text="Concluído"/>
  </x:conditionalFormatting>
  <x:conditionalFormatting sqref="K6:K205">
    <x:cfRule type="cellIs" dxfId="19" priority="4" operator="greaterThan">
      <x:formula>700</x:formula>
    </x:cfRule>
  </x:conditionalFormatting>
  <x:dataValidations count="4">
    <x:dataValidation type="list" sqref="A6:A205">
      <x:formula1>'Planejamento de Viagens'!$A$6:$A$205</x:formula1>
    </x:dataValidation>
    <x:dataValidation type="list" sqref="C6:C205">
      <x:formula1>'Base de Categorias'!$A$2:$A$4</x:formula1>
    </x:dataValidation>
    <x:dataValidation type="list" sqref="I6:I205">
      <x:formula1>"Pendente,Pago,Concluído,Atrasado"</x:formula1>
    </x:dataValidation>
    <x:dataValidation type="list" sqref="J6:J205">
      <x:formula1>'Base de Categorias'!$D$2:$D$20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a019bfb308456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6.25" hidden="0" customWidth="1"/>
    <x:col min="3" max="3" width="23.1299991607666" hidden="0" customWidth="1"/>
    <x:col min="4" max="4" width="16.25" hidden="0" customWidth="1"/>
    <x:col min="5" max="5" width="16.25" hidden="0" customWidth="1"/>
    <x:col min="6" max="6" width="10" hidden="0" customWidth="1"/>
    <x:col min="7" max="7" width="15" hidden="0" customWidth="1"/>
    <x:col min="8" max="8" width="12.5" hidden="0" customWidth="1"/>
    <x:col min="9" max="9" width="10" hidden="0" customWidth="1"/>
    <x:col min="10" max="10" width="15.630000114440918" hidden="0" customWidth="1"/>
    <x:col min="11" max="11" width="15" hidden="0" customWidth="1"/>
    <x:col min="12" max="12" width="16.25" hidden="0" customWidth="1"/>
    <x:col min="13" max="13" width="18.75" hidden="0" customWidth="1"/>
    <x:col min="14" max="14" width="11.880000114440918" hidden="0" customWidth="1"/>
    <x:col min="15" max="15" width="3" hidden="0" customWidth="1"/>
    <x:col min="16" max="16" width="21.25" hidden="0" customWidth="1"/>
    <x:col min="17" max="17" width="27.5" hidden="0" customWidth="1"/>
    <x:col min="18" max="18" width="16.25" hidden="0" customWidth="1"/>
    <x:col min="19" max="19" width="11.25" hidden="0" customWidth="1"/>
    <x:col min="20" max="20" width="11.25" hidden="0" customWidth="1"/>
    <x:col min="21" max="21" width="11.25" hidden="0" customWidth="1"/>
    <x:col min="22" max="22" width="11.25" hidden="0" customWidth="1"/>
    <x:col min="23" max="23" width="11.25" hidden="0" customWidth="1"/>
  </x:cols>
  <x:sheetData>
    <x:row r="1" ht="25.5" customHeight="1">
      <x:c r="A1" s="4" t="str">
        <x:v>Comparativo de Viagens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1" customHeight="1">
      <x:c r="A2" s="9" t="str">
        <x:v>Análise comparativa de custo, duração, status e eficiência de planejamento por viagem.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5">
      <x:c r="A5" s="14" t="str">
        <x:v>ID</x:v>
      </x:c>
      <x:c r="B5" s="14" t="str">
        <x:v>Viagem</x:v>
      </x:c>
      <x:c r="C5" s="14" t="str">
        <x:v>Quem viajou</x:v>
      </x:c>
      <x:c r="D5" s="14" t="str">
        <x:v>Origem</x:v>
      </x:c>
      <x:c r="E5" s="14" t="str">
        <x:v>Destino</x:v>
      </x:c>
      <x:c r="F5" s="14" t="str">
        <x:v>Dias</x:v>
      </x:c>
      <x:c r="G5" s="14" t="str">
        <x:v>Status</x:v>
      </x:c>
      <x:c r="H5" s="14" t="str">
        <x:v>Mês</x:v>
      </x:c>
      <x:c r="I5" s="14" t="str">
        <x:v>Ano</x:v>
      </x:c>
      <x:c r="J5" s="14" t="str">
        <x:v>Custo total</x:v>
      </x:c>
      <x:c r="K5" s="14" t="str">
        <x:v>Custo por dia</x:v>
      </x:c>
      <x:c r="L5" s="14" t="str">
        <x:v>Custo por pessoa</x:v>
      </x:c>
      <x:c r="M5" s="14" t="str">
        <x:v>Diferença planejado vs realizado</x:v>
      </x:c>
      <x:c r="N5" s="14" t="str">
        <x:v>Ranking</x:v>
      </x:c>
      <x:c r="P5" s="33" t="str">
        <x:v>Ranking</x:v>
      </x:c>
      <x:c r="Q5" s="33" t="str">
        <x:v>Viagem</x:v>
      </x:c>
      <x:c r="R5" s="33" t="str">
        <x:v>Custo</x:v>
      </x:c>
    </x:row>
    <x:row r="6">
      <x:c r="A6" s="36" t="str">
        <x:v>V001</x:v>
      </x:c>
      <x:c r="B6" s="67" t="str">
        <x:f>IF($A6="","",IFERROR(INDEX('Planejamento de Viagens'!$B$6:$B$205,MATCH($A6,'Planejamento de Viagens'!$A$6:$A$205,0)),""))</x:f>
        <x:v>Camilly em João Pessoa</x:v>
      </x:c>
      <x:c r="C6" s="67" t="str">
        <x:f>IF($A6="","",IFERROR(INDEX('Planejamento de Viagens'!$C$6:$C$205,MATCH($A6,'Planejamento de Viagens'!$A$6:$A$205,0)),""))</x:f>
        <x:v>Camilly Queiroz</x:v>
      </x:c>
      <x:c r="D6" s="67" t="str">
        <x:f>IF($A6="","",IFERROR(INDEX('Planejamento de Viagens'!$F$6:$F$205,MATCH($A6,'Planejamento de Viagens'!$A$6:$A$205,0)),""))</x:f>
        <x:v>Cuiabá</x:v>
      </x:c>
      <x:c r="E6" s="67" t="str">
        <x:f>IF($A6="","",IFERROR(INDEX('Planejamento de Viagens'!$G$6:$G$205,MATCH($A6,'Planejamento de Viagens'!$A$6:$A$205,0)),""))</x:f>
        <x:v>João Pessoa</x:v>
      </x:c>
      <x:c r="F6" s="61" t="n">
        <x:f>IF($A6="","",IFERROR(INDEX('Planejamento de Viagens'!$J$6:$J$205,MATCH($A6,'Planejamento de Viagens'!$A$6:$A$205,0)),0))</x:f>
        <x:v>7</x:v>
      </x:c>
      <x:c r="G6" s="67" t="str">
        <x:f>IF($A6="","",IFERROR(INDEX('Planejamento de Viagens'!$K$6:$K$205,MATCH($A6,'Planejamento de Viagens'!$A$6:$A$205,0)),""))</x:f>
        <x:v>Planejada</x:v>
      </x:c>
      <x:c r="H6" s="67" t="str">
        <x:f>IF($A6="","",TEXT(INDEX('Planejamento de Viagens'!$H$6:$H$205,MATCH($A6,'Planejamento de Viagens'!$A$6:$A$205,0)),"mmm/yyyy"))</x:f>
        <x:v>Jul/2026</x:v>
      </x:c>
      <x:c r="I6" s="67" t="n">
        <x:f>IF($A6="","",2026)</x:f>
        <x:v>2026</x:v>
      </x:c>
      <x:c r="J6" s="63" t="n">
        <x:f>IF($A6="","",INDEX('Planejamento de Viagens'!$N$6:$N$205,MATCH($A6,'Planejamento de Viagens'!$A$6:$A$205,0)))</x:f>
        <x:v>528</x:v>
      </x:c>
      <x:c r="K6" s="63" t="n">
        <x:f>IF($A6="","",IFERROR($J6/$F6,0))</x:f>
        <x:v>75.42857142857143</x:v>
      </x:c>
      <x:c r="L6" s="63" t="n">
        <x:f>IF($A6="","",$J6/2)</x:f>
        <x:v>264</x:v>
      </x:c>
      <x:c r="M6" s="63" t="n">
        <x:f>IF($A6="","",INDEX('Planejamento de Viagens'!$O$6:$O$205,MATCH($A6,'Planejamento de Viagens'!$A$6:$A$205,0)))</x:f>
        <x:v>1737</x:v>
      </x:c>
      <x:c r="N6" s="61" t="n">
        <x:f>IF($A6="","",COUNTIF($J$6:$J$205,"&gt;"&amp;$J6)+1)</x:f>
        <x:v>3</x:v>
      </x:c>
      <x:c r="P6" s="89" t="str">
        <x:v>Mais cara</x:v>
      </x:c>
      <x:c r="Q6" s="67" t="str">
        <x:f>IFERROR(INDEX($B$6:$B$205,MATCH(MAX($J$6:$J$205),$J$6:$J$205,0)),"")</x:f>
        <x:v>Fim de semana juntos</x:v>
      </x:c>
      <x:c r="R6" s="63" t="n">
        <x:f>MAX($J$6:$J$205)</x:f>
        <x:v>1291</x:v>
      </x:c>
    </x:row>
    <x:row r="7">
      <x:c r="A7" s="36" t="str">
        <x:v>V002</x:v>
      </x:c>
      <x:c r="B7" s="67" t="str">
        <x:f>IF($A7="","",IFERROR(INDEX('Planejamento de Viagens'!$B$6:$B$205,MATCH($A7,'Planejamento de Viagens'!$A$6:$A$205,0)),""))</x:f>
        <x:v>Pedro visitando Camilly</x:v>
      </x:c>
      <x:c r="C7" s="67" t="str">
        <x:f>IF($A7="","",IFERROR(INDEX('Planejamento de Viagens'!$C$6:$C$205,MATCH($A7,'Planejamento de Viagens'!$A$6:$A$205,0)),""))</x:f>
        <x:v>Pedro Américo Paletot</x:v>
      </x:c>
      <x:c r="D7" s="67" t="str">
        <x:f>IF($A7="","",IFERROR(INDEX('Planejamento de Viagens'!$F$6:$F$205,MATCH($A7,'Planejamento de Viagens'!$A$6:$A$205,0)),""))</x:f>
        <x:v>João Pessoa</x:v>
      </x:c>
      <x:c r="E7" s="67" t="str">
        <x:f>IF($A7="","",IFERROR(INDEX('Planejamento de Viagens'!$G$6:$G$205,MATCH($A7,'Planejamento de Viagens'!$A$6:$A$205,0)),""))</x:f>
        <x:v>Cuiabá</x:v>
      </x:c>
      <x:c r="F7" s="61" t="n">
        <x:f>IF($A7="","",IFERROR(INDEX('Planejamento de Viagens'!$J$6:$J$205,MATCH($A7,'Planejamento de Viagens'!$A$6:$A$205,0)),0))</x:f>
        <x:v>6</x:v>
      </x:c>
      <x:c r="G7" s="67" t="str">
        <x:f>IF($A7="","",IFERROR(INDEX('Planejamento de Viagens'!$K$6:$K$205,MATCH($A7,'Planejamento de Viagens'!$A$6:$A$205,0)),""))</x:f>
        <x:v>Planejada</x:v>
      </x:c>
      <x:c r="H7" s="67" t="str">
        <x:f>IF($A7="","",TEXT(INDEX('Planejamento de Viagens'!$H$6:$H$205,MATCH($A7,'Planejamento de Viagens'!$A$6:$A$205,0)),"mmm/yyyy"))</x:f>
        <x:v>Aug/2026</x:v>
      </x:c>
      <x:c r="I7" s="67" t="n">
        <x:f>IF($A7="","",2026)</x:f>
        <x:v>2026</x:v>
      </x:c>
      <x:c r="J7" s="63" t="n">
        <x:f>IF($A7="","",INDEX('Planejamento de Viagens'!$N$6:$N$205,MATCH($A7,'Planejamento de Viagens'!$A$6:$A$205,0)))</x:f>
        <x:v>823.3299999999999</x:v>
      </x:c>
      <x:c r="K7" s="63" t="n">
        <x:f>IF($A7="","",IFERROR($J7/$F7,0))</x:f>
        <x:v>137.22166666666666</x:v>
      </x:c>
      <x:c r="L7" s="63" t="n">
        <x:f>IF($A7="","",$J7/2)</x:f>
        <x:v>411.66499999999996</x:v>
      </x:c>
      <x:c r="M7" s="63" t="n">
        <x:f>IF($A7="","",INDEX('Planejamento de Viagens'!$O$6:$O$205,MATCH($A7,'Planejamento de Viagens'!$A$6:$A$205,0)))</x:f>
        <x:v>2111.67</x:v>
      </x:c>
      <x:c r="N7" s="61" t="n">
        <x:f>IF($A7="","",COUNTIF($J$6:$J$205,"&gt;"&amp;$J7)+1)</x:f>
        <x:v>2</x:v>
      </x:c>
      <x:c r="P7" s="89" t="str">
        <x:v>Mais econômica</x:v>
      </x:c>
      <x:c r="Q7" s="67" t="str">
        <x:f>IFERROR(INDEX($B$6:$B$205,MATCH(MINIFS($J$6:$J$205,$J$6:$J$205,"&gt;0"),$J$6:$J$205,0)),"")</x:f>
      </x:c>
      <x:c r="R7" s="63" t="e">
        <x:f>MINIFS($J$6:$J$205,$J$6:$J$205,"&gt;0")</x:f>
      </x:c>
    </x:row>
    <x:row r="8">
      <x:c r="A8" s="36" t="str">
        <x:v>V003</x:v>
      </x:c>
      <x:c r="B8" s="67" t="str">
        <x:f>IF($A8="","",IFERROR(INDEX('Planejamento de Viagens'!$B$6:$B$205,MATCH($A8,'Planejamento de Viagens'!$A$6:$A$205,0)),""))</x:f>
        <x:v>Fim de semana juntos</x:v>
      </x:c>
      <x:c r="C8" s="67" t="str">
        <x:f>IF($A8="","",IFERROR(INDEX('Planejamento de Viagens'!$C$6:$C$205,MATCH($A8,'Planejamento de Viagens'!$A$6:$A$205,0)),""))</x:f>
        <x:v>Pedro Américo Paletot</x:v>
      </x:c>
      <x:c r="D8" s="67" t="str">
        <x:f>IF($A8="","",IFERROR(INDEX('Planejamento de Viagens'!$F$6:$F$205,MATCH($A8,'Planejamento de Viagens'!$A$6:$A$205,0)),""))</x:f>
        <x:v>João Pessoa</x:v>
      </x:c>
      <x:c r="E8" s="67" t="str">
        <x:f>IF($A8="","",IFERROR(INDEX('Planejamento de Viagens'!$G$6:$G$205,MATCH($A8,'Planejamento de Viagens'!$A$6:$A$205,0)),""))</x:f>
        <x:v>Recife</x:v>
      </x:c>
      <x:c r="F8" s="61" t="n">
        <x:f>IF($A8="","",IFERROR(INDEX('Planejamento de Viagens'!$J$6:$J$205,MATCH($A8,'Planejamento de Viagens'!$A$6:$A$205,0)),0))</x:f>
        <x:v>3</x:v>
      </x:c>
      <x:c r="G8" s="67" t="str">
        <x:f>IF($A8="","",IFERROR(INDEX('Planejamento de Viagens'!$K$6:$K$205,MATCH($A8,'Planejamento de Viagens'!$A$6:$A$205,0)),""))</x:f>
        <x:v>Concluída</x:v>
      </x:c>
      <x:c r="H8" s="67" t="str">
        <x:f>IF($A8="","",TEXT(INDEX('Planejamento de Viagens'!$H$6:$H$205,MATCH($A8,'Planejamento de Viagens'!$A$6:$A$205,0)),"mmm/yyyy"))</x:f>
        <x:v>May/2026</x:v>
      </x:c>
      <x:c r="I8" s="67" t="n">
        <x:f>IF($A8="","",2026)</x:f>
        <x:v>2026</x:v>
      </x:c>
      <x:c r="J8" s="63" t="n">
        <x:f>IF($A8="","",INDEX('Planejamento de Viagens'!$N$6:$N$205,MATCH($A8,'Planejamento de Viagens'!$A$6:$A$205,0)))</x:f>
        <x:v>1291</x:v>
      </x:c>
      <x:c r="K8" s="63" t="n">
        <x:f>IF($A8="","",IFERROR($J8/$F8,0))</x:f>
        <x:v>430.3333333333333</x:v>
      </x:c>
      <x:c r="L8" s="63" t="n">
        <x:f>IF($A8="","",$J8/2)</x:f>
        <x:v>645.5</x:v>
      </x:c>
      <x:c r="M8" s="63" t="n">
        <x:f>IF($A8="","",INDEX('Planejamento de Viagens'!$O$6:$O$205,MATCH($A8,'Planejamento de Viagens'!$A$6:$A$205,0)))</x:f>
        <x:v>-151</x:v>
      </x:c>
      <x:c r="N8" s="61" t="n">
        <x:f>IF($A8="","",COUNTIF($J$6:$J$205,"&gt;"&amp;$J8)+1)</x:f>
        <x:v>1</x:v>
      </x:c>
      <x:c r="P8" s="89" t="str">
        <x:v>Melhor custo-benefício</x:v>
      </x:c>
      <x:c r="Q8" s="67" t="str">
        <x:f>IFERROR(INDEX($B$6:$B$205,MATCH(MINIFS($K$6:$K$205,$K$6:$K$205,"&gt;0"),$K$6:$K$205,0)),"")</x:f>
      </x:c>
      <x:c r="R8" s="63" t="e">
        <x:f>MINIFS($K$6:$K$205,$K$6:$K$205,"&gt;0")</x:f>
      </x:c>
    </x:row>
    <x:row r="9">
      <x:c r="A9" s="36"/>
      <x:c r="B9" s="67" t="str">
        <x:f>IF($A9="","",IFERROR(INDEX('Planejamento de Viagens'!$B$6:$B$205,MATCH($A9,'Planejamento de Viagens'!$A$6:$A$205,0)),""))</x:f>
      </x:c>
      <x:c r="C9" s="67" t="str">
        <x:f>IF($A9="","",IFERROR(INDEX('Planejamento de Viagens'!$C$6:$C$205,MATCH($A9,'Planejamento de Viagens'!$A$6:$A$205,0)),""))</x:f>
      </x:c>
      <x:c r="D9" s="67" t="str">
        <x:f>IF($A9="","",IFERROR(INDEX('Planejamento de Viagens'!$F$6:$F$205,MATCH($A9,'Planejamento de Viagens'!$A$6:$A$205,0)),""))</x:f>
      </x:c>
      <x:c r="E9" s="67" t="str">
        <x:f>IF($A9="","",IFERROR(INDEX('Planejamento de Viagens'!$G$6:$G$205,MATCH($A9,'Planejamento de Viagens'!$A$6:$A$205,0)),""))</x:f>
      </x:c>
      <x:c r="F9" s="61" t="str">
        <x:f>IF($A9="","",IFERROR(INDEX('Planejamento de Viagens'!$J$6:$J$205,MATCH($A9,'Planejamento de Viagens'!$A$6:$A$205,0)),0))</x:f>
      </x:c>
      <x:c r="G9" s="67" t="str">
        <x:f>IF($A9="","",IFERROR(INDEX('Planejamento de Viagens'!$K$6:$K$205,MATCH($A9,'Planejamento de Viagens'!$A$6:$A$205,0)),""))</x:f>
      </x:c>
      <x:c r="H9" s="67" t="str">
        <x:f>IF($A9="","",TEXT(INDEX('Planejamento de Viagens'!$H$6:$H$205,MATCH($A9,'Planejamento de Viagens'!$A$6:$A$205,0)),"mmm/yyyy"))</x:f>
      </x:c>
      <x:c r="I9" s="67" t="str">
        <x:f>IF($A9="","",2026)</x:f>
      </x:c>
      <x:c r="J9" s="63" t="str">
        <x:f>IF($A9="","",INDEX('Planejamento de Viagens'!$N$6:$N$205,MATCH($A9,'Planejamento de Viagens'!$A$6:$A$205,0)))</x:f>
      </x:c>
      <x:c r="K9" s="63" t="str">
        <x:f>IF($A9="","",IFERROR($J9/$F9,0))</x:f>
      </x:c>
      <x:c r="L9" s="63" t="str">
        <x:f>IF($A9="","",$J9/2)</x:f>
      </x:c>
      <x:c r="M9" s="63" t="str">
        <x:f>IF($A9="","",INDEX('Planejamento de Viagens'!$O$6:$O$205,MATCH($A9,'Planejamento de Viagens'!$A$6:$A$205,0)))</x:f>
      </x:c>
      <x:c r="N9" s="61" t="str">
        <x:f>IF($A9="","",COUNTIF($J$6:$J$205,"&gt;"&amp;$J9)+1)</x:f>
      </x:c>
      <x:c r="P9" s="89" t="str">
        <x:v>Maior estouro</x:v>
      </x:c>
      <x:c r="Q9" s="67" t="str">
        <x:f>IFERROR(INDEX($B$6:$B$205,MATCH(MIN($M$6:$M$205),$M$6:$M$205,0)),"")</x:f>
        <x:v>Fim de semana juntos</x:v>
      </x:c>
      <x:c r="R9" s="63" t="n">
        <x:f>MIN($M$6:$M$205)</x:f>
        <x:v>-151</x:v>
      </x:c>
    </x:row>
    <x:row r="10">
      <x:c r="A10" s="36"/>
      <x:c r="B10" s="67" t="str">
        <x:f>IF($A10="","",IFERROR(INDEX('Planejamento de Viagens'!$B$6:$B$205,MATCH($A10,'Planejamento de Viagens'!$A$6:$A$205,0)),""))</x:f>
      </x:c>
      <x:c r="C10" s="67" t="str">
        <x:f>IF($A10="","",IFERROR(INDEX('Planejamento de Viagens'!$C$6:$C$205,MATCH($A10,'Planejamento de Viagens'!$A$6:$A$205,0)),""))</x:f>
      </x:c>
      <x:c r="D10" s="67" t="str">
        <x:f>IF($A10="","",IFERROR(INDEX('Planejamento de Viagens'!$F$6:$F$205,MATCH($A10,'Planejamento de Viagens'!$A$6:$A$205,0)),""))</x:f>
      </x:c>
      <x:c r="E10" s="67" t="str">
        <x:f>IF($A10="","",IFERROR(INDEX('Planejamento de Viagens'!$G$6:$G$205,MATCH($A10,'Planejamento de Viagens'!$A$6:$A$205,0)),""))</x:f>
      </x:c>
      <x:c r="F10" s="61" t="str">
        <x:f>IF($A10="","",IFERROR(INDEX('Planejamento de Viagens'!$J$6:$J$205,MATCH($A10,'Planejamento de Viagens'!$A$6:$A$205,0)),0))</x:f>
      </x:c>
      <x:c r="G10" s="67" t="str">
        <x:f>IF($A10="","",IFERROR(INDEX('Planejamento de Viagens'!$K$6:$K$205,MATCH($A10,'Planejamento de Viagens'!$A$6:$A$205,0)),""))</x:f>
      </x:c>
      <x:c r="H10" s="67" t="str">
        <x:f>IF($A10="","",TEXT(INDEX('Planejamento de Viagens'!$H$6:$H$205,MATCH($A10,'Planejamento de Viagens'!$A$6:$A$205,0)),"mmm/yyyy"))</x:f>
      </x:c>
      <x:c r="I10" s="67" t="str">
        <x:f>IF($A10="","",2026)</x:f>
      </x:c>
      <x:c r="J10" s="63" t="str">
        <x:f>IF($A10="","",INDEX('Planejamento de Viagens'!$N$6:$N$205,MATCH($A10,'Planejamento de Viagens'!$A$6:$A$205,0)))</x:f>
      </x:c>
      <x:c r="K10" s="63" t="str">
        <x:f>IF($A10="","",IFERROR($J10/$F10,0))</x:f>
      </x:c>
      <x:c r="L10" s="63" t="str">
        <x:f>IF($A10="","",$J10/2)</x:f>
      </x:c>
      <x:c r="M10" s="63" t="str">
        <x:f>IF($A10="","",INDEX('Planejamento de Viagens'!$O$6:$O$205,MATCH($A10,'Planejamento de Viagens'!$A$6:$A$205,0)))</x:f>
      </x:c>
      <x:c r="N10" s="61" t="str">
        <x:f>IF($A10="","",COUNTIF($J$6:$J$205,"&gt;"&amp;$J10)+1)</x:f>
      </x:c>
      <x:c r="P10" s="89" t="str">
        <x:v>Melhor planejamento</x:v>
      </x:c>
      <x:c r="Q10" s="67" t="str">
        <x:f>IFERROR(INDEX($B$6:$B$205,MATCH(MAX($M$6:$M$205),$M$6:$M$205,0)),"")</x:f>
        <x:v>Pedro visitando Camilly</x:v>
      </x:c>
      <x:c r="R10" s="63" t="n">
        <x:f>MAX($M$6:$M$205)</x:f>
        <x:v>2111.67</x:v>
      </x:c>
    </x:row>
    <x:row r="11">
      <x:c r="A11" s="36"/>
      <x:c r="B11" s="67" t="str">
        <x:f>IF($A11="","",IFERROR(INDEX('Planejamento de Viagens'!$B$6:$B$205,MATCH($A11,'Planejamento de Viagens'!$A$6:$A$205,0)),""))</x:f>
      </x:c>
      <x:c r="C11" s="67" t="str">
        <x:f>IF($A11="","",IFERROR(INDEX('Planejamento de Viagens'!$C$6:$C$205,MATCH($A11,'Planejamento de Viagens'!$A$6:$A$205,0)),""))</x:f>
      </x:c>
      <x:c r="D11" s="67" t="str">
        <x:f>IF($A11="","",IFERROR(INDEX('Planejamento de Viagens'!$F$6:$F$205,MATCH($A11,'Planejamento de Viagens'!$A$6:$A$205,0)),""))</x:f>
      </x:c>
      <x:c r="E11" s="67" t="str">
        <x:f>IF($A11="","",IFERROR(INDEX('Planejamento de Viagens'!$G$6:$G$205,MATCH($A11,'Planejamento de Viagens'!$A$6:$A$205,0)),""))</x:f>
      </x:c>
      <x:c r="F11" s="61" t="str">
        <x:f>IF($A11="","",IFERROR(INDEX('Planejamento de Viagens'!$J$6:$J$205,MATCH($A11,'Planejamento de Viagens'!$A$6:$A$205,0)),0))</x:f>
      </x:c>
      <x:c r="G11" s="67" t="str">
        <x:f>IF($A11="","",IFERROR(INDEX('Planejamento de Viagens'!$K$6:$K$205,MATCH($A11,'Planejamento de Viagens'!$A$6:$A$205,0)),""))</x:f>
      </x:c>
      <x:c r="H11" s="67" t="str">
        <x:f>IF($A11="","",TEXT(INDEX('Planejamento de Viagens'!$H$6:$H$205,MATCH($A11,'Planejamento de Viagens'!$A$6:$A$205,0)),"mmm/yyyy"))</x:f>
      </x:c>
      <x:c r="I11" s="67" t="str">
        <x:f>IF($A11="","",2026)</x:f>
      </x:c>
      <x:c r="J11" s="63" t="str">
        <x:f>IF($A11="","",INDEX('Planejamento de Viagens'!$N$6:$N$205,MATCH($A11,'Planejamento de Viagens'!$A$6:$A$205,0)))</x:f>
      </x:c>
      <x:c r="K11" s="63" t="str">
        <x:f>IF($A11="","",IFERROR($J11/$F11,0))</x:f>
      </x:c>
      <x:c r="L11" s="63" t="str">
        <x:f>IF($A11="","",$J11/2)</x:f>
      </x:c>
      <x:c r="M11" s="63" t="str">
        <x:f>IF($A11="","",INDEX('Planejamento de Viagens'!$O$6:$O$205,MATCH($A11,'Planejamento de Viagens'!$A$6:$A$205,0)))</x:f>
      </x:c>
      <x:c r="N11" s="61" t="str">
        <x:f>IF($A11="","",COUNTIF($J$6:$J$205,"&gt;"&amp;$J11)+1)</x:f>
      </x:c>
    </x:row>
    <x:row r="12">
      <x:c r="A12" s="36"/>
      <x:c r="B12" s="67" t="str">
        <x:f>IF($A12="","",IFERROR(INDEX('Planejamento de Viagens'!$B$6:$B$205,MATCH($A12,'Planejamento de Viagens'!$A$6:$A$205,0)),""))</x:f>
      </x:c>
      <x:c r="C12" s="67" t="str">
        <x:f>IF($A12="","",IFERROR(INDEX('Planejamento de Viagens'!$C$6:$C$205,MATCH($A12,'Planejamento de Viagens'!$A$6:$A$205,0)),""))</x:f>
      </x:c>
      <x:c r="D12" s="67" t="str">
        <x:f>IF($A12="","",IFERROR(INDEX('Planejamento de Viagens'!$F$6:$F$205,MATCH($A12,'Planejamento de Viagens'!$A$6:$A$205,0)),""))</x:f>
      </x:c>
      <x:c r="E12" s="67" t="str">
        <x:f>IF($A12="","",IFERROR(INDEX('Planejamento de Viagens'!$G$6:$G$205,MATCH($A12,'Planejamento de Viagens'!$A$6:$A$205,0)),""))</x:f>
      </x:c>
      <x:c r="F12" s="61" t="str">
        <x:f>IF($A12="","",IFERROR(INDEX('Planejamento de Viagens'!$J$6:$J$205,MATCH($A12,'Planejamento de Viagens'!$A$6:$A$205,0)),0))</x:f>
      </x:c>
      <x:c r="G12" s="67" t="str">
        <x:f>IF($A12="","",IFERROR(INDEX('Planejamento de Viagens'!$K$6:$K$205,MATCH($A12,'Planejamento de Viagens'!$A$6:$A$205,0)),""))</x:f>
      </x:c>
      <x:c r="H12" s="67" t="str">
        <x:f>IF($A12="","",TEXT(INDEX('Planejamento de Viagens'!$H$6:$H$205,MATCH($A12,'Planejamento de Viagens'!$A$6:$A$205,0)),"mmm/yyyy"))</x:f>
      </x:c>
      <x:c r="I12" s="67" t="str">
        <x:f>IF($A12="","",2026)</x:f>
      </x:c>
      <x:c r="J12" s="63" t="str">
        <x:f>IF($A12="","",INDEX('Planejamento de Viagens'!$N$6:$N$205,MATCH($A12,'Planejamento de Viagens'!$A$6:$A$205,0)))</x:f>
      </x:c>
      <x:c r="K12" s="63" t="str">
        <x:f>IF($A12="","",IFERROR($J12/$F12,0))</x:f>
      </x:c>
      <x:c r="L12" s="63" t="str">
        <x:f>IF($A12="","",$J12/2)</x:f>
      </x:c>
      <x:c r="M12" s="63" t="str">
        <x:f>IF($A12="","",INDEX('Planejamento de Viagens'!$O$6:$O$205,MATCH($A12,'Planejamento de Viagens'!$A$6:$A$205,0)))</x:f>
      </x:c>
      <x:c r="N12" s="61" t="str">
        <x:f>IF($A12="","",COUNTIF($J$6:$J$205,"&gt;"&amp;$J12)+1)</x:f>
      </x:c>
    </x:row>
    <x:row r="13">
      <x:c r="A13" s="36"/>
      <x:c r="B13" s="67" t="str">
        <x:f>IF($A13="","",IFERROR(INDEX('Planejamento de Viagens'!$B$6:$B$205,MATCH($A13,'Planejamento de Viagens'!$A$6:$A$205,0)),""))</x:f>
      </x:c>
      <x:c r="C13" s="67" t="str">
        <x:f>IF($A13="","",IFERROR(INDEX('Planejamento de Viagens'!$C$6:$C$205,MATCH($A13,'Planejamento de Viagens'!$A$6:$A$205,0)),""))</x:f>
      </x:c>
      <x:c r="D13" s="67" t="str">
        <x:f>IF($A13="","",IFERROR(INDEX('Planejamento de Viagens'!$F$6:$F$205,MATCH($A13,'Planejamento de Viagens'!$A$6:$A$205,0)),""))</x:f>
      </x:c>
      <x:c r="E13" s="67" t="str">
        <x:f>IF($A13="","",IFERROR(INDEX('Planejamento de Viagens'!$G$6:$G$205,MATCH($A13,'Planejamento de Viagens'!$A$6:$A$205,0)),""))</x:f>
      </x:c>
      <x:c r="F13" s="61" t="str">
        <x:f>IF($A13="","",IFERROR(INDEX('Planejamento de Viagens'!$J$6:$J$205,MATCH($A13,'Planejamento de Viagens'!$A$6:$A$205,0)),0))</x:f>
      </x:c>
      <x:c r="G13" s="67" t="str">
        <x:f>IF($A13="","",IFERROR(INDEX('Planejamento de Viagens'!$K$6:$K$205,MATCH($A13,'Planejamento de Viagens'!$A$6:$A$205,0)),""))</x:f>
      </x:c>
      <x:c r="H13" s="67" t="str">
        <x:f>IF($A13="","",TEXT(INDEX('Planejamento de Viagens'!$H$6:$H$205,MATCH($A13,'Planejamento de Viagens'!$A$6:$A$205,0)),"mmm/yyyy"))</x:f>
      </x:c>
      <x:c r="I13" s="67" t="str">
        <x:f>IF($A13="","",2026)</x:f>
      </x:c>
      <x:c r="J13" s="63" t="str">
        <x:f>IF($A13="","",INDEX('Planejamento de Viagens'!$N$6:$N$205,MATCH($A13,'Planejamento de Viagens'!$A$6:$A$205,0)))</x:f>
      </x:c>
      <x:c r="K13" s="63" t="str">
        <x:f>IF($A13="","",IFERROR($J13/$F13,0))</x:f>
      </x:c>
      <x:c r="L13" s="63" t="str">
        <x:f>IF($A13="","",$J13/2)</x:f>
      </x:c>
      <x:c r="M13" s="63" t="str">
        <x:f>IF($A13="","",INDEX('Planejamento de Viagens'!$O$6:$O$205,MATCH($A13,'Planejamento de Viagens'!$A$6:$A$205,0)))</x:f>
      </x:c>
      <x:c r="N13" s="61" t="str">
        <x:f>IF($A13="","",COUNTIF($J$6:$J$205,"&gt;"&amp;$J13)+1)</x:f>
      </x:c>
    </x:row>
    <x:row r="14">
      <x:c r="A14" s="36"/>
      <x:c r="B14" s="67" t="str">
        <x:f>IF($A14="","",IFERROR(INDEX('Planejamento de Viagens'!$B$6:$B$205,MATCH($A14,'Planejamento de Viagens'!$A$6:$A$205,0)),""))</x:f>
      </x:c>
      <x:c r="C14" s="67" t="str">
        <x:f>IF($A14="","",IFERROR(INDEX('Planejamento de Viagens'!$C$6:$C$205,MATCH($A14,'Planejamento de Viagens'!$A$6:$A$205,0)),""))</x:f>
      </x:c>
      <x:c r="D14" s="67" t="str">
        <x:f>IF($A14="","",IFERROR(INDEX('Planejamento de Viagens'!$F$6:$F$205,MATCH($A14,'Planejamento de Viagens'!$A$6:$A$205,0)),""))</x:f>
      </x:c>
      <x:c r="E14" s="67" t="str">
        <x:f>IF($A14="","",IFERROR(INDEX('Planejamento de Viagens'!$G$6:$G$205,MATCH($A14,'Planejamento de Viagens'!$A$6:$A$205,0)),""))</x:f>
      </x:c>
      <x:c r="F14" s="61" t="str">
        <x:f>IF($A14="","",IFERROR(INDEX('Planejamento de Viagens'!$J$6:$J$205,MATCH($A14,'Planejamento de Viagens'!$A$6:$A$205,0)),0))</x:f>
      </x:c>
      <x:c r="G14" s="67" t="str">
        <x:f>IF($A14="","",IFERROR(INDEX('Planejamento de Viagens'!$K$6:$K$205,MATCH($A14,'Planejamento de Viagens'!$A$6:$A$205,0)),""))</x:f>
      </x:c>
      <x:c r="H14" s="67" t="str">
        <x:f>IF($A14="","",TEXT(INDEX('Planejamento de Viagens'!$H$6:$H$205,MATCH($A14,'Planejamento de Viagens'!$A$6:$A$205,0)),"mmm/yyyy"))</x:f>
      </x:c>
      <x:c r="I14" s="67" t="str">
        <x:f>IF($A14="","",2026)</x:f>
      </x:c>
      <x:c r="J14" s="63" t="str">
        <x:f>IF($A14="","",INDEX('Planejamento de Viagens'!$N$6:$N$205,MATCH($A14,'Planejamento de Viagens'!$A$6:$A$205,0)))</x:f>
      </x:c>
      <x:c r="K14" s="63" t="str">
        <x:f>IF($A14="","",IFERROR($J14/$F14,0))</x:f>
      </x:c>
      <x:c r="L14" s="63" t="str">
        <x:f>IF($A14="","",$J14/2)</x:f>
      </x:c>
      <x:c r="M14" s="63" t="str">
        <x:f>IF($A14="","",INDEX('Planejamento de Viagens'!$O$6:$O$205,MATCH($A14,'Planejamento de Viagens'!$A$6:$A$205,0)))</x:f>
      </x:c>
      <x:c r="N14" s="61" t="str">
        <x:f>IF($A14="","",COUNTIF($J$6:$J$205,"&gt;"&amp;$J14)+1)</x:f>
      </x:c>
    </x:row>
    <x:row r="15">
      <x:c r="A15" s="36"/>
      <x:c r="B15" s="67" t="str">
        <x:f>IF($A15="","",IFERROR(INDEX('Planejamento de Viagens'!$B$6:$B$205,MATCH($A15,'Planejamento de Viagens'!$A$6:$A$205,0)),""))</x:f>
      </x:c>
      <x:c r="C15" s="67" t="str">
        <x:f>IF($A15="","",IFERROR(INDEX('Planejamento de Viagens'!$C$6:$C$205,MATCH($A15,'Planejamento de Viagens'!$A$6:$A$205,0)),""))</x:f>
      </x:c>
      <x:c r="D15" s="67" t="str">
        <x:f>IF($A15="","",IFERROR(INDEX('Planejamento de Viagens'!$F$6:$F$205,MATCH($A15,'Planejamento de Viagens'!$A$6:$A$205,0)),""))</x:f>
      </x:c>
      <x:c r="E15" s="67" t="str">
        <x:f>IF($A15="","",IFERROR(INDEX('Planejamento de Viagens'!$G$6:$G$205,MATCH($A15,'Planejamento de Viagens'!$A$6:$A$205,0)),""))</x:f>
      </x:c>
      <x:c r="F15" s="61" t="str">
        <x:f>IF($A15="","",IFERROR(INDEX('Planejamento de Viagens'!$J$6:$J$205,MATCH($A15,'Planejamento de Viagens'!$A$6:$A$205,0)),0))</x:f>
      </x:c>
      <x:c r="G15" s="67" t="str">
        <x:f>IF($A15="","",IFERROR(INDEX('Planejamento de Viagens'!$K$6:$K$205,MATCH($A15,'Planejamento de Viagens'!$A$6:$A$205,0)),""))</x:f>
      </x:c>
      <x:c r="H15" s="67" t="str">
        <x:f>IF($A15="","",TEXT(INDEX('Planejamento de Viagens'!$H$6:$H$205,MATCH($A15,'Planejamento de Viagens'!$A$6:$A$205,0)),"mmm/yyyy"))</x:f>
      </x:c>
      <x:c r="I15" s="67" t="str">
        <x:f>IF($A15="","",2026)</x:f>
      </x:c>
      <x:c r="J15" s="63" t="str">
        <x:f>IF($A15="","",INDEX('Planejamento de Viagens'!$N$6:$N$205,MATCH($A15,'Planejamento de Viagens'!$A$6:$A$205,0)))</x:f>
      </x:c>
      <x:c r="K15" s="63" t="str">
        <x:f>IF($A15="","",IFERROR($J15/$F15,0))</x:f>
      </x:c>
      <x:c r="L15" s="63" t="str">
        <x:f>IF($A15="","",$J15/2)</x:f>
      </x:c>
      <x:c r="M15" s="63" t="str">
        <x:f>IF($A15="","",INDEX('Planejamento de Viagens'!$O$6:$O$205,MATCH($A15,'Planejamento de Viagens'!$A$6:$A$205,0)))</x:f>
      </x:c>
      <x:c r="N15" s="61" t="str">
        <x:f>IF($A15="","",COUNTIF($J$6:$J$205,"&gt;"&amp;$J15)+1)</x:f>
      </x:c>
    </x:row>
    <x:row r="16">
      <x:c r="A16" s="36"/>
      <x:c r="B16" s="67" t="str">
        <x:f>IF($A16="","",IFERROR(INDEX('Planejamento de Viagens'!$B$6:$B$205,MATCH($A16,'Planejamento de Viagens'!$A$6:$A$205,0)),""))</x:f>
      </x:c>
      <x:c r="C16" s="67" t="str">
        <x:f>IF($A16="","",IFERROR(INDEX('Planejamento de Viagens'!$C$6:$C$205,MATCH($A16,'Planejamento de Viagens'!$A$6:$A$205,0)),""))</x:f>
      </x:c>
      <x:c r="D16" s="67" t="str">
        <x:f>IF($A16="","",IFERROR(INDEX('Planejamento de Viagens'!$F$6:$F$205,MATCH($A16,'Planejamento de Viagens'!$A$6:$A$205,0)),""))</x:f>
      </x:c>
      <x:c r="E16" s="67" t="str">
        <x:f>IF($A16="","",IFERROR(INDEX('Planejamento de Viagens'!$G$6:$G$205,MATCH($A16,'Planejamento de Viagens'!$A$6:$A$205,0)),""))</x:f>
      </x:c>
      <x:c r="F16" s="61" t="str">
        <x:f>IF($A16="","",IFERROR(INDEX('Planejamento de Viagens'!$J$6:$J$205,MATCH($A16,'Planejamento de Viagens'!$A$6:$A$205,0)),0))</x:f>
      </x:c>
      <x:c r="G16" s="67" t="str">
        <x:f>IF($A16="","",IFERROR(INDEX('Planejamento de Viagens'!$K$6:$K$205,MATCH($A16,'Planejamento de Viagens'!$A$6:$A$205,0)),""))</x:f>
      </x:c>
      <x:c r="H16" s="67" t="str">
        <x:f>IF($A16="","",TEXT(INDEX('Planejamento de Viagens'!$H$6:$H$205,MATCH($A16,'Planejamento de Viagens'!$A$6:$A$205,0)),"mmm/yyyy"))</x:f>
      </x:c>
      <x:c r="I16" s="67" t="str">
        <x:f>IF($A16="","",2026)</x:f>
      </x:c>
      <x:c r="J16" s="63" t="str">
        <x:f>IF($A16="","",INDEX('Planejamento de Viagens'!$N$6:$N$205,MATCH($A16,'Planejamento de Viagens'!$A$6:$A$205,0)))</x:f>
      </x:c>
      <x:c r="K16" s="63" t="str">
        <x:f>IF($A16="","",IFERROR($J16/$F16,0))</x:f>
      </x:c>
      <x:c r="L16" s="63" t="str">
        <x:f>IF($A16="","",$J16/2)</x:f>
      </x:c>
      <x:c r="M16" s="63" t="str">
        <x:f>IF($A16="","",INDEX('Planejamento de Viagens'!$O$6:$O$205,MATCH($A16,'Planejamento de Viagens'!$A$6:$A$205,0)))</x:f>
      </x:c>
      <x:c r="N16" s="61" t="str">
        <x:f>IF($A16="","",COUNTIF($J$6:$J$205,"&gt;"&amp;$J16)+1)</x:f>
      </x:c>
    </x:row>
    <x:row r="17">
      <x:c r="A17" s="36"/>
      <x:c r="B17" s="67" t="str">
        <x:f>IF($A17="","",IFERROR(INDEX('Planejamento de Viagens'!$B$6:$B$205,MATCH($A17,'Planejamento de Viagens'!$A$6:$A$205,0)),""))</x:f>
      </x:c>
      <x:c r="C17" s="67" t="str">
        <x:f>IF($A17="","",IFERROR(INDEX('Planejamento de Viagens'!$C$6:$C$205,MATCH($A17,'Planejamento de Viagens'!$A$6:$A$205,0)),""))</x:f>
      </x:c>
      <x:c r="D17" s="67" t="str">
        <x:f>IF($A17="","",IFERROR(INDEX('Planejamento de Viagens'!$F$6:$F$205,MATCH($A17,'Planejamento de Viagens'!$A$6:$A$205,0)),""))</x:f>
      </x:c>
      <x:c r="E17" s="67" t="str">
        <x:f>IF($A17="","",IFERROR(INDEX('Planejamento de Viagens'!$G$6:$G$205,MATCH($A17,'Planejamento de Viagens'!$A$6:$A$205,0)),""))</x:f>
      </x:c>
      <x:c r="F17" s="61" t="str">
        <x:f>IF($A17="","",IFERROR(INDEX('Planejamento de Viagens'!$J$6:$J$205,MATCH($A17,'Planejamento de Viagens'!$A$6:$A$205,0)),0))</x:f>
      </x:c>
      <x:c r="G17" s="67" t="str">
        <x:f>IF($A17="","",IFERROR(INDEX('Planejamento de Viagens'!$K$6:$K$205,MATCH($A17,'Planejamento de Viagens'!$A$6:$A$205,0)),""))</x:f>
      </x:c>
      <x:c r="H17" s="67" t="str">
        <x:f>IF($A17="","",TEXT(INDEX('Planejamento de Viagens'!$H$6:$H$205,MATCH($A17,'Planejamento de Viagens'!$A$6:$A$205,0)),"mmm/yyyy"))</x:f>
      </x:c>
      <x:c r="I17" s="67" t="str">
        <x:f>IF($A17="","",2026)</x:f>
      </x:c>
      <x:c r="J17" s="63" t="str">
        <x:f>IF($A17="","",INDEX('Planejamento de Viagens'!$N$6:$N$205,MATCH($A17,'Planejamento de Viagens'!$A$6:$A$205,0)))</x:f>
      </x:c>
      <x:c r="K17" s="63" t="str">
        <x:f>IF($A17="","",IFERROR($J17/$F17,0))</x:f>
      </x:c>
      <x:c r="L17" s="63" t="str">
        <x:f>IF($A17="","",$J17/2)</x:f>
      </x:c>
      <x:c r="M17" s="63" t="str">
        <x:f>IF($A17="","",INDEX('Planejamento de Viagens'!$O$6:$O$205,MATCH($A17,'Planejamento de Viagens'!$A$6:$A$205,0)))</x:f>
      </x:c>
      <x:c r="N17" s="61" t="str">
        <x:f>IF($A17="","",COUNTIF($J$6:$J$205,"&gt;"&amp;$J17)+1)</x:f>
      </x:c>
    </x:row>
    <x:row r="18">
      <x:c r="A18" s="36"/>
      <x:c r="B18" s="67" t="str">
        <x:f>IF($A18="","",IFERROR(INDEX('Planejamento de Viagens'!$B$6:$B$205,MATCH($A18,'Planejamento de Viagens'!$A$6:$A$205,0)),""))</x:f>
      </x:c>
      <x:c r="C18" s="67" t="str">
        <x:f>IF($A18="","",IFERROR(INDEX('Planejamento de Viagens'!$C$6:$C$205,MATCH($A18,'Planejamento de Viagens'!$A$6:$A$205,0)),""))</x:f>
      </x:c>
      <x:c r="D18" s="67" t="str">
        <x:f>IF($A18="","",IFERROR(INDEX('Planejamento de Viagens'!$F$6:$F$205,MATCH($A18,'Planejamento de Viagens'!$A$6:$A$205,0)),""))</x:f>
      </x:c>
      <x:c r="E18" s="67" t="str">
        <x:f>IF($A18="","",IFERROR(INDEX('Planejamento de Viagens'!$G$6:$G$205,MATCH($A18,'Planejamento de Viagens'!$A$6:$A$205,0)),""))</x:f>
      </x:c>
      <x:c r="F18" s="61" t="str">
        <x:f>IF($A18="","",IFERROR(INDEX('Planejamento de Viagens'!$J$6:$J$205,MATCH($A18,'Planejamento de Viagens'!$A$6:$A$205,0)),0))</x:f>
      </x:c>
      <x:c r="G18" s="67" t="str">
        <x:f>IF($A18="","",IFERROR(INDEX('Planejamento de Viagens'!$K$6:$K$205,MATCH($A18,'Planejamento de Viagens'!$A$6:$A$205,0)),""))</x:f>
      </x:c>
      <x:c r="H18" s="67" t="str">
        <x:f>IF($A18="","",TEXT(INDEX('Planejamento de Viagens'!$H$6:$H$205,MATCH($A18,'Planejamento de Viagens'!$A$6:$A$205,0)),"mmm/yyyy"))</x:f>
      </x:c>
      <x:c r="I18" s="67" t="str">
        <x:f>IF($A18="","",2026)</x:f>
      </x:c>
      <x:c r="J18" s="63" t="str">
        <x:f>IF($A18="","",INDEX('Planejamento de Viagens'!$N$6:$N$205,MATCH($A18,'Planejamento de Viagens'!$A$6:$A$205,0)))</x:f>
      </x:c>
      <x:c r="K18" s="63" t="str">
        <x:f>IF($A18="","",IFERROR($J18/$F18,0))</x:f>
      </x:c>
      <x:c r="L18" s="63" t="str">
        <x:f>IF($A18="","",$J18/2)</x:f>
      </x:c>
      <x:c r="M18" s="63" t="str">
        <x:f>IF($A18="","",INDEX('Planejamento de Viagens'!$O$6:$O$205,MATCH($A18,'Planejamento de Viagens'!$A$6:$A$205,0)))</x:f>
      </x:c>
      <x:c r="N18" s="61" t="str">
        <x:f>IF($A18="","",COUNTIF($J$6:$J$205,"&gt;"&amp;$J18)+1)</x:f>
      </x:c>
    </x:row>
    <x:row r="19">
      <x:c r="A19" s="36"/>
      <x:c r="B19" s="67" t="str">
        <x:f>IF($A19="","",IFERROR(INDEX('Planejamento de Viagens'!$B$6:$B$205,MATCH($A19,'Planejamento de Viagens'!$A$6:$A$205,0)),""))</x:f>
      </x:c>
      <x:c r="C19" s="67" t="str">
        <x:f>IF($A19="","",IFERROR(INDEX('Planejamento de Viagens'!$C$6:$C$205,MATCH($A19,'Planejamento de Viagens'!$A$6:$A$205,0)),""))</x:f>
      </x:c>
      <x:c r="D19" s="67" t="str">
        <x:f>IF($A19="","",IFERROR(INDEX('Planejamento de Viagens'!$F$6:$F$205,MATCH($A19,'Planejamento de Viagens'!$A$6:$A$205,0)),""))</x:f>
      </x:c>
      <x:c r="E19" s="67" t="str">
        <x:f>IF($A19="","",IFERROR(INDEX('Planejamento de Viagens'!$G$6:$G$205,MATCH($A19,'Planejamento de Viagens'!$A$6:$A$205,0)),""))</x:f>
      </x:c>
      <x:c r="F19" s="61" t="str">
        <x:f>IF($A19="","",IFERROR(INDEX('Planejamento de Viagens'!$J$6:$J$205,MATCH($A19,'Planejamento de Viagens'!$A$6:$A$205,0)),0))</x:f>
      </x:c>
      <x:c r="G19" s="67" t="str">
        <x:f>IF($A19="","",IFERROR(INDEX('Planejamento de Viagens'!$K$6:$K$205,MATCH($A19,'Planejamento de Viagens'!$A$6:$A$205,0)),""))</x:f>
      </x:c>
      <x:c r="H19" s="67" t="str">
        <x:f>IF($A19="","",TEXT(INDEX('Planejamento de Viagens'!$H$6:$H$205,MATCH($A19,'Planejamento de Viagens'!$A$6:$A$205,0)),"mmm/yyyy"))</x:f>
      </x:c>
      <x:c r="I19" s="67" t="str">
        <x:f>IF($A19="","",2026)</x:f>
      </x:c>
      <x:c r="J19" s="63" t="str">
        <x:f>IF($A19="","",INDEX('Planejamento de Viagens'!$N$6:$N$205,MATCH($A19,'Planejamento de Viagens'!$A$6:$A$205,0)))</x:f>
      </x:c>
      <x:c r="K19" s="63" t="str">
        <x:f>IF($A19="","",IFERROR($J19/$F19,0))</x:f>
      </x:c>
      <x:c r="L19" s="63" t="str">
        <x:f>IF($A19="","",$J19/2)</x:f>
      </x:c>
      <x:c r="M19" s="63" t="str">
        <x:f>IF($A19="","",INDEX('Planejamento de Viagens'!$O$6:$O$205,MATCH($A19,'Planejamento de Viagens'!$A$6:$A$205,0)))</x:f>
      </x:c>
      <x:c r="N19" s="61" t="str">
        <x:f>IF($A19="","",COUNTIF($J$6:$J$205,"&gt;"&amp;$J19)+1)</x:f>
      </x:c>
    </x:row>
    <x:row r="20">
      <x:c r="A20" s="36"/>
      <x:c r="B20" s="67" t="str">
        <x:f>IF($A20="","",IFERROR(INDEX('Planejamento de Viagens'!$B$6:$B$205,MATCH($A20,'Planejamento de Viagens'!$A$6:$A$205,0)),""))</x:f>
      </x:c>
      <x:c r="C20" s="67" t="str">
        <x:f>IF($A20="","",IFERROR(INDEX('Planejamento de Viagens'!$C$6:$C$205,MATCH($A20,'Planejamento de Viagens'!$A$6:$A$205,0)),""))</x:f>
      </x:c>
      <x:c r="D20" s="67" t="str">
        <x:f>IF($A20="","",IFERROR(INDEX('Planejamento de Viagens'!$F$6:$F$205,MATCH($A20,'Planejamento de Viagens'!$A$6:$A$205,0)),""))</x:f>
      </x:c>
      <x:c r="E20" s="67" t="str">
        <x:f>IF($A20="","",IFERROR(INDEX('Planejamento de Viagens'!$G$6:$G$205,MATCH($A20,'Planejamento de Viagens'!$A$6:$A$205,0)),""))</x:f>
      </x:c>
      <x:c r="F20" s="61" t="str">
        <x:f>IF($A20="","",IFERROR(INDEX('Planejamento de Viagens'!$J$6:$J$205,MATCH($A20,'Planejamento de Viagens'!$A$6:$A$205,0)),0))</x:f>
      </x:c>
      <x:c r="G20" s="67" t="str">
        <x:f>IF($A20="","",IFERROR(INDEX('Planejamento de Viagens'!$K$6:$K$205,MATCH($A20,'Planejamento de Viagens'!$A$6:$A$205,0)),""))</x:f>
      </x:c>
      <x:c r="H20" s="67" t="str">
        <x:f>IF($A20="","",TEXT(INDEX('Planejamento de Viagens'!$H$6:$H$205,MATCH($A20,'Planejamento de Viagens'!$A$6:$A$205,0)),"mmm/yyyy"))</x:f>
      </x:c>
      <x:c r="I20" s="67" t="str">
        <x:f>IF($A20="","",2026)</x:f>
      </x:c>
      <x:c r="J20" s="63" t="str">
        <x:f>IF($A20="","",INDEX('Planejamento de Viagens'!$N$6:$N$205,MATCH($A20,'Planejamento de Viagens'!$A$6:$A$205,0)))</x:f>
      </x:c>
      <x:c r="K20" s="63" t="str">
        <x:f>IF($A20="","",IFERROR($J20/$F20,0))</x:f>
      </x:c>
      <x:c r="L20" s="63" t="str">
        <x:f>IF($A20="","",$J20/2)</x:f>
      </x:c>
      <x:c r="M20" s="63" t="str">
        <x:f>IF($A20="","",INDEX('Planejamento de Viagens'!$O$6:$O$205,MATCH($A20,'Planejamento de Viagens'!$A$6:$A$205,0)))</x:f>
      </x:c>
      <x:c r="N20" s="61" t="str">
        <x:f>IF($A20="","",COUNTIF($J$6:$J$205,"&gt;"&amp;$J20)+1)</x:f>
      </x:c>
    </x:row>
    <x:row r="21">
      <x:c r="A21" s="36"/>
      <x:c r="B21" s="67" t="str">
        <x:f>IF($A21="","",IFERROR(INDEX('Planejamento de Viagens'!$B$6:$B$205,MATCH($A21,'Planejamento de Viagens'!$A$6:$A$205,0)),""))</x:f>
      </x:c>
      <x:c r="C21" s="67" t="str">
        <x:f>IF($A21="","",IFERROR(INDEX('Planejamento de Viagens'!$C$6:$C$205,MATCH($A21,'Planejamento de Viagens'!$A$6:$A$205,0)),""))</x:f>
      </x:c>
      <x:c r="D21" s="67" t="str">
        <x:f>IF($A21="","",IFERROR(INDEX('Planejamento de Viagens'!$F$6:$F$205,MATCH($A21,'Planejamento de Viagens'!$A$6:$A$205,0)),""))</x:f>
      </x:c>
      <x:c r="E21" s="67" t="str">
        <x:f>IF($A21="","",IFERROR(INDEX('Planejamento de Viagens'!$G$6:$G$205,MATCH($A21,'Planejamento de Viagens'!$A$6:$A$205,0)),""))</x:f>
      </x:c>
      <x:c r="F21" s="61" t="str">
        <x:f>IF($A21="","",IFERROR(INDEX('Planejamento de Viagens'!$J$6:$J$205,MATCH($A21,'Planejamento de Viagens'!$A$6:$A$205,0)),0))</x:f>
      </x:c>
      <x:c r="G21" s="67" t="str">
        <x:f>IF($A21="","",IFERROR(INDEX('Planejamento de Viagens'!$K$6:$K$205,MATCH($A21,'Planejamento de Viagens'!$A$6:$A$205,0)),""))</x:f>
      </x:c>
      <x:c r="H21" s="67" t="str">
        <x:f>IF($A21="","",TEXT(INDEX('Planejamento de Viagens'!$H$6:$H$205,MATCH($A21,'Planejamento de Viagens'!$A$6:$A$205,0)),"mmm/yyyy"))</x:f>
      </x:c>
      <x:c r="I21" s="67" t="str">
        <x:f>IF($A21="","",2026)</x:f>
      </x:c>
      <x:c r="J21" s="63" t="str">
        <x:f>IF($A21="","",INDEX('Planejamento de Viagens'!$N$6:$N$205,MATCH($A21,'Planejamento de Viagens'!$A$6:$A$205,0)))</x:f>
      </x:c>
      <x:c r="K21" s="63" t="str">
        <x:f>IF($A21="","",IFERROR($J21/$F21,0))</x:f>
      </x:c>
      <x:c r="L21" s="63" t="str">
        <x:f>IF($A21="","",$J21/2)</x:f>
      </x:c>
      <x:c r="M21" s="63" t="str">
        <x:f>IF($A21="","",INDEX('Planejamento de Viagens'!$O$6:$O$205,MATCH($A21,'Planejamento de Viagens'!$A$6:$A$205,0)))</x:f>
      </x:c>
      <x:c r="N21" s="61" t="str">
        <x:f>IF($A21="","",COUNTIF($J$6:$J$205,"&gt;"&amp;$J21)+1)</x:f>
      </x:c>
    </x:row>
    <x:row r="22">
      <x:c r="A22" s="36"/>
      <x:c r="B22" s="67" t="str">
        <x:f>IF($A22="","",IFERROR(INDEX('Planejamento de Viagens'!$B$6:$B$205,MATCH($A22,'Planejamento de Viagens'!$A$6:$A$205,0)),""))</x:f>
      </x:c>
      <x:c r="C22" s="67" t="str">
        <x:f>IF($A22="","",IFERROR(INDEX('Planejamento de Viagens'!$C$6:$C$205,MATCH($A22,'Planejamento de Viagens'!$A$6:$A$205,0)),""))</x:f>
      </x:c>
      <x:c r="D22" s="67" t="str">
        <x:f>IF($A22="","",IFERROR(INDEX('Planejamento de Viagens'!$F$6:$F$205,MATCH($A22,'Planejamento de Viagens'!$A$6:$A$205,0)),""))</x:f>
      </x:c>
      <x:c r="E22" s="67" t="str">
        <x:f>IF($A22="","",IFERROR(INDEX('Planejamento de Viagens'!$G$6:$G$205,MATCH($A22,'Planejamento de Viagens'!$A$6:$A$205,0)),""))</x:f>
      </x:c>
      <x:c r="F22" s="61" t="str">
        <x:f>IF($A22="","",IFERROR(INDEX('Planejamento de Viagens'!$J$6:$J$205,MATCH($A22,'Planejamento de Viagens'!$A$6:$A$205,0)),0))</x:f>
      </x:c>
      <x:c r="G22" s="67" t="str">
        <x:f>IF($A22="","",IFERROR(INDEX('Planejamento de Viagens'!$K$6:$K$205,MATCH($A22,'Planejamento de Viagens'!$A$6:$A$205,0)),""))</x:f>
      </x:c>
      <x:c r="H22" s="67" t="str">
        <x:f>IF($A22="","",TEXT(INDEX('Planejamento de Viagens'!$H$6:$H$205,MATCH($A22,'Planejamento de Viagens'!$A$6:$A$205,0)),"mmm/yyyy"))</x:f>
      </x:c>
      <x:c r="I22" s="67" t="str">
        <x:f>IF($A22="","",2026)</x:f>
      </x:c>
      <x:c r="J22" s="63" t="str">
        <x:f>IF($A22="","",INDEX('Planejamento de Viagens'!$N$6:$N$205,MATCH($A22,'Planejamento de Viagens'!$A$6:$A$205,0)))</x:f>
      </x:c>
      <x:c r="K22" s="63" t="str">
        <x:f>IF($A22="","",IFERROR($J22/$F22,0))</x:f>
      </x:c>
      <x:c r="L22" s="63" t="str">
        <x:f>IF($A22="","",$J22/2)</x:f>
      </x:c>
      <x:c r="M22" s="63" t="str">
        <x:f>IF($A22="","",INDEX('Planejamento de Viagens'!$O$6:$O$205,MATCH($A22,'Planejamento de Viagens'!$A$6:$A$205,0)))</x:f>
      </x:c>
      <x:c r="N22" s="61" t="str">
        <x:f>IF($A22="","",COUNTIF($J$6:$J$205,"&gt;"&amp;$J22)+1)</x:f>
      </x:c>
    </x:row>
    <x:row r="23">
      <x:c r="A23" s="36"/>
      <x:c r="B23" s="67" t="str">
        <x:f>IF($A23="","",IFERROR(INDEX('Planejamento de Viagens'!$B$6:$B$205,MATCH($A23,'Planejamento de Viagens'!$A$6:$A$205,0)),""))</x:f>
      </x:c>
      <x:c r="C23" s="67" t="str">
        <x:f>IF($A23="","",IFERROR(INDEX('Planejamento de Viagens'!$C$6:$C$205,MATCH($A23,'Planejamento de Viagens'!$A$6:$A$205,0)),""))</x:f>
      </x:c>
      <x:c r="D23" s="67" t="str">
        <x:f>IF($A23="","",IFERROR(INDEX('Planejamento de Viagens'!$F$6:$F$205,MATCH($A23,'Planejamento de Viagens'!$A$6:$A$205,0)),""))</x:f>
      </x:c>
      <x:c r="E23" s="67" t="str">
        <x:f>IF($A23="","",IFERROR(INDEX('Planejamento de Viagens'!$G$6:$G$205,MATCH($A23,'Planejamento de Viagens'!$A$6:$A$205,0)),""))</x:f>
      </x:c>
      <x:c r="F23" s="61" t="str">
        <x:f>IF($A23="","",IFERROR(INDEX('Planejamento de Viagens'!$J$6:$J$205,MATCH($A23,'Planejamento de Viagens'!$A$6:$A$205,0)),0))</x:f>
      </x:c>
      <x:c r="G23" s="67" t="str">
        <x:f>IF($A23="","",IFERROR(INDEX('Planejamento de Viagens'!$K$6:$K$205,MATCH($A23,'Planejamento de Viagens'!$A$6:$A$205,0)),""))</x:f>
      </x:c>
      <x:c r="H23" s="67" t="str">
        <x:f>IF($A23="","",TEXT(INDEX('Planejamento de Viagens'!$H$6:$H$205,MATCH($A23,'Planejamento de Viagens'!$A$6:$A$205,0)),"mmm/yyyy"))</x:f>
      </x:c>
      <x:c r="I23" s="67" t="str">
        <x:f>IF($A23="","",2026)</x:f>
      </x:c>
      <x:c r="J23" s="63" t="str">
        <x:f>IF($A23="","",INDEX('Planejamento de Viagens'!$N$6:$N$205,MATCH($A23,'Planejamento de Viagens'!$A$6:$A$205,0)))</x:f>
      </x:c>
      <x:c r="K23" s="63" t="str">
        <x:f>IF($A23="","",IFERROR($J23/$F23,0))</x:f>
      </x:c>
      <x:c r="L23" s="63" t="str">
        <x:f>IF($A23="","",$J23/2)</x:f>
      </x:c>
      <x:c r="M23" s="63" t="str">
        <x:f>IF($A23="","",INDEX('Planejamento de Viagens'!$O$6:$O$205,MATCH($A23,'Planejamento de Viagens'!$A$6:$A$205,0)))</x:f>
      </x:c>
      <x:c r="N23" s="61" t="str">
        <x:f>IF($A23="","",COUNTIF($J$6:$J$205,"&gt;"&amp;$J23)+1)</x:f>
      </x:c>
    </x:row>
    <x:row r="24">
      <x:c r="A24" s="36"/>
      <x:c r="B24" s="67" t="str">
        <x:f>IF($A24="","",IFERROR(INDEX('Planejamento de Viagens'!$B$6:$B$205,MATCH($A24,'Planejamento de Viagens'!$A$6:$A$205,0)),""))</x:f>
      </x:c>
      <x:c r="C24" s="67" t="str">
        <x:f>IF($A24="","",IFERROR(INDEX('Planejamento de Viagens'!$C$6:$C$205,MATCH($A24,'Planejamento de Viagens'!$A$6:$A$205,0)),""))</x:f>
      </x:c>
      <x:c r="D24" s="67" t="str">
        <x:f>IF($A24="","",IFERROR(INDEX('Planejamento de Viagens'!$F$6:$F$205,MATCH($A24,'Planejamento de Viagens'!$A$6:$A$205,0)),""))</x:f>
      </x:c>
      <x:c r="E24" s="67" t="str">
        <x:f>IF($A24="","",IFERROR(INDEX('Planejamento de Viagens'!$G$6:$G$205,MATCH($A24,'Planejamento de Viagens'!$A$6:$A$205,0)),""))</x:f>
      </x:c>
      <x:c r="F24" s="61" t="str">
        <x:f>IF($A24="","",IFERROR(INDEX('Planejamento de Viagens'!$J$6:$J$205,MATCH($A24,'Planejamento de Viagens'!$A$6:$A$205,0)),0))</x:f>
      </x:c>
      <x:c r="G24" s="67" t="str">
        <x:f>IF($A24="","",IFERROR(INDEX('Planejamento de Viagens'!$K$6:$K$205,MATCH($A24,'Planejamento de Viagens'!$A$6:$A$205,0)),""))</x:f>
      </x:c>
      <x:c r="H24" s="67" t="str">
        <x:f>IF($A24="","",TEXT(INDEX('Planejamento de Viagens'!$H$6:$H$205,MATCH($A24,'Planejamento de Viagens'!$A$6:$A$205,0)),"mmm/yyyy"))</x:f>
      </x:c>
      <x:c r="I24" s="67" t="str">
        <x:f>IF($A24="","",2026)</x:f>
      </x:c>
      <x:c r="J24" s="63" t="str">
        <x:f>IF($A24="","",INDEX('Planejamento de Viagens'!$N$6:$N$205,MATCH($A24,'Planejamento de Viagens'!$A$6:$A$205,0)))</x:f>
      </x:c>
      <x:c r="K24" s="63" t="str">
        <x:f>IF($A24="","",IFERROR($J24/$F24,0))</x:f>
      </x:c>
      <x:c r="L24" s="63" t="str">
        <x:f>IF($A24="","",$J24/2)</x:f>
      </x:c>
      <x:c r="M24" s="63" t="str">
        <x:f>IF($A24="","",INDEX('Planejamento de Viagens'!$O$6:$O$205,MATCH($A24,'Planejamento de Viagens'!$A$6:$A$205,0)))</x:f>
      </x:c>
      <x:c r="N24" s="61" t="str">
        <x:f>IF($A24="","",COUNTIF($J$6:$J$205,"&gt;"&amp;$J24)+1)</x:f>
      </x:c>
    </x:row>
    <x:row r="25">
      <x:c r="A25" s="36"/>
      <x:c r="B25" s="67" t="str">
        <x:f>IF($A25="","",IFERROR(INDEX('Planejamento de Viagens'!$B$6:$B$205,MATCH($A25,'Planejamento de Viagens'!$A$6:$A$205,0)),""))</x:f>
      </x:c>
      <x:c r="C25" s="67" t="str">
        <x:f>IF($A25="","",IFERROR(INDEX('Planejamento de Viagens'!$C$6:$C$205,MATCH($A25,'Planejamento de Viagens'!$A$6:$A$205,0)),""))</x:f>
      </x:c>
      <x:c r="D25" s="67" t="str">
        <x:f>IF($A25="","",IFERROR(INDEX('Planejamento de Viagens'!$F$6:$F$205,MATCH($A25,'Planejamento de Viagens'!$A$6:$A$205,0)),""))</x:f>
      </x:c>
      <x:c r="E25" s="67" t="str">
        <x:f>IF($A25="","",IFERROR(INDEX('Planejamento de Viagens'!$G$6:$G$205,MATCH($A25,'Planejamento de Viagens'!$A$6:$A$205,0)),""))</x:f>
      </x:c>
      <x:c r="F25" s="61" t="str">
        <x:f>IF($A25="","",IFERROR(INDEX('Planejamento de Viagens'!$J$6:$J$205,MATCH($A25,'Planejamento de Viagens'!$A$6:$A$205,0)),0))</x:f>
      </x:c>
      <x:c r="G25" s="67" t="str">
        <x:f>IF($A25="","",IFERROR(INDEX('Planejamento de Viagens'!$K$6:$K$205,MATCH($A25,'Planejamento de Viagens'!$A$6:$A$205,0)),""))</x:f>
      </x:c>
      <x:c r="H25" s="67" t="str">
        <x:f>IF($A25="","",TEXT(INDEX('Planejamento de Viagens'!$H$6:$H$205,MATCH($A25,'Planejamento de Viagens'!$A$6:$A$205,0)),"mmm/yyyy"))</x:f>
      </x:c>
      <x:c r="I25" s="67" t="str">
        <x:f>IF($A25="","",2026)</x:f>
      </x:c>
      <x:c r="J25" s="63" t="str">
        <x:f>IF($A25="","",INDEX('Planejamento de Viagens'!$N$6:$N$205,MATCH($A25,'Planejamento de Viagens'!$A$6:$A$205,0)))</x:f>
      </x:c>
      <x:c r="K25" s="63" t="str">
        <x:f>IF($A25="","",IFERROR($J25/$F25,0))</x:f>
      </x:c>
      <x:c r="L25" s="63" t="str">
        <x:f>IF($A25="","",$J25/2)</x:f>
      </x:c>
      <x:c r="M25" s="63" t="str">
        <x:f>IF($A25="","",INDEX('Planejamento de Viagens'!$O$6:$O$205,MATCH($A25,'Planejamento de Viagens'!$A$6:$A$205,0)))</x:f>
      </x:c>
      <x:c r="N25" s="61" t="str">
        <x:f>IF($A25="","",COUNTIF($J$6:$J$205,"&gt;"&amp;$J25)+1)</x:f>
      </x:c>
    </x:row>
    <x:row r="26">
      <x:c r="A26" s="36"/>
      <x:c r="B26" s="67" t="str">
        <x:f>IF($A26="","",IFERROR(INDEX('Planejamento de Viagens'!$B$6:$B$205,MATCH($A26,'Planejamento de Viagens'!$A$6:$A$205,0)),""))</x:f>
      </x:c>
      <x:c r="C26" s="67" t="str">
        <x:f>IF($A26="","",IFERROR(INDEX('Planejamento de Viagens'!$C$6:$C$205,MATCH($A26,'Planejamento de Viagens'!$A$6:$A$205,0)),""))</x:f>
      </x:c>
      <x:c r="D26" s="67" t="str">
        <x:f>IF($A26="","",IFERROR(INDEX('Planejamento de Viagens'!$F$6:$F$205,MATCH($A26,'Planejamento de Viagens'!$A$6:$A$205,0)),""))</x:f>
      </x:c>
      <x:c r="E26" s="67" t="str">
        <x:f>IF($A26="","",IFERROR(INDEX('Planejamento de Viagens'!$G$6:$G$205,MATCH($A26,'Planejamento de Viagens'!$A$6:$A$205,0)),""))</x:f>
      </x:c>
      <x:c r="F26" s="61" t="str">
        <x:f>IF($A26="","",IFERROR(INDEX('Planejamento de Viagens'!$J$6:$J$205,MATCH($A26,'Planejamento de Viagens'!$A$6:$A$205,0)),0))</x:f>
      </x:c>
      <x:c r="G26" s="67" t="str">
        <x:f>IF($A26="","",IFERROR(INDEX('Planejamento de Viagens'!$K$6:$K$205,MATCH($A26,'Planejamento de Viagens'!$A$6:$A$205,0)),""))</x:f>
      </x:c>
      <x:c r="H26" s="67" t="str">
        <x:f>IF($A26="","",TEXT(INDEX('Planejamento de Viagens'!$H$6:$H$205,MATCH($A26,'Planejamento de Viagens'!$A$6:$A$205,0)),"mmm/yyyy"))</x:f>
      </x:c>
      <x:c r="I26" s="67" t="str">
        <x:f>IF($A26="","",2026)</x:f>
      </x:c>
      <x:c r="J26" s="63" t="str">
        <x:f>IF($A26="","",INDEX('Planejamento de Viagens'!$N$6:$N$205,MATCH($A26,'Planejamento de Viagens'!$A$6:$A$205,0)))</x:f>
      </x:c>
      <x:c r="K26" s="63" t="str">
        <x:f>IF($A26="","",IFERROR($J26/$F26,0))</x:f>
      </x:c>
      <x:c r="L26" s="63" t="str">
        <x:f>IF($A26="","",$J26/2)</x:f>
      </x:c>
      <x:c r="M26" s="63" t="str">
        <x:f>IF($A26="","",INDEX('Planejamento de Viagens'!$O$6:$O$205,MATCH($A26,'Planejamento de Viagens'!$A$6:$A$205,0)))</x:f>
      </x:c>
      <x:c r="N26" s="61" t="str">
        <x:f>IF($A26="","",COUNTIF($J$6:$J$205,"&gt;"&amp;$J26)+1)</x:f>
      </x:c>
    </x:row>
    <x:row r="27">
      <x:c r="A27" s="36"/>
      <x:c r="B27" s="67" t="str">
        <x:f>IF($A27="","",IFERROR(INDEX('Planejamento de Viagens'!$B$6:$B$205,MATCH($A27,'Planejamento de Viagens'!$A$6:$A$205,0)),""))</x:f>
      </x:c>
      <x:c r="C27" s="67" t="str">
        <x:f>IF($A27="","",IFERROR(INDEX('Planejamento de Viagens'!$C$6:$C$205,MATCH($A27,'Planejamento de Viagens'!$A$6:$A$205,0)),""))</x:f>
      </x:c>
      <x:c r="D27" s="67" t="str">
        <x:f>IF($A27="","",IFERROR(INDEX('Planejamento de Viagens'!$F$6:$F$205,MATCH($A27,'Planejamento de Viagens'!$A$6:$A$205,0)),""))</x:f>
      </x:c>
      <x:c r="E27" s="67" t="str">
        <x:f>IF($A27="","",IFERROR(INDEX('Planejamento de Viagens'!$G$6:$G$205,MATCH($A27,'Planejamento de Viagens'!$A$6:$A$205,0)),""))</x:f>
      </x:c>
      <x:c r="F27" s="61" t="str">
        <x:f>IF($A27="","",IFERROR(INDEX('Planejamento de Viagens'!$J$6:$J$205,MATCH($A27,'Planejamento de Viagens'!$A$6:$A$205,0)),0))</x:f>
      </x:c>
      <x:c r="G27" s="67" t="str">
        <x:f>IF($A27="","",IFERROR(INDEX('Planejamento de Viagens'!$K$6:$K$205,MATCH($A27,'Planejamento de Viagens'!$A$6:$A$205,0)),""))</x:f>
      </x:c>
      <x:c r="H27" s="67" t="str">
        <x:f>IF($A27="","",TEXT(INDEX('Planejamento de Viagens'!$H$6:$H$205,MATCH($A27,'Planejamento de Viagens'!$A$6:$A$205,0)),"mmm/yyyy"))</x:f>
      </x:c>
      <x:c r="I27" s="67" t="str">
        <x:f>IF($A27="","",2026)</x:f>
      </x:c>
      <x:c r="J27" s="63" t="str">
        <x:f>IF($A27="","",INDEX('Planejamento de Viagens'!$N$6:$N$205,MATCH($A27,'Planejamento de Viagens'!$A$6:$A$205,0)))</x:f>
      </x:c>
      <x:c r="K27" s="63" t="str">
        <x:f>IF($A27="","",IFERROR($J27/$F27,0))</x:f>
      </x:c>
      <x:c r="L27" s="63" t="str">
        <x:f>IF($A27="","",$J27/2)</x:f>
      </x:c>
      <x:c r="M27" s="63" t="str">
        <x:f>IF($A27="","",INDEX('Planejamento de Viagens'!$O$6:$O$205,MATCH($A27,'Planejamento de Viagens'!$A$6:$A$205,0)))</x:f>
      </x:c>
      <x:c r="N27" s="61" t="str">
        <x:f>IF($A27="","",COUNTIF($J$6:$J$205,"&gt;"&amp;$J27)+1)</x:f>
      </x:c>
    </x:row>
    <x:row r="28">
      <x:c r="A28" s="36"/>
      <x:c r="B28" s="67" t="str">
        <x:f>IF($A28="","",IFERROR(INDEX('Planejamento de Viagens'!$B$6:$B$205,MATCH($A28,'Planejamento de Viagens'!$A$6:$A$205,0)),""))</x:f>
      </x:c>
      <x:c r="C28" s="67" t="str">
        <x:f>IF($A28="","",IFERROR(INDEX('Planejamento de Viagens'!$C$6:$C$205,MATCH($A28,'Planejamento de Viagens'!$A$6:$A$205,0)),""))</x:f>
      </x:c>
      <x:c r="D28" s="67" t="str">
        <x:f>IF($A28="","",IFERROR(INDEX('Planejamento de Viagens'!$F$6:$F$205,MATCH($A28,'Planejamento de Viagens'!$A$6:$A$205,0)),""))</x:f>
      </x:c>
      <x:c r="E28" s="67" t="str">
        <x:f>IF($A28="","",IFERROR(INDEX('Planejamento de Viagens'!$G$6:$G$205,MATCH($A28,'Planejamento de Viagens'!$A$6:$A$205,0)),""))</x:f>
      </x:c>
      <x:c r="F28" s="61" t="str">
        <x:f>IF($A28="","",IFERROR(INDEX('Planejamento de Viagens'!$J$6:$J$205,MATCH($A28,'Planejamento de Viagens'!$A$6:$A$205,0)),0))</x:f>
      </x:c>
      <x:c r="G28" s="67" t="str">
        <x:f>IF($A28="","",IFERROR(INDEX('Planejamento de Viagens'!$K$6:$K$205,MATCH($A28,'Planejamento de Viagens'!$A$6:$A$205,0)),""))</x:f>
      </x:c>
      <x:c r="H28" s="67" t="str">
        <x:f>IF($A28="","",TEXT(INDEX('Planejamento de Viagens'!$H$6:$H$205,MATCH($A28,'Planejamento de Viagens'!$A$6:$A$205,0)),"mmm/yyyy"))</x:f>
      </x:c>
      <x:c r="I28" s="67" t="str">
        <x:f>IF($A28="","",2026)</x:f>
      </x:c>
      <x:c r="J28" s="63" t="str">
        <x:f>IF($A28="","",INDEX('Planejamento de Viagens'!$N$6:$N$205,MATCH($A28,'Planejamento de Viagens'!$A$6:$A$205,0)))</x:f>
      </x:c>
      <x:c r="K28" s="63" t="str">
        <x:f>IF($A28="","",IFERROR($J28/$F28,0))</x:f>
      </x:c>
      <x:c r="L28" s="63" t="str">
        <x:f>IF($A28="","",$J28/2)</x:f>
      </x:c>
      <x:c r="M28" s="63" t="str">
        <x:f>IF($A28="","",INDEX('Planejamento de Viagens'!$O$6:$O$205,MATCH($A28,'Planejamento de Viagens'!$A$6:$A$205,0)))</x:f>
      </x:c>
      <x:c r="N28" s="61" t="str">
        <x:f>IF($A28="","",COUNTIF($J$6:$J$205,"&gt;"&amp;$J28)+1)</x:f>
      </x:c>
    </x:row>
    <x:row r="29">
      <x:c r="A29" s="36"/>
      <x:c r="B29" s="67" t="str">
        <x:f>IF($A29="","",IFERROR(INDEX('Planejamento de Viagens'!$B$6:$B$205,MATCH($A29,'Planejamento de Viagens'!$A$6:$A$205,0)),""))</x:f>
      </x:c>
      <x:c r="C29" s="67" t="str">
        <x:f>IF($A29="","",IFERROR(INDEX('Planejamento de Viagens'!$C$6:$C$205,MATCH($A29,'Planejamento de Viagens'!$A$6:$A$205,0)),""))</x:f>
      </x:c>
      <x:c r="D29" s="67" t="str">
        <x:f>IF($A29="","",IFERROR(INDEX('Planejamento de Viagens'!$F$6:$F$205,MATCH($A29,'Planejamento de Viagens'!$A$6:$A$205,0)),""))</x:f>
      </x:c>
      <x:c r="E29" s="67" t="str">
        <x:f>IF($A29="","",IFERROR(INDEX('Planejamento de Viagens'!$G$6:$G$205,MATCH($A29,'Planejamento de Viagens'!$A$6:$A$205,0)),""))</x:f>
      </x:c>
      <x:c r="F29" s="61" t="str">
        <x:f>IF($A29="","",IFERROR(INDEX('Planejamento de Viagens'!$J$6:$J$205,MATCH($A29,'Planejamento de Viagens'!$A$6:$A$205,0)),0))</x:f>
      </x:c>
      <x:c r="G29" s="67" t="str">
        <x:f>IF($A29="","",IFERROR(INDEX('Planejamento de Viagens'!$K$6:$K$205,MATCH($A29,'Planejamento de Viagens'!$A$6:$A$205,0)),""))</x:f>
      </x:c>
      <x:c r="H29" s="67" t="str">
        <x:f>IF($A29="","",TEXT(INDEX('Planejamento de Viagens'!$H$6:$H$205,MATCH($A29,'Planejamento de Viagens'!$A$6:$A$205,0)),"mmm/yyyy"))</x:f>
      </x:c>
      <x:c r="I29" s="67" t="str">
        <x:f>IF($A29="","",2026)</x:f>
      </x:c>
      <x:c r="J29" s="63" t="str">
        <x:f>IF($A29="","",INDEX('Planejamento de Viagens'!$N$6:$N$205,MATCH($A29,'Planejamento de Viagens'!$A$6:$A$205,0)))</x:f>
      </x:c>
      <x:c r="K29" s="63" t="str">
        <x:f>IF($A29="","",IFERROR($J29/$F29,0))</x:f>
      </x:c>
      <x:c r="L29" s="63" t="str">
        <x:f>IF($A29="","",$J29/2)</x:f>
      </x:c>
      <x:c r="M29" s="63" t="str">
        <x:f>IF($A29="","",INDEX('Planejamento de Viagens'!$O$6:$O$205,MATCH($A29,'Planejamento de Viagens'!$A$6:$A$205,0)))</x:f>
      </x:c>
      <x:c r="N29" s="61" t="str">
        <x:f>IF($A29="","",COUNTIF($J$6:$J$205,"&gt;"&amp;$J29)+1)</x:f>
      </x:c>
    </x:row>
    <x:row r="30">
      <x:c r="A30" s="36"/>
      <x:c r="B30" s="67" t="str">
        <x:f>IF($A30="","",IFERROR(INDEX('Planejamento de Viagens'!$B$6:$B$205,MATCH($A30,'Planejamento de Viagens'!$A$6:$A$205,0)),""))</x:f>
      </x:c>
      <x:c r="C30" s="67" t="str">
        <x:f>IF($A30="","",IFERROR(INDEX('Planejamento de Viagens'!$C$6:$C$205,MATCH($A30,'Planejamento de Viagens'!$A$6:$A$205,0)),""))</x:f>
      </x:c>
      <x:c r="D30" s="67" t="str">
        <x:f>IF($A30="","",IFERROR(INDEX('Planejamento de Viagens'!$F$6:$F$205,MATCH($A30,'Planejamento de Viagens'!$A$6:$A$205,0)),""))</x:f>
      </x:c>
      <x:c r="E30" s="67" t="str">
        <x:f>IF($A30="","",IFERROR(INDEX('Planejamento de Viagens'!$G$6:$G$205,MATCH($A30,'Planejamento de Viagens'!$A$6:$A$205,0)),""))</x:f>
      </x:c>
      <x:c r="F30" s="61" t="str">
        <x:f>IF($A30="","",IFERROR(INDEX('Planejamento de Viagens'!$J$6:$J$205,MATCH($A30,'Planejamento de Viagens'!$A$6:$A$205,0)),0))</x:f>
      </x:c>
      <x:c r="G30" s="67" t="str">
        <x:f>IF($A30="","",IFERROR(INDEX('Planejamento de Viagens'!$K$6:$K$205,MATCH($A30,'Planejamento de Viagens'!$A$6:$A$205,0)),""))</x:f>
      </x:c>
      <x:c r="H30" s="67" t="str">
        <x:f>IF($A30="","",TEXT(INDEX('Planejamento de Viagens'!$H$6:$H$205,MATCH($A30,'Planejamento de Viagens'!$A$6:$A$205,0)),"mmm/yyyy"))</x:f>
      </x:c>
      <x:c r="I30" s="67" t="str">
        <x:f>IF($A30="","",2026)</x:f>
      </x:c>
      <x:c r="J30" s="63" t="str">
        <x:f>IF($A30="","",INDEX('Planejamento de Viagens'!$N$6:$N$205,MATCH($A30,'Planejamento de Viagens'!$A$6:$A$205,0)))</x:f>
      </x:c>
      <x:c r="K30" s="63" t="str">
        <x:f>IF($A30="","",IFERROR($J30/$F30,0))</x:f>
      </x:c>
      <x:c r="L30" s="63" t="str">
        <x:f>IF($A30="","",$J30/2)</x:f>
      </x:c>
      <x:c r="M30" s="63" t="str">
        <x:f>IF($A30="","",INDEX('Planejamento de Viagens'!$O$6:$O$205,MATCH($A30,'Planejamento de Viagens'!$A$6:$A$205,0)))</x:f>
      </x:c>
      <x:c r="N30" s="61" t="str">
        <x:f>IF($A30="","",COUNTIF($J$6:$J$205,"&gt;"&amp;$J30)+1)</x:f>
      </x:c>
    </x:row>
    <x:row r="31">
      <x:c r="A31" s="36"/>
      <x:c r="B31" s="67" t="str">
        <x:f>IF($A31="","",IFERROR(INDEX('Planejamento de Viagens'!$B$6:$B$205,MATCH($A31,'Planejamento de Viagens'!$A$6:$A$205,0)),""))</x:f>
      </x:c>
      <x:c r="C31" s="67" t="str">
        <x:f>IF($A31="","",IFERROR(INDEX('Planejamento de Viagens'!$C$6:$C$205,MATCH($A31,'Planejamento de Viagens'!$A$6:$A$205,0)),""))</x:f>
      </x:c>
      <x:c r="D31" s="67" t="str">
        <x:f>IF($A31="","",IFERROR(INDEX('Planejamento de Viagens'!$F$6:$F$205,MATCH($A31,'Planejamento de Viagens'!$A$6:$A$205,0)),""))</x:f>
      </x:c>
      <x:c r="E31" s="67" t="str">
        <x:f>IF($A31="","",IFERROR(INDEX('Planejamento de Viagens'!$G$6:$G$205,MATCH($A31,'Planejamento de Viagens'!$A$6:$A$205,0)),""))</x:f>
      </x:c>
      <x:c r="F31" s="61" t="str">
        <x:f>IF($A31="","",IFERROR(INDEX('Planejamento de Viagens'!$J$6:$J$205,MATCH($A31,'Planejamento de Viagens'!$A$6:$A$205,0)),0))</x:f>
      </x:c>
      <x:c r="G31" s="67" t="str">
        <x:f>IF($A31="","",IFERROR(INDEX('Planejamento de Viagens'!$K$6:$K$205,MATCH($A31,'Planejamento de Viagens'!$A$6:$A$205,0)),""))</x:f>
      </x:c>
      <x:c r="H31" s="67" t="str">
        <x:f>IF($A31="","",TEXT(INDEX('Planejamento de Viagens'!$H$6:$H$205,MATCH($A31,'Planejamento de Viagens'!$A$6:$A$205,0)),"mmm/yyyy"))</x:f>
      </x:c>
      <x:c r="I31" s="67" t="str">
        <x:f>IF($A31="","",2026)</x:f>
      </x:c>
      <x:c r="J31" s="63" t="str">
        <x:f>IF($A31="","",INDEX('Planejamento de Viagens'!$N$6:$N$205,MATCH($A31,'Planejamento de Viagens'!$A$6:$A$205,0)))</x:f>
      </x:c>
      <x:c r="K31" s="63" t="str">
        <x:f>IF($A31="","",IFERROR($J31/$F31,0))</x:f>
      </x:c>
      <x:c r="L31" s="63" t="str">
        <x:f>IF($A31="","",$J31/2)</x:f>
      </x:c>
      <x:c r="M31" s="63" t="str">
        <x:f>IF($A31="","",INDEX('Planejamento de Viagens'!$O$6:$O$205,MATCH($A31,'Planejamento de Viagens'!$A$6:$A$205,0)))</x:f>
      </x:c>
      <x:c r="N31" s="61" t="str">
        <x:f>IF($A31="","",COUNTIF($J$6:$J$205,"&gt;"&amp;$J31)+1)</x:f>
      </x:c>
    </x:row>
    <x:row r="32">
      <x:c r="A32" s="36"/>
      <x:c r="B32" s="67" t="str">
        <x:f>IF($A32="","",IFERROR(INDEX('Planejamento de Viagens'!$B$6:$B$205,MATCH($A32,'Planejamento de Viagens'!$A$6:$A$205,0)),""))</x:f>
      </x:c>
      <x:c r="C32" s="67" t="str">
        <x:f>IF($A32="","",IFERROR(INDEX('Planejamento de Viagens'!$C$6:$C$205,MATCH($A32,'Planejamento de Viagens'!$A$6:$A$205,0)),""))</x:f>
      </x:c>
      <x:c r="D32" s="67" t="str">
        <x:f>IF($A32="","",IFERROR(INDEX('Planejamento de Viagens'!$F$6:$F$205,MATCH($A32,'Planejamento de Viagens'!$A$6:$A$205,0)),""))</x:f>
      </x:c>
      <x:c r="E32" s="67" t="str">
        <x:f>IF($A32="","",IFERROR(INDEX('Planejamento de Viagens'!$G$6:$G$205,MATCH($A32,'Planejamento de Viagens'!$A$6:$A$205,0)),""))</x:f>
      </x:c>
      <x:c r="F32" s="61" t="str">
        <x:f>IF($A32="","",IFERROR(INDEX('Planejamento de Viagens'!$J$6:$J$205,MATCH($A32,'Planejamento de Viagens'!$A$6:$A$205,0)),0))</x:f>
      </x:c>
      <x:c r="G32" s="67" t="str">
        <x:f>IF($A32="","",IFERROR(INDEX('Planejamento de Viagens'!$K$6:$K$205,MATCH($A32,'Planejamento de Viagens'!$A$6:$A$205,0)),""))</x:f>
      </x:c>
      <x:c r="H32" s="67" t="str">
        <x:f>IF($A32="","",TEXT(INDEX('Planejamento de Viagens'!$H$6:$H$205,MATCH($A32,'Planejamento de Viagens'!$A$6:$A$205,0)),"mmm/yyyy"))</x:f>
      </x:c>
      <x:c r="I32" s="67" t="str">
        <x:f>IF($A32="","",2026)</x:f>
      </x:c>
      <x:c r="J32" s="63" t="str">
        <x:f>IF($A32="","",INDEX('Planejamento de Viagens'!$N$6:$N$205,MATCH($A32,'Planejamento de Viagens'!$A$6:$A$205,0)))</x:f>
      </x:c>
      <x:c r="K32" s="63" t="str">
        <x:f>IF($A32="","",IFERROR($J32/$F32,0))</x:f>
      </x:c>
      <x:c r="L32" s="63" t="str">
        <x:f>IF($A32="","",$J32/2)</x:f>
      </x:c>
      <x:c r="M32" s="63" t="str">
        <x:f>IF($A32="","",INDEX('Planejamento de Viagens'!$O$6:$O$205,MATCH($A32,'Planejamento de Viagens'!$A$6:$A$205,0)))</x:f>
      </x:c>
      <x:c r="N32" s="61" t="str">
        <x:f>IF($A32="","",COUNTIF($J$6:$J$205,"&gt;"&amp;$J32)+1)</x:f>
      </x:c>
    </x:row>
    <x:row r="33">
      <x:c r="A33" s="36"/>
      <x:c r="B33" s="67" t="str">
        <x:f>IF($A33="","",IFERROR(INDEX('Planejamento de Viagens'!$B$6:$B$205,MATCH($A33,'Planejamento de Viagens'!$A$6:$A$205,0)),""))</x:f>
      </x:c>
      <x:c r="C33" s="67" t="str">
        <x:f>IF($A33="","",IFERROR(INDEX('Planejamento de Viagens'!$C$6:$C$205,MATCH($A33,'Planejamento de Viagens'!$A$6:$A$205,0)),""))</x:f>
      </x:c>
      <x:c r="D33" s="67" t="str">
        <x:f>IF($A33="","",IFERROR(INDEX('Planejamento de Viagens'!$F$6:$F$205,MATCH($A33,'Planejamento de Viagens'!$A$6:$A$205,0)),""))</x:f>
      </x:c>
      <x:c r="E33" s="67" t="str">
        <x:f>IF($A33="","",IFERROR(INDEX('Planejamento de Viagens'!$G$6:$G$205,MATCH($A33,'Planejamento de Viagens'!$A$6:$A$205,0)),""))</x:f>
      </x:c>
      <x:c r="F33" s="61" t="str">
        <x:f>IF($A33="","",IFERROR(INDEX('Planejamento de Viagens'!$J$6:$J$205,MATCH($A33,'Planejamento de Viagens'!$A$6:$A$205,0)),0))</x:f>
      </x:c>
      <x:c r="G33" s="67" t="str">
        <x:f>IF($A33="","",IFERROR(INDEX('Planejamento de Viagens'!$K$6:$K$205,MATCH($A33,'Planejamento de Viagens'!$A$6:$A$205,0)),""))</x:f>
      </x:c>
      <x:c r="H33" s="67" t="str">
        <x:f>IF($A33="","",TEXT(INDEX('Planejamento de Viagens'!$H$6:$H$205,MATCH($A33,'Planejamento de Viagens'!$A$6:$A$205,0)),"mmm/yyyy"))</x:f>
      </x:c>
      <x:c r="I33" s="67" t="str">
        <x:f>IF($A33="","",2026)</x:f>
      </x:c>
      <x:c r="J33" s="63" t="str">
        <x:f>IF($A33="","",INDEX('Planejamento de Viagens'!$N$6:$N$205,MATCH($A33,'Planejamento de Viagens'!$A$6:$A$205,0)))</x:f>
      </x:c>
      <x:c r="K33" s="63" t="str">
        <x:f>IF($A33="","",IFERROR($J33/$F33,0))</x:f>
      </x:c>
      <x:c r="L33" s="63" t="str">
        <x:f>IF($A33="","",$J33/2)</x:f>
      </x:c>
      <x:c r="M33" s="63" t="str">
        <x:f>IF($A33="","",INDEX('Planejamento de Viagens'!$O$6:$O$205,MATCH($A33,'Planejamento de Viagens'!$A$6:$A$205,0)))</x:f>
      </x:c>
      <x:c r="N33" s="61" t="str">
        <x:f>IF($A33="","",COUNTIF($J$6:$J$205,"&gt;"&amp;$J33)+1)</x:f>
      </x:c>
    </x:row>
    <x:row r="34">
      <x:c r="A34" s="36"/>
      <x:c r="B34" s="67" t="str">
        <x:f>IF($A34="","",IFERROR(INDEX('Planejamento de Viagens'!$B$6:$B$205,MATCH($A34,'Planejamento de Viagens'!$A$6:$A$205,0)),""))</x:f>
      </x:c>
      <x:c r="C34" s="67" t="str">
        <x:f>IF($A34="","",IFERROR(INDEX('Planejamento de Viagens'!$C$6:$C$205,MATCH($A34,'Planejamento de Viagens'!$A$6:$A$205,0)),""))</x:f>
      </x:c>
      <x:c r="D34" s="67" t="str">
        <x:f>IF($A34="","",IFERROR(INDEX('Planejamento de Viagens'!$F$6:$F$205,MATCH($A34,'Planejamento de Viagens'!$A$6:$A$205,0)),""))</x:f>
      </x:c>
      <x:c r="E34" s="67" t="str">
        <x:f>IF($A34="","",IFERROR(INDEX('Planejamento de Viagens'!$G$6:$G$205,MATCH($A34,'Planejamento de Viagens'!$A$6:$A$205,0)),""))</x:f>
      </x:c>
      <x:c r="F34" s="61" t="str">
        <x:f>IF($A34="","",IFERROR(INDEX('Planejamento de Viagens'!$J$6:$J$205,MATCH($A34,'Planejamento de Viagens'!$A$6:$A$205,0)),0))</x:f>
      </x:c>
      <x:c r="G34" s="67" t="str">
        <x:f>IF($A34="","",IFERROR(INDEX('Planejamento de Viagens'!$K$6:$K$205,MATCH($A34,'Planejamento de Viagens'!$A$6:$A$205,0)),""))</x:f>
      </x:c>
      <x:c r="H34" s="67" t="str">
        <x:f>IF($A34="","",TEXT(INDEX('Planejamento de Viagens'!$H$6:$H$205,MATCH($A34,'Planejamento de Viagens'!$A$6:$A$205,0)),"mmm/yyyy"))</x:f>
      </x:c>
      <x:c r="I34" s="67" t="str">
        <x:f>IF($A34="","",2026)</x:f>
      </x:c>
      <x:c r="J34" s="63" t="str">
        <x:f>IF($A34="","",INDEX('Planejamento de Viagens'!$N$6:$N$205,MATCH($A34,'Planejamento de Viagens'!$A$6:$A$205,0)))</x:f>
      </x:c>
      <x:c r="K34" s="63" t="str">
        <x:f>IF($A34="","",IFERROR($J34/$F34,0))</x:f>
      </x:c>
      <x:c r="L34" s="63" t="str">
        <x:f>IF($A34="","",$J34/2)</x:f>
      </x:c>
      <x:c r="M34" s="63" t="str">
        <x:f>IF($A34="","",INDEX('Planejamento de Viagens'!$O$6:$O$205,MATCH($A34,'Planejamento de Viagens'!$A$6:$A$205,0)))</x:f>
      </x:c>
      <x:c r="N34" s="61" t="str">
        <x:f>IF($A34="","",COUNTIF($J$6:$J$205,"&gt;"&amp;$J34)+1)</x:f>
      </x:c>
    </x:row>
    <x:row r="35">
      <x:c r="A35" s="36"/>
      <x:c r="B35" s="67" t="str">
        <x:f>IF($A35="","",IFERROR(INDEX('Planejamento de Viagens'!$B$6:$B$205,MATCH($A35,'Planejamento de Viagens'!$A$6:$A$205,0)),""))</x:f>
      </x:c>
      <x:c r="C35" s="67" t="str">
        <x:f>IF($A35="","",IFERROR(INDEX('Planejamento de Viagens'!$C$6:$C$205,MATCH($A35,'Planejamento de Viagens'!$A$6:$A$205,0)),""))</x:f>
      </x:c>
      <x:c r="D35" s="67" t="str">
        <x:f>IF($A35="","",IFERROR(INDEX('Planejamento de Viagens'!$F$6:$F$205,MATCH($A35,'Planejamento de Viagens'!$A$6:$A$205,0)),""))</x:f>
      </x:c>
      <x:c r="E35" s="67" t="str">
        <x:f>IF($A35="","",IFERROR(INDEX('Planejamento de Viagens'!$G$6:$G$205,MATCH($A35,'Planejamento de Viagens'!$A$6:$A$205,0)),""))</x:f>
      </x:c>
      <x:c r="F35" s="61" t="str">
        <x:f>IF($A35="","",IFERROR(INDEX('Planejamento de Viagens'!$J$6:$J$205,MATCH($A35,'Planejamento de Viagens'!$A$6:$A$205,0)),0))</x:f>
      </x:c>
      <x:c r="G35" s="67" t="str">
        <x:f>IF($A35="","",IFERROR(INDEX('Planejamento de Viagens'!$K$6:$K$205,MATCH($A35,'Planejamento de Viagens'!$A$6:$A$205,0)),""))</x:f>
      </x:c>
      <x:c r="H35" s="67" t="str">
        <x:f>IF($A35="","",TEXT(INDEX('Planejamento de Viagens'!$H$6:$H$205,MATCH($A35,'Planejamento de Viagens'!$A$6:$A$205,0)),"mmm/yyyy"))</x:f>
      </x:c>
      <x:c r="I35" s="67" t="str">
        <x:f>IF($A35="","",2026)</x:f>
      </x:c>
      <x:c r="J35" s="63" t="str">
        <x:f>IF($A35="","",INDEX('Planejamento de Viagens'!$N$6:$N$205,MATCH($A35,'Planejamento de Viagens'!$A$6:$A$205,0)))</x:f>
      </x:c>
      <x:c r="K35" s="63" t="str">
        <x:f>IF($A35="","",IFERROR($J35/$F35,0))</x:f>
      </x:c>
      <x:c r="L35" s="63" t="str">
        <x:f>IF($A35="","",$J35/2)</x:f>
      </x:c>
      <x:c r="M35" s="63" t="str">
        <x:f>IF($A35="","",INDEX('Planejamento de Viagens'!$O$6:$O$205,MATCH($A35,'Planejamento de Viagens'!$A$6:$A$205,0)))</x:f>
      </x:c>
      <x:c r="N35" s="61" t="str">
        <x:f>IF($A35="","",COUNTIF($J$6:$J$205,"&gt;"&amp;$J35)+1)</x:f>
      </x:c>
    </x:row>
    <x:row r="36">
      <x:c r="A36" s="36"/>
      <x:c r="B36" s="67" t="str">
        <x:f>IF($A36="","",IFERROR(INDEX('Planejamento de Viagens'!$B$6:$B$205,MATCH($A36,'Planejamento de Viagens'!$A$6:$A$205,0)),""))</x:f>
      </x:c>
      <x:c r="C36" s="67" t="str">
        <x:f>IF($A36="","",IFERROR(INDEX('Planejamento de Viagens'!$C$6:$C$205,MATCH($A36,'Planejamento de Viagens'!$A$6:$A$205,0)),""))</x:f>
      </x:c>
      <x:c r="D36" s="67" t="str">
        <x:f>IF($A36="","",IFERROR(INDEX('Planejamento de Viagens'!$F$6:$F$205,MATCH($A36,'Planejamento de Viagens'!$A$6:$A$205,0)),""))</x:f>
      </x:c>
      <x:c r="E36" s="67" t="str">
        <x:f>IF($A36="","",IFERROR(INDEX('Planejamento de Viagens'!$G$6:$G$205,MATCH($A36,'Planejamento de Viagens'!$A$6:$A$205,0)),""))</x:f>
      </x:c>
      <x:c r="F36" s="61" t="str">
        <x:f>IF($A36="","",IFERROR(INDEX('Planejamento de Viagens'!$J$6:$J$205,MATCH($A36,'Planejamento de Viagens'!$A$6:$A$205,0)),0))</x:f>
      </x:c>
      <x:c r="G36" s="67" t="str">
        <x:f>IF($A36="","",IFERROR(INDEX('Planejamento de Viagens'!$K$6:$K$205,MATCH($A36,'Planejamento de Viagens'!$A$6:$A$205,0)),""))</x:f>
      </x:c>
      <x:c r="H36" s="67" t="str">
        <x:f>IF($A36="","",TEXT(INDEX('Planejamento de Viagens'!$H$6:$H$205,MATCH($A36,'Planejamento de Viagens'!$A$6:$A$205,0)),"mmm/yyyy"))</x:f>
      </x:c>
      <x:c r="I36" s="67" t="str">
        <x:f>IF($A36="","",2026)</x:f>
      </x:c>
      <x:c r="J36" s="63" t="str">
        <x:f>IF($A36="","",INDEX('Planejamento de Viagens'!$N$6:$N$205,MATCH($A36,'Planejamento de Viagens'!$A$6:$A$205,0)))</x:f>
      </x:c>
      <x:c r="K36" s="63" t="str">
        <x:f>IF($A36="","",IFERROR($J36/$F36,0))</x:f>
      </x:c>
      <x:c r="L36" s="63" t="str">
        <x:f>IF($A36="","",$J36/2)</x:f>
      </x:c>
      <x:c r="M36" s="63" t="str">
        <x:f>IF($A36="","",INDEX('Planejamento de Viagens'!$O$6:$O$205,MATCH($A36,'Planejamento de Viagens'!$A$6:$A$205,0)))</x:f>
      </x:c>
      <x:c r="N36" s="61" t="str">
        <x:f>IF($A36="","",COUNTIF($J$6:$J$205,"&gt;"&amp;$J36)+1)</x:f>
      </x:c>
    </x:row>
    <x:row r="37">
      <x:c r="A37" s="36"/>
      <x:c r="B37" s="67" t="str">
        <x:f>IF($A37="","",IFERROR(INDEX('Planejamento de Viagens'!$B$6:$B$205,MATCH($A37,'Planejamento de Viagens'!$A$6:$A$205,0)),""))</x:f>
      </x:c>
      <x:c r="C37" s="67" t="str">
        <x:f>IF($A37="","",IFERROR(INDEX('Planejamento de Viagens'!$C$6:$C$205,MATCH($A37,'Planejamento de Viagens'!$A$6:$A$205,0)),""))</x:f>
      </x:c>
      <x:c r="D37" s="67" t="str">
        <x:f>IF($A37="","",IFERROR(INDEX('Planejamento de Viagens'!$F$6:$F$205,MATCH($A37,'Planejamento de Viagens'!$A$6:$A$205,0)),""))</x:f>
      </x:c>
      <x:c r="E37" s="67" t="str">
        <x:f>IF($A37="","",IFERROR(INDEX('Planejamento de Viagens'!$G$6:$G$205,MATCH($A37,'Planejamento de Viagens'!$A$6:$A$205,0)),""))</x:f>
      </x:c>
      <x:c r="F37" s="61" t="str">
        <x:f>IF($A37="","",IFERROR(INDEX('Planejamento de Viagens'!$J$6:$J$205,MATCH($A37,'Planejamento de Viagens'!$A$6:$A$205,0)),0))</x:f>
      </x:c>
      <x:c r="G37" s="67" t="str">
        <x:f>IF($A37="","",IFERROR(INDEX('Planejamento de Viagens'!$K$6:$K$205,MATCH($A37,'Planejamento de Viagens'!$A$6:$A$205,0)),""))</x:f>
      </x:c>
      <x:c r="H37" s="67" t="str">
        <x:f>IF($A37="","",TEXT(INDEX('Planejamento de Viagens'!$H$6:$H$205,MATCH($A37,'Planejamento de Viagens'!$A$6:$A$205,0)),"mmm/yyyy"))</x:f>
      </x:c>
      <x:c r="I37" s="67" t="str">
        <x:f>IF($A37="","",2026)</x:f>
      </x:c>
      <x:c r="J37" s="63" t="str">
        <x:f>IF($A37="","",INDEX('Planejamento de Viagens'!$N$6:$N$205,MATCH($A37,'Planejamento de Viagens'!$A$6:$A$205,0)))</x:f>
      </x:c>
      <x:c r="K37" s="63" t="str">
        <x:f>IF($A37="","",IFERROR($J37/$F37,0))</x:f>
      </x:c>
      <x:c r="L37" s="63" t="str">
        <x:f>IF($A37="","",$J37/2)</x:f>
      </x:c>
      <x:c r="M37" s="63" t="str">
        <x:f>IF($A37="","",INDEX('Planejamento de Viagens'!$O$6:$O$205,MATCH($A37,'Planejamento de Viagens'!$A$6:$A$205,0)))</x:f>
      </x:c>
      <x:c r="N37" s="61" t="str">
        <x:f>IF($A37="","",COUNTIF($J$6:$J$205,"&gt;"&amp;$J37)+1)</x:f>
      </x:c>
    </x:row>
    <x:row r="38">
      <x:c r="A38" s="36"/>
      <x:c r="B38" s="67" t="str">
        <x:f>IF($A38="","",IFERROR(INDEX('Planejamento de Viagens'!$B$6:$B$205,MATCH($A38,'Planejamento de Viagens'!$A$6:$A$205,0)),""))</x:f>
      </x:c>
      <x:c r="C38" s="67" t="str">
        <x:f>IF($A38="","",IFERROR(INDEX('Planejamento de Viagens'!$C$6:$C$205,MATCH($A38,'Planejamento de Viagens'!$A$6:$A$205,0)),""))</x:f>
      </x:c>
      <x:c r="D38" s="67" t="str">
        <x:f>IF($A38="","",IFERROR(INDEX('Planejamento de Viagens'!$F$6:$F$205,MATCH($A38,'Planejamento de Viagens'!$A$6:$A$205,0)),""))</x:f>
      </x:c>
      <x:c r="E38" s="67" t="str">
        <x:f>IF($A38="","",IFERROR(INDEX('Planejamento de Viagens'!$G$6:$G$205,MATCH($A38,'Planejamento de Viagens'!$A$6:$A$205,0)),""))</x:f>
      </x:c>
      <x:c r="F38" s="61" t="str">
        <x:f>IF($A38="","",IFERROR(INDEX('Planejamento de Viagens'!$J$6:$J$205,MATCH($A38,'Planejamento de Viagens'!$A$6:$A$205,0)),0))</x:f>
      </x:c>
      <x:c r="G38" s="67" t="str">
        <x:f>IF($A38="","",IFERROR(INDEX('Planejamento de Viagens'!$K$6:$K$205,MATCH($A38,'Planejamento de Viagens'!$A$6:$A$205,0)),""))</x:f>
      </x:c>
      <x:c r="H38" s="67" t="str">
        <x:f>IF($A38="","",TEXT(INDEX('Planejamento de Viagens'!$H$6:$H$205,MATCH($A38,'Planejamento de Viagens'!$A$6:$A$205,0)),"mmm/yyyy"))</x:f>
      </x:c>
      <x:c r="I38" s="67" t="str">
        <x:f>IF($A38="","",2026)</x:f>
      </x:c>
      <x:c r="J38" s="63" t="str">
        <x:f>IF($A38="","",INDEX('Planejamento de Viagens'!$N$6:$N$205,MATCH($A38,'Planejamento de Viagens'!$A$6:$A$205,0)))</x:f>
      </x:c>
      <x:c r="K38" s="63" t="str">
        <x:f>IF($A38="","",IFERROR($J38/$F38,0))</x:f>
      </x:c>
      <x:c r="L38" s="63" t="str">
        <x:f>IF($A38="","",$J38/2)</x:f>
      </x:c>
      <x:c r="M38" s="63" t="str">
        <x:f>IF($A38="","",INDEX('Planejamento de Viagens'!$O$6:$O$205,MATCH($A38,'Planejamento de Viagens'!$A$6:$A$205,0)))</x:f>
      </x:c>
      <x:c r="N38" s="61" t="str">
        <x:f>IF($A38="","",COUNTIF($J$6:$J$205,"&gt;"&amp;$J38)+1)</x:f>
      </x:c>
    </x:row>
    <x:row r="39">
      <x:c r="A39" s="36"/>
      <x:c r="B39" s="67" t="str">
        <x:f>IF($A39="","",IFERROR(INDEX('Planejamento de Viagens'!$B$6:$B$205,MATCH($A39,'Planejamento de Viagens'!$A$6:$A$205,0)),""))</x:f>
      </x:c>
      <x:c r="C39" s="67" t="str">
        <x:f>IF($A39="","",IFERROR(INDEX('Planejamento de Viagens'!$C$6:$C$205,MATCH($A39,'Planejamento de Viagens'!$A$6:$A$205,0)),""))</x:f>
      </x:c>
      <x:c r="D39" s="67" t="str">
        <x:f>IF($A39="","",IFERROR(INDEX('Planejamento de Viagens'!$F$6:$F$205,MATCH($A39,'Planejamento de Viagens'!$A$6:$A$205,0)),""))</x:f>
      </x:c>
      <x:c r="E39" s="67" t="str">
        <x:f>IF($A39="","",IFERROR(INDEX('Planejamento de Viagens'!$G$6:$G$205,MATCH($A39,'Planejamento de Viagens'!$A$6:$A$205,0)),""))</x:f>
      </x:c>
      <x:c r="F39" s="61" t="str">
        <x:f>IF($A39="","",IFERROR(INDEX('Planejamento de Viagens'!$J$6:$J$205,MATCH($A39,'Planejamento de Viagens'!$A$6:$A$205,0)),0))</x:f>
      </x:c>
      <x:c r="G39" s="67" t="str">
        <x:f>IF($A39="","",IFERROR(INDEX('Planejamento de Viagens'!$K$6:$K$205,MATCH($A39,'Planejamento de Viagens'!$A$6:$A$205,0)),""))</x:f>
      </x:c>
      <x:c r="H39" s="67" t="str">
        <x:f>IF($A39="","",TEXT(INDEX('Planejamento de Viagens'!$H$6:$H$205,MATCH($A39,'Planejamento de Viagens'!$A$6:$A$205,0)),"mmm/yyyy"))</x:f>
      </x:c>
      <x:c r="I39" s="67" t="str">
        <x:f>IF($A39="","",2026)</x:f>
      </x:c>
      <x:c r="J39" s="63" t="str">
        <x:f>IF($A39="","",INDEX('Planejamento de Viagens'!$N$6:$N$205,MATCH($A39,'Planejamento de Viagens'!$A$6:$A$205,0)))</x:f>
      </x:c>
      <x:c r="K39" s="63" t="str">
        <x:f>IF($A39="","",IFERROR($J39/$F39,0))</x:f>
      </x:c>
      <x:c r="L39" s="63" t="str">
        <x:f>IF($A39="","",$J39/2)</x:f>
      </x:c>
      <x:c r="M39" s="63" t="str">
        <x:f>IF($A39="","",INDEX('Planejamento de Viagens'!$O$6:$O$205,MATCH($A39,'Planejamento de Viagens'!$A$6:$A$205,0)))</x:f>
      </x:c>
      <x:c r="N39" s="61" t="str">
        <x:f>IF($A39="","",COUNTIF($J$6:$J$205,"&gt;"&amp;$J39)+1)</x:f>
      </x:c>
    </x:row>
    <x:row r="40">
      <x:c r="A40" s="36"/>
      <x:c r="B40" s="67" t="str">
        <x:f>IF($A40="","",IFERROR(INDEX('Planejamento de Viagens'!$B$6:$B$205,MATCH($A40,'Planejamento de Viagens'!$A$6:$A$205,0)),""))</x:f>
      </x:c>
      <x:c r="C40" s="67" t="str">
        <x:f>IF($A40="","",IFERROR(INDEX('Planejamento de Viagens'!$C$6:$C$205,MATCH($A40,'Planejamento de Viagens'!$A$6:$A$205,0)),""))</x:f>
      </x:c>
      <x:c r="D40" s="67" t="str">
        <x:f>IF($A40="","",IFERROR(INDEX('Planejamento de Viagens'!$F$6:$F$205,MATCH($A40,'Planejamento de Viagens'!$A$6:$A$205,0)),""))</x:f>
      </x:c>
      <x:c r="E40" s="67" t="str">
        <x:f>IF($A40="","",IFERROR(INDEX('Planejamento de Viagens'!$G$6:$G$205,MATCH($A40,'Planejamento de Viagens'!$A$6:$A$205,0)),""))</x:f>
      </x:c>
      <x:c r="F40" s="61" t="str">
        <x:f>IF($A40="","",IFERROR(INDEX('Planejamento de Viagens'!$J$6:$J$205,MATCH($A40,'Planejamento de Viagens'!$A$6:$A$205,0)),0))</x:f>
      </x:c>
      <x:c r="G40" s="67" t="str">
        <x:f>IF($A40="","",IFERROR(INDEX('Planejamento de Viagens'!$K$6:$K$205,MATCH($A40,'Planejamento de Viagens'!$A$6:$A$205,0)),""))</x:f>
      </x:c>
      <x:c r="H40" s="67" t="str">
        <x:f>IF($A40="","",TEXT(INDEX('Planejamento de Viagens'!$H$6:$H$205,MATCH($A40,'Planejamento de Viagens'!$A$6:$A$205,0)),"mmm/yyyy"))</x:f>
      </x:c>
      <x:c r="I40" s="67" t="str">
        <x:f>IF($A40="","",2026)</x:f>
      </x:c>
      <x:c r="J40" s="63" t="str">
        <x:f>IF($A40="","",INDEX('Planejamento de Viagens'!$N$6:$N$205,MATCH($A40,'Planejamento de Viagens'!$A$6:$A$205,0)))</x:f>
      </x:c>
      <x:c r="K40" s="63" t="str">
        <x:f>IF($A40="","",IFERROR($J40/$F40,0))</x:f>
      </x:c>
      <x:c r="L40" s="63" t="str">
        <x:f>IF($A40="","",$J40/2)</x:f>
      </x:c>
      <x:c r="M40" s="63" t="str">
        <x:f>IF($A40="","",INDEX('Planejamento de Viagens'!$O$6:$O$205,MATCH($A40,'Planejamento de Viagens'!$A$6:$A$205,0)))</x:f>
      </x:c>
      <x:c r="N40" s="61" t="str">
        <x:f>IF($A40="","",COUNTIF($J$6:$J$205,"&gt;"&amp;$J40)+1)</x:f>
      </x:c>
    </x:row>
    <x:row r="41">
      <x:c r="A41" s="36"/>
      <x:c r="B41" s="67" t="str">
        <x:f>IF($A41="","",IFERROR(INDEX('Planejamento de Viagens'!$B$6:$B$205,MATCH($A41,'Planejamento de Viagens'!$A$6:$A$205,0)),""))</x:f>
      </x:c>
      <x:c r="C41" s="67" t="str">
        <x:f>IF($A41="","",IFERROR(INDEX('Planejamento de Viagens'!$C$6:$C$205,MATCH($A41,'Planejamento de Viagens'!$A$6:$A$205,0)),""))</x:f>
      </x:c>
      <x:c r="D41" s="67" t="str">
        <x:f>IF($A41="","",IFERROR(INDEX('Planejamento de Viagens'!$F$6:$F$205,MATCH($A41,'Planejamento de Viagens'!$A$6:$A$205,0)),""))</x:f>
      </x:c>
      <x:c r="E41" s="67" t="str">
        <x:f>IF($A41="","",IFERROR(INDEX('Planejamento de Viagens'!$G$6:$G$205,MATCH($A41,'Planejamento de Viagens'!$A$6:$A$205,0)),""))</x:f>
      </x:c>
      <x:c r="F41" s="61" t="str">
        <x:f>IF($A41="","",IFERROR(INDEX('Planejamento de Viagens'!$J$6:$J$205,MATCH($A41,'Planejamento de Viagens'!$A$6:$A$205,0)),0))</x:f>
      </x:c>
      <x:c r="G41" s="67" t="str">
        <x:f>IF($A41="","",IFERROR(INDEX('Planejamento de Viagens'!$K$6:$K$205,MATCH($A41,'Planejamento de Viagens'!$A$6:$A$205,0)),""))</x:f>
      </x:c>
      <x:c r="H41" s="67" t="str">
        <x:f>IF($A41="","",TEXT(INDEX('Planejamento de Viagens'!$H$6:$H$205,MATCH($A41,'Planejamento de Viagens'!$A$6:$A$205,0)),"mmm/yyyy"))</x:f>
      </x:c>
      <x:c r="I41" s="67" t="str">
        <x:f>IF($A41="","",2026)</x:f>
      </x:c>
      <x:c r="J41" s="63" t="str">
        <x:f>IF($A41="","",INDEX('Planejamento de Viagens'!$N$6:$N$205,MATCH($A41,'Planejamento de Viagens'!$A$6:$A$205,0)))</x:f>
      </x:c>
      <x:c r="K41" s="63" t="str">
        <x:f>IF($A41="","",IFERROR($J41/$F41,0))</x:f>
      </x:c>
      <x:c r="L41" s="63" t="str">
        <x:f>IF($A41="","",$J41/2)</x:f>
      </x:c>
      <x:c r="M41" s="63" t="str">
        <x:f>IF($A41="","",INDEX('Planejamento de Viagens'!$O$6:$O$205,MATCH($A41,'Planejamento de Viagens'!$A$6:$A$205,0)))</x:f>
      </x:c>
      <x:c r="N41" s="61" t="str">
        <x:f>IF($A41="","",COUNTIF($J$6:$J$205,"&gt;"&amp;$J41)+1)</x:f>
      </x:c>
    </x:row>
    <x:row r="42">
      <x:c r="A42" s="36"/>
      <x:c r="B42" s="67" t="str">
        <x:f>IF($A42="","",IFERROR(INDEX('Planejamento de Viagens'!$B$6:$B$205,MATCH($A42,'Planejamento de Viagens'!$A$6:$A$205,0)),""))</x:f>
      </x:c>
      <x:c r="C42" s="67" t="str">
        <x:f>IF($A42="","",IFERROR(INDEX('Planejamento de Viagens'!$C$6:$C$205,MATCH($A42,'Planejamento de Viagens'!$A$6:$A$205,0)),""))</x:f>
      </x:c>
      <x:c r="D42" s="67" t="str">
        <x:f>IF($A42="","",IFERROR(INDEX('Planejamento de Viagens'!$F$6:$F$205,MATCH($A42,'Planejamento de Viagens'!$A$6:$A$205,0)),""))</x:f>
      </x:c>
      <x:c r="E42" s="67" t="str">
        <x:f>IF($A42="","",IFERROR(INDEX('Planejamento de Viagens'!$G$6:$G$205,MATCH($A42,'Planejamento de Viagens'!$A$6:$A$205,0)),""))</x:f>
      </x:c>
      <x:c r="F42" s="61" t="str">
        <x:f>IF($A42="","",IFERROR(INDEX('Planejamento de Viagens'!$J$6:$J$205,MATCH($A42,'Planejamento de Viagens'!$A$6:$A$205,0)),0))</x:f>
      </x:c>
      <x:c r="G42" s="67" t="str">
        <x:f>IF($A42="","",IFERROR(INDEX('Planejamento de Viagens'!$K$6:$K$205,MATCH($A42,'Planejamento de Viagens'!$A$6:$A$205,0)),""))</x:f>
      </x:c>
      <x:c r="H42" s="67" t="str">
        <x:f>IF($A42="","",TEXT(INDEX('Planejamento de Viagens'!$H$6:$H$205,MATCH($A42,'Planejamento de Viagens'!$A$6:$A$205,0)),"mmm/yyyy"))</x:f>
      </x:c>
      <x:c r="I42" s="67" t="str">
        <x:f>IF($A42="","",2026)</x:f>
      </x:c>
      <x:c r="J42" s="63" t="str">
        <x:f>IF($A42="","",INDEX('Planejamento de Viagens'!$N$6:$N$205,MATCH($A42,'Planejamento de Viagens'!$A$6:$A$205,0)))</x:f>
      </x:c>
      <x:c r="K42" s="63" t="str">
        <x:f>IF($A42="","",IFERROR($J42/$F42,0))</x:f>
      </x:c>
      <x:c r="L42" s="63" t="str">
        <x:f>IF($A42="","",$J42/2)</x:f>
      </x:c>
      <x:c r="M42" s="63" t="str">
        <x:f>IF($A42="","",INDEX('Planejamento de Viagens'!$O$6:$O$205,MATCH($A42,'Planejamento de Viagens'!$A$6:$A$205,0)))</x:f>
      </x:c>
      <x:c r="N42" s="61" t="str">
        <x:f>IF($A42="","",COUNTIF($J$6:$J$205,"&gt;"&amp;$J42)+1)</x:f>
      </x:c>
    </x:row>
    <x:row r="43">
      <x:c r="A43" s="36"/>
      <x:c r="B43" s="67" t="str">
        <x:f>IF($A43="","",IFERROR(INDEX('Planejamento de Viagens'!$B$6:$B$205,MATCH($A43,'Planejamento de Viagens'!$A$6:$A$205,0)),""))</x:f>
      </x:c>
      <x:c r="C43" s="67" t="str">
        <x:f>IF($A43="","",IFERROR(INDEX('Planejamento de Viagens'!$C$6:$C$205,MATCH($A43,'Planejamento de Viagens'!$A$6:$A$205,0)),""))</x:f>
      </x:c>
      <x:c r="D43" s="67" t="str">
        <x:f>IF($A43="","",IFERROR(INDEX('Planejamento de Viagens'!$F$6:$F$205,MATCH($A43,'Planejamento de Viagens'!$A$6:$A$205,0)),""))</x:f>
      </x:c>
      <x:c r="E43" s="67" t="str">
        <x:f>IF($A43="","",IFERROR(INDEX('Planejamento de Viagens'!$G$6:$G$205,MATCH($A43,'Planejamento de Viagens'!$A$6:$A$205,0)),""))</x:f>
      </x:c>
      <x:c r="F43" s="61" t="str">
        <x:f>IF($A43="","",IFERROR(INDEX('Planejamento de Viagens'!$J$6:$J$205,MATCH($A43,'Planejamento de Viagens'!$A$6:$A$205,0)),0))</x:f>
      </x:c>
      <x:c r="G43" s="67" t="str">
        <x:f>IF($A43="","",IFERROR(INDEX('Planejamento de Viagens'!$K$6:$K$205,MATCH($A43,'Planejamento de Viagens'!$A$6:$A$205,0)),""))</x:f>
      </x:c>
      <x:c r="H43" s="67" t="str">
        <x:f>IF($A43="","",TEXT(INDEX('Planejamento de Viagens'!$H$6:$H$205,MATCH($A43,'Planejamento de Viagens'!$A$6:$A$205,0)),"mmm/yyyy"))</x:f>
      </x:c>
      <x:c r="I43" s="67" t="str">
        <x:f>IF($A43="","",2026)</x:f>
      </x:c>
      <x:c r="J43" s="63" t="str">
        <x:f>IF($A43="","",INDEX('Planejamento de Viagens'!$N$6:$N$205,MATCH($A43,'Planejamento de Viagens'!$A$6:$A$205,0)))</x:f>
      </x:c>
      <x:c r="K43" s="63" t="str">
        <x:f>IF($A43="","",IFERROR($J43/$F43,0))</x:f>
      </x:c>
      <x:c r="L43" s="63" t="str">
        <x:f>IF($A43="","",$J43/2)</x:f>
      </x:c>
      <x:c r="M43" s="63" t="str">
        <x:f>IF($A43="","",INDEX('Planejamento de Viagens'!$O$6:$O$205,MATCH($A43,'Planejamento de Viagens'!$A$6:$A$205,0)))</x:f>
      </x:c>
      <x:c r="N43" s="61" t="str">
        <x:f>IF($A43="","",COUNTIF($J$6:$J$205,"&gt;"&amp;$J43)+1)</x:f>
      </x:c>
    </x:row>
    <x:row r="44">
      <x:c r="A44" s="36"/>
      <x:c r="B44" s="67" t="str">
        <x:f>IF($A44="","",IFERROR(INDEX('Planejamento de Viagens'!$B$6:$B$205,MATCH($A44,'Planejamento de Viagens'!$A$6:$A$205,0)),""))</x:f>
      </x:c>
      <x:c r="C44" s="67" t="str">
        <x:f>IF($A44="","",IFERROR(INDEX('Planejamento de Viagens'!$C$6:$C$205,MATCH($A44,'Planejamento de Viagens'!$A$6:$A$205,0)),""))</x:f>
      </x:c>
      <x:c r="D44" s="67" t="str">
        <x:f>IF($A44="","",IFERROR(INDEX('Planejamento de Viagens'!$F$6:$F$205,MATCH($A44,'Planejamento de Viagens'!$A$6:$A$205,0)),""))</x:f>
      </x:c>
      <x:c r="E44" s="67" t="str">
        <x:f>IF($A44="","",IFERROR(INDEX('Planejamento de Viagens'!$G$6:$G$205,MATCH($A44,'Planejamento de Viagens'!$A$6:$A$205,0)),""))</x:f>
      </x:c>
      <x:c r="F44" s="61" t="str">
        <x:f>IF($A44="","",IFERROR(INDEX('Planejamento de Viagens'!$J$6:$J$205,MATCH($A44,'Planejamento de Viagens'!$A$6:$A$205,0)),0))</x:f>
      </x:c>
      <x:c r="G44" s="67" t="str">
        <x:f>IF($A44="","",IFERROR(INDEX('Planejamento de Viagens'!$K$6:$K$205,MATCH($A44,'Planejamento de Viagens'!$A$6:$A$205,0)),""))</x:f>
      </x:c>
      <x:c r="H44" s="67" t="str">
        <x:f>IF($A44="","",TEXT(INDEX('Planejamento de Viagens'!$H$6:$H$205,MATCH($A44,'Planejamento de Viagens'!$A$6:$A$205,0)),"mmm/yyyy"))</x:f>
      </x:c>
      <x:c r="I44" s="67" t="str">
        <x:f>IF($A44="","",2026)</x:f>
      </x:c>
      <x:c r="J44" s="63" t="str">
        <x:f>IF($A44="","",INDEX('Planejamento de Viagens'!$N$6:$N$205,MATCH($A44,'Planejamento de Viagens'!$A$6:$A$205,0)))</x:f>
      </x:c>
      <x:c r="K44" s="63" t="str">
        <x:f>IF($A44="","",IFERROR($J44/$F44,0))</x:f>
      </x:c>
      <x:c r="L44" s="63" t="str">
        <x:f>IF($A44="","",$J44/2)</x:f>
      </x:c>
      <x:c r="M44" s="63" t="str">
        <x:f>IF($A44="","",INDEX('Planejamento de Viagens'!$O$6:$O$205,MATCH($A44,'Planejamento de Viagens'!$A$6:$A$205,0)))</x:f>
      </x:c>
      <x:c r="N44" s="61" t="str">
        <x:f>IF($A44="","",COUNTIF($J$6:$J$205,"&gt;"&amp;$J44)+1)</x:f>
      </x:c>
    </x:row>
    <x:row r="45">
      <x:c r="A45" s="36"/>
      <x:c r="B45" s="67" t="str">
        <x:f>IF($A45="","",IFERROR(INDEX('Planejamento de Viagens'!$B$6:$B$205,MATCH($A45,'Planejamento de Viagens'!$A$6:$A$205,0)),""))</x:f>
      </x:c>
      <x:c r="C45" s="67" t="str">
        <x:f>IF($A45="","",IFERROR(INDEX('Planejamento de Viagens'!$C$6:$C$205,MATCH($A45,'Planejamento de Viagens'!$A$6:$A$205,0)),""))</x:f>
      </x:c>
      <x:c r="D45" s="67" t="str">
        <x:f>IF($A45="","",IFERROR(INDEX('Planejamento de Viagens'!$F$6:$F$205,MATCH($A45,'Planejamento de Viagens'!$A$6:$A$205,0)),""))</x:f>
      </x:c>
      <x:c r="E45" s="67" t="str">
        <x:f>IF($A45="","",IFERROR(INDEX('Planejamento de Viagens'!$G$6:$G$205,MATCH($A45,'Planejamento de Viagens'!$A$6:$A$205,0)),""))</x:f>
      </x:c>
      <x:c r="F45" s="61" t="str">
        <x:f>IF($A45="","",IFERROR(INDEX('Planejamento de Viagens'!$J$6:$J$205,MATCH($A45,'Planejamento de Viagens'!$A$6:$A$205,0)),0))</x:f>
      </x:c>
      <x:c r="G45" s="67" t="str">
        <x:f>IF($A45="","",IFERROR(INDEX('Planejamento de Viagens'!$K$6:$K$205,MATCH($A45,'Planejamento de Viagens'!$A$6:$A$205,0)),""))</x:f>
      </x:c>
      <x:c r="H45" s="67" t="str">
        <x:f>IF($A45="","",TEXT(INDEX('Planejamento de Viagens'!$H$6:$H$205,MATCH($A45,'Planejamento de Viagens'!$A$6:$A$205,0)),"mmm/yyyy"))</x:f>
      </x:c>
      <x:c r="I45" s="67" t="str">
        <x:f>IF($A45="","",2026)</x:f>
      </x:c>
      <x:c r="J45" s="63" t="str">
        <x:f>IF($A45="","",INDEX('Planejamento de Viagens'!$N$6:$N$205,MATCH($A45,'Planejamento de Viagens'!$A$6:$A$205,0)))</x:f>
      </x:c>
      <x:c r="K45" s="63" t="str">
        <x:f>IF($A45="","",IFERROR($J45/$F45,0))</x:f>
      </x:c>
      <x:c r="L45" s="63" t="str">
        <x:f>IF($A45="","",$J45/2)</x:f>
      </x:c>
      <x:c r="M45" s="63" t="str">
        <x:f>IF($A45="","",INDEX('Planejamento de Viagens'!$O$6:$O$205,MATCH($A45,'Planejamento de Viagens'!$A$6:$A$205,0)))</x:f>
      </x:c>
      <x:c r="N45" s="61" t="str">
        <x:f>IF($A45="","",COUNTIF($J$6:$J$205,"&gt;"&amp;$J45)+1)</x:f>
      </x:c>
    </x:row>
    <x:row r="46">
      <x:c r="A46" s="36"/>
      <x:c r="B46" s="67" t="str">
        <x:f>IF($A46="","",IFERROR(INDEX('Planejamento de Viagens'!$B$6:$B$205,MATCH($A46,'Planejamento de Viagens'!$A$6:$A$205,0)),""))</x:f>
      </x:c>
      <x:c r="C46" s="67" t="str">
        <x:f>IF($A46="","",IFERROR(INDEX('Planejamento de Viagens'!$C$6:$C$205,MATCH($A46,'Planejamento de Viagens'!$A$6:$A$205,0)),""))</x:f>
      </x:c>
      <x:c r="D46" s="67" t="str">
        <x:f>IF($A46="","",IFERROR(INDEX('Planejamento de Viagens'!$F$6:$F$205,MATCH($A46,'Planejamento de Viagens'!$A$6:$A$205,0)),""))</x:f>
      </x:c>
      <x:c r="E46" s="67" t="str">
        <x:f>IF($A46="","",IFERROR(INDEX('Planejamento de Viagens'!$G$6:$G$205,MATCH($A46,'Planejamento de Viagens'!$A$6:$A$205,0)),""))</x:f>
      </x:c>
      <x:c r="F46" s="61" t="str">
        <x:f>IF($A46="","",IFERROR(INDEX('Planejamento de Viagens'!$J$6:$J$205,MATCH($A46,'Planejamento de Viagens'!$A$6:$A$205,0)),0))</x:f>
      </x:c>
      <x:c r="G46" s="67" t="str">
        <x:f>IF($A46="","",IFERROR(INDEX('Planejamento de Viagens'!$K$6:$K$205,MATCH($A46,'Planejamento de Viagens'!$A$6:$A$205,0)),""))</x:f>
      </x:c>
      <x:c r="H46" s="67" t="str">
        <x:f>IF($A46="","",TEXT(INDEX('Planejamento de Viagens'!$H$6:$H$205,MATCH($A46,'Planejamento de Viagens'!$A$6:$A$205,0)),"mmm/yyyy"))</x:f>
      </x:c>
      <x:c r="I46" s="67" t="str">
        <x:f>IF($A46="","",2026)</x:f>
      </x:c>
      <x:c r="J46" s="63" t="str">
        <x:f>IF($A46="","",INDEX('Planejamento de Viagens'!$N$6:$N$205,MATCH($A46,'Planejamento de Viagens'!$A$6:$A$205,0)))</x:f>
      </x:c>
      <x:c r="K46" s="63" t="str">
        <x:f>IF($A46="","",IFERROR($J46/$F46,0))</x:f>
      </x:c>
      <x:c r="L46" s="63" t="str">
        <x:f>IF($A46="","",$J46/2)</x:f>
      </x:c>
      <x:c r="M46" s="63" t="str">
        <x:f>IF($A46="","",INDEX('Planejamento de Viagens'!$O$6:$O$205,MATCH($A46,'Planejamento de Viagens'!$A$6:$A$205,0)))</x:f>
      </x:c>
      <x:c r="N46" s="61" t="str">
        <x:f>IF($A46="","",COUNTIF($J$6:$J$205,"&gt;"&amp;$J46)+1)</x:f>
      </x:c>
    </x:row>
    <x:row r="47">
      <x:c r="A47" s="36"/>
      <x:c r="B47" s="67" t="str">
        <x:f>IF($A47="","",IFERROR(INDEX('Planejamento de Viagens'!$B$6:$B$205,MATCH($A47,'Planejamento de Viagens'!$A$6:$A$205,0)),""))</x:f>
      </x:c>
      <x:c r="C47" s="67" t="str">
        <x:f>IF($A47="","",IFERROR(INDEX('Planejamento de Viagens'!$C$6:$C$205,MATCH($A47,'Planejamento de Viagens'!$A$6:$A$205,0)),""))</x:f>
      </x:c>
      <x:c r="D47" s="67" t="str">
        <x:f>IF($A47="","",IFERROR(INDEX('Planejamento de Viagens'!$F$6:$F$205,MATCH($A47,'Planejamento de Viagens'!$A$6:$A$205,0)),""))</x:f>
      </x:c>
      <x:c r="E47" s="67" t="str">
        <x:f>IF($A47="","",IFERROR(INDEX('Planejamento de Viagens'!$G$6:$G$205,MATCH($A47,'Planejamento de Viagens'!$A$6:$A$205,0)),""))</x:f>
      </x:c>
      <x:c r="F47" s="61" t="str">
        <x:f>IF($A47="","",IFERROR(INDEX('Planejamento de Viagens'!$J$6:$J$205,MATCH($A47,'Planejamento de Viagens'!$A$6:$A$205,0)),0))</x:f>
      </x:c>
      <x:c r="G47" s="67" t="str">
        <x:f>IF($A47="","",IFERROR(INDEX('Planejamento de Viagens'!$K$6:$K$205,MATCH($A47,'Planejamento de Viagens'!$A$6:$A$205,0)),""))</x:f>
      </x:c>
      <x:c r="H47" s="67" t="str">
        <x:f>IF($A47="","",TEXT(INDEX('Planejamento de Viagens'!$H$6:$H$205,MATCH($A47,'Planejamento de Viagens'!$A$6:$A$205,0)),"mmm/yyyy"))</x:f>
      </x:c>
      <x:c r="I47" s="67" t="str">
        <x:f>IF($A47="","",2026)</x:f>
      </x:c>
      <x:c r="J47" s="63" t="str">
        <x:f>IF($A47="","",INDEX('Planejamento de Viagens'!$N$6:$N$205,MATCH($A47,'Planejamento de Viagens'!$A$6:$A$205,0)))</x:f>
      </x:c>
      <x:c r="K47" s="63" t="str">
        <x:f>IF($A47="","",IFERROR($J47/$F47,0))</x:f>
      </x:c>
      <x:c r="L47" s="63" t="str">
        <x:f>IF($A47="","",$J47/2)</x:f>
      </x:c>
      <x:c r="M47" s="63" t="str">
        <x:f>IF($A47="","",INDEX('Planejamento de Viagens'!$O$6:$O$205,MATCH($A47,'Planejamento de Viagens'!$A$6:$A$205,0)))</x:f>
      </x:c>
      <x:c r="N47" s="61" t="str">
        <x:f>IF($A47="","",COUNTIF($J$6:$J$205,"&gt;"&amp;$J47)+1)</x:f>
      </x:c>
    </x:row>
    <x:row r="48">
      <x:c r="A48" s="36"/>
      <x:c r="B48" s="67" t="str">
        <x:f>IF($A48="","",IFERROR(INDEX('Planejamento de Viagens'!$B$6:$B$205,MATCH($A48,'Planejamento de Viagens'!$A$6:$A$205,0)),""))</x:f>
      </x:c>
      <x:c r="C48" s="67" t="str">
        <x:f>IF($A48="","",IFERROR(INDEX('Planejamento de Viagens'!$C$6:$C$205,MATCH($A48,'Planejamento de Viagens'!$A$6:$A$205,0)),""))</x:f>
      </x:c>
      <x:c r="D48" s="67" t="str">
        <x:f>IF($A48="","",IFERROR(INDEX('Planejamento de Viagens'!$F$6:$F$205,MATCH($A48,'Planejamento de Viagens'!$A$6:$A$205,0)),""))</x:f>
      </x:c>
      <x:c r="E48" s="67" t="str">
        <x:f>IF($A48="","",IFERROR(INDEX('Planejamento de Viagens'!$G$6:$G$205,MATCH($A48,'Planejamento de Viagens'!$A$6:$A$205,0)),""))</x:f>
      </x:c>
      <x:c r="F48" s="61" t="str">
        <x:f>IF($A48="","",IFERROR(INDEX('Planejamento de Viagens'!$J$6:$J$205,MATCH($A48,'Planejamento de Viagens'!$A$6:$A$205,0)),0))</x:f>
      </x:c>
      <x:c r="G48" s="67" t="str">
        <x:f>IF($A48="","",IFERROR(INDEX('Planejamento de Viagens'!$K$6:$K$205,MATCH($A48,'Planejamento de Viagens'!$A$6:$A$205,0)),""))</x:f>
      </x:c>
      <x:c r="H48" s="67" t="str">
        <x:f>IF($A48="","",TEXT(INDEX('Planejamento de Viagens'!$H$6:$H$205,MATCH($A48,'Planejamento de Viagens'!$A$6:$A$205,0)),"mmm/yyyy"))</x:f>
      </x:c>
      <x:c r="I48" s="67" t="str">
        <x:f>IF($A48="","",2026)</x:f>
      </x:c>
      <x:c r="J48" s="63" t="str">
        <x:f>IF($A48="","",INDEX('Planejamento de Viagens'!$N$6:$N$205,MATCH($A48,'Planejamento de Viagens'!$A$6:$A$205,0)))</x:f>
      </x:c>
      <x:c r="K48" s="63" t="str">
        <x:f>IF($A48="","",IFERROR($J48/$F48,0))</x:f>
      </x:c>
      <x:c r="L48" s="63" t="str">
        <x:f>IF($A48="","",$J48/2)</x:f>
      </x:c>
      <x:c r="M48" s="63" t="str">
        <x:f>IF($A48="","",INDEX('Planejamento de Viagens'!$O$6:$O$205,MATCH($A48,'Planejamento de Viagens'!$A$6:$A$205,0)))</x:f>
      </x:c>
      <x:c r="N48" s="61" t="str">
        <x:f>IF($A48="","",COUNTIF($J$6:$J$205,"&gt;"&amp;$J48)+1)</x:f>
      </x:c>
    </x:row>
    <x:row r="49">
      <x:c r="A49" s="36"/>
      <x:c r="B49" s="67" t="str">
        <x:f>IF($A49="","",IFERROR(INDEX('Planejamento de Viagens'!$B$6:$B$205,MATCH($A49,'Planejamento de Viagens'!$A$6:$A$205,0)),""))</x:f>
      </x:c>
      <x:c r="C49" s="67" t="str">
        <x:f>IF($A49="","",IFERROR(INDEX('Planejamento de Viagens'!$C$6:$C$205,MATCH($A49,'Planejamento de Viagens'!$A$6:$A$205,0)),""))</x:f>
      </x:c>
      <x:c r="D49" s="67" t="str">
        <x:f>IF($A49="","",IFERROR(INDEX('Planejamento de Viagens'!$F$6:$F$205,MATCH($A49,'Planejamento de Viagens'!$A$6:$A$205,0)),""))</x:f>
      </x:c>
      <x:c r="E49" s="67" t="str">
        <x:f>IF($A49="","",IFERROR(INDEX('Planejamento de Viagens'!$G$6:$G$205,MATCH($A49,'Planejamento de Viagens'!$A$6:$A$205,0)),""))</x:f>
      </x:c>
      <x:c r="F49" s="61" t="str">
        <x:f>IF($A49="","",IFERROR(INDEX('Planejamento de Viagens'!$J$6:$J$205,MATCH($A49,'Planejamento de Viagens'!$A$6:$A$205,0)),0))</x:f>
      </x:c>
      <x:c r="G49" s="67" t="str">
        <x:f>IF($A49="","",IFERROR(INDEX('Planejamento de Viagens'!$K$6:$K$205,MATCH($A49,'Planejamento de Viagens'!$A$6:$A$205,0)),""))</x:f>
      </x:c>
      <x:c r="H49" s="67" t="str">
        <x:f>IF($A49="","",TEXT(INDEX('Planejamento de Viagens'!$H$6:$H$205,MATCH($A49,'Planejamento de Viagens'!$A$6:$A$205,0)),"mmm/yyyy"))</x:f>
      </x:c>
      <x:c r="I49" s="67" t="str">
        <x:f>IF($A49="","",2026)</x:f>
      </x:c>
      <x:c r="J49" s="63" t="str">
        <x:f>IF($A49="","",INDEX('Planejamento de Viagens'!$N$6:$N$205,MATCH($A49,'Planejamento de Viagens'!$A$6:$A$205,0)))</x:f>
      </x:c>
      <x:c r="K49" s="63" t="str">
        <x:f>IF($A49="","",IFERROR($J49/$F49,0))</x:f>
      </x:c>
      <x:c r="L49" s="63" t="str">
        <x:f>IF($A49="","",$J49/2)</x:f>
      </x:c>
      <x:c r="M49" s="63" t="str">
        <x:f>IF($A49="","",INDEX('Planejamento de Viagens'!$O$6:$O$205,MATCH($A49,'Planejamento de Viagens'!$A$6:$A$205,0)))</x:f>
      </x:c>
      <x:c r="N49" s="61" t="str">
        <x:f>IF($A49="","",COUNTIF($J$6:$J$205,"&gt;"&amp;$J49)+1)</x:f>
      </x:c>
    </x:row>
    <x:row r="50">
      <x:c r="A50" s="36"/>
      <x:c r="B50" s="67" t="str">
        <x:f>IF($A50="","",IFERROR(INDEX('Planejamento de Viagens'!$B$6:$B$205,MATCH($A50,'Planejamento de Viagens'!$A$6:$A$205,0)),""))</x:f>
      </x:c>
      <x:c r="C50" s="67" t="str">
        <x:f>IF($A50="","",IFERROR(INDEX('Planejamento de Viagens'!$C$6:$C$205,MATCH($A50,'Planejamento de Viagens'!$A$6:$A$205,0)),""))</x:f>
      </x:c>
      <x:c r="D50" s="67" t="str">
        <x:f>IF($A50="","",IFERROR(INDEX('Planejamento de Viagens'!$F$6:$F$205,MATCH($A50,'Planejamento de Viagens'!$A$6:$A$205,0)),""))</x:f>
      </x:c>
      <x:c r="E50" s="67" t="str">
        <x:f>IF($A50="","",IFERROR(INDEX('Planejamento de Viagens'!$G$6:$G$205,MATCH($A50,'Planejamento de Viagens'!$A$6:$A$205,0)),""))</x:f>
      </x:c>
      <x:c r="F50" s="61" t="str">
        <x:f>IF($A50="","",IFERROR(INDEX('Planejamento de Viagens'!$J$6:$J$205,MATCH($A50,'Planejamento de Viagens'!$A$6:$A$205,0)),0))</x:f>
      </x:c>
      <x:c r="G50" s="67" t="str">
        <x:f>IF($A50="","",IFERROR(INDEX('Planejamento de Viagens'!$K$6:$K$205,MATCH($A50,'Planejamento de Viagens'!$A$6:$A$205,0)),""))</x:f>
      </x:c>
      <x:c r="H50" s="67" t="str">
        <x:f>IF($A50="","",TEXT(INDEX('Planejamento de Viagens'!$H$6:$H$205,MATCH($A50,'Planejamento de Viagens'!$A$6:$A$205,0)),"mmm/yyyy"))</x:f>
      </x:c>
      <x:c r="I50" s="67" t="str">
        <x:f>IF($A50="","",2026)</x:f>
      </x:c>
      <x:c r="J50" s="63" t="str">
        <x:f>IF($A50="","",INDEX('Planejamento de Viagens'!$N$6:$N$205,MATCH($A50,'Planejamento de Viagens'!$A$6:$A$205,0)))</x:f>
      </x:c>
      <x:c r="K50" s="63" t="str">
        <x:f>IF($A50="","",IFERROR($J50/$F50,0))</x:f>
      </x:c>
      <x:c r="L50" s="63" t="str">
        <x:f>IF($A50="","",$J50/2)</x:f>
      </x:c>
      <x:c r="M50" s="63" t="str">
        <x:f>IF($A50="","",INDEX('Planejamento de Viagens'!$O$6:$O$205,MATCH($A50,'Planejamento de Viagens'!$A$6:$A$205,0)))</x:f>
      </x:c>
      <x:c r="N50" s="61" t="str">
        <x:f>IF($A50="","",COUNTIF($J$6:$J$205,"&gt;"&amp;$J50)+1)</x:f>
      </x:c>
    </x:row>
    <x:row r="51">
      <x:c r="A51" s="36"/>
      <x:c r="B51" s="67" t="str">
        <x:f>IF($A51="","",IFERROR(INDEX('Planejamento de Viagens'!$B$6:$B$205,MATCH($A51,'Planejamento de Viagens'!$A$6:$A$205,0)),""))</x:f>
      </x:c>
      <x:c r="C51" s="67" t="str">
        <x:f>IF($A51="","",IFERROR(INDEX('Planejamento de Viagens'!$C$6:$C$205,MATCH($A51,'Planejamento de Viagens'!$A$6:$A$205,0)),""))</x:f>
      </x:c>
      <x:c r="D51" s="67" t="str">
        <x:f>IF($A51="","",IFERROR(INDEX('Planejamento de Viagens'!$F$6:$F$205,MATCH($A51,'Planejamento de Viagens'!$A$6:$A$205,0)),""))</x:f>
      </x:c>
      <x:c r="E51" s="67" t="str">
        <x:f>IF($A51="","",IFERROR(INDEX('Planejamento de Viagens'!$G$6:$G$205,MATCH($A51,'Planejamento de Viagens'!$A$6:$A$205,0)),""))</x:f>
      </x:c>
      <x:c r="F51" s="61" t="str">
        <x:f>IF($A51="","",IFERROR(INDEX('Planejamento de Viagens'!$J$6:$J$205,MATCH($A51,'Planejamento de Viagens'!$A$6:$A$205,0)),0))</x:f>
      </x:c>
      <x:c r="G51" s="67" t="str">
        <x:f>IF($A51="","",IFERROR(INDEX('Planejamento de Viagens'!$K$6:$K$205,MATCH($A51,'Planejamento de Viagens'!$A$6:$A$205,0)),""))</x:f>
      </x:c>
      <x:c r="H51" s="67" t="str">
        <x:f>IF($A51="","",TEXT(INDEX('Planejamento de Viagens'!$H$6:$H$205,MATCH($A51,'Planejamento de Viagens'!$A$6:$A$205,0)),"mmm/yyyy"))</x:f>
      </x:c>
      <x:c r="I51" s="67" t="str">
        <x:f>IF($A51="","",2026)</x:f>
      </x:c>
      <x:c r="J51" s="63" t="str">
        <x:f>IF($A51="","",INDEX('Planejamento de Viagens'!$N$6:$N$205,MATCH($A51,'Planejamento de Viagens'!$A$6:$A$205,0)))</x:f>
      </x:c>
      <x:c r="K51" s="63" t="str">
        <x:f>IF($A51="","",IFERROR($J51/$F51,0))</x:f>
      </x:c>
      <x:c r="L51" s="63" t="str">
        <x:f>IF($A51="","",$J51/2)</x:f>
      </x:c>
      <x:c r="M51" s="63" t="str">
        <x:f>IF($A51="","",INDEX('Planejamento de Viagens'!$O$6:$O$205,MATCH($A51,'Planejamento de Viagens'!$A$6:$A$205,0)))</x:f>
      </x:c>
      <x:c r="N51" s="61" t="str">
        <x:f>IF($A51="","",COUNTIF($J$6:$J$205,"&gt;"&amp;$J51)+1)</x:f>
      </x:c>
    </x:row>
    <x:row r="52">
      <x:c r="A52" s="36"/>
      <x:c r="B52" s="67" t="str">
        <x:f>IF($A52="","",IFERROR(INDEX('Planejamento de Viagens'!$B$6:$B$205,MATCH($A52,'Planejamento de Viagens'!$A$6:$A$205,0)),""))</x:f>
      </x:c>
      <x:c r="C52" s="67" t="str">
        <x:f>IF($A52="","",IFERROR(INDEX('Planejamento de Viagens'!$C$6:$C$205,MATCH($A52,'Planejamento de Viagens'!$A$6:$A$205,0)),""))</x:f>
      </x:c>
      <x:c r="D52" s="67" t="str">
        <x:f>IF($A52="","",IFERROR(INDEX('Planejamento de Viagens'!$F$6:$F$205,MATCH($A52,'Planejamento de Viagens'!$A$6:$A$205,0)),""))</x:f>
      </x:c>
      <x:c r="E52" s="67" t="str">
        <x:f>IF($A52="","",IFERROR(INDEX('Planejamento de Viagens'!$G$6:$G$205,MATCH($A52,'Planejamento de Viagens'!$A$6:$A$205,0)),""))</x:f>
      </x:c>
      <x:c r="F52" s="61" t="str">
        <x:f>IF($A52="","",IFERROR(INDEX('Planejamento de Viagens'!$J$6:$J$205,MATCH($A52,'Planejamento de Viagens'!$A$6:$A$205,0)),0))</x:f>
      </x:c>
      <x:c r="G52" s="67" t="str">
        <x:f>IF($A52="","",IFERROR(INDEX('Planejamento de Viagens'!$K$6:$K$205,MATCH($A52,'Planejamento de Viagens'!$A$6:$A$205,0)),""))</x:f>
      </x:c>
      <x:c r="H52" s="67" t="str">
        <x:f>IF($A52="","",TEXT(INDEX('Planejamento de Viagens'!$H$6:$H$205,MATCH($A52,'Planejamento de Viagens'!$A$6:$A$205,0)),"mmm/yyyy"))</x:f>
      </x:c>
      <x:c r="I52" s="67" t="str">
        <x:f>IF($A52="","",2026)</x:f>
      </x:c>
      <x:c r="J52" s="63" t="str">
        <x:f>IF($A52="","",INDEX('Planejamento de Viagens'!$N$6:$N$205,MATCH($A52,'Planejamento de Viagens'!$A$6:$A$205,0)))</x:f>
      </x:c>
      <x:c r="K52" s="63" t="str">
        <x:f>IF($A52="","",IFERROR($J52/$F52,0))</x:f>
      </x:c>
      <x:c r="L52" s="63" t="str">
        <x:f>IF($A52="","",$J52/2)</x:f>
      </x:c>
      <x:c r="M52" s="63" t="str">
        <x:f>IF($A52="","",INDEX('Planejamento de Viagens'!$O$6:$O$205,MATCH($A52,'Planejamento de Viagens'!$A$6:$A$205,0)))</x:f>
      </x:c>
      <x:c r="N52" s="61" t="str">
        <x:f>IF($A52="","",COUNTIF($J$6:$J$205,"&gt;"&amp;$J52)+1)</x:f>
      </x:c>
    </x:row>
    <x:row r="53">
      <x:c r="A53" s="36"/>
      <x:c r="B53" s="67" t="str">
        <x:f>IF($A53="","",IFERROR(INDEX('Planejamento de Viagens'!$B$6:$B$205,MATCH($A53,'Planejamento de Viagens'!$A$6:$A$205,0)),""))</x:f>
      </x:c>
      <x:c r="C53" s="67" t="str">
        <x:f>IF($A53="","",IFERROR(INDEX('Planejamento de Viagens'!$C$6:$C$205,MATCH($A53,'Planejamento de Viagens'!$A$6:$A$205,0)),""))</x:f>
      </x:c>
      <x:c r="D53" s="67" t="str">
        <x:f>IF($A53="","",IFERROR(INDEX('Planejamento de Viagens'!$F$6:$F$205,MATCH($A53,'Planejamento de Viagens'!$A$6:$A$205,0)),""))</x:f>
      </x:c>
      <x:c r="E53" s="67" t="str">
        <x:f>IF($A53="","",IFERROR(INDEX('Planejamento de Viagens'!$G$6:$G$205,MATCH($A53,'Planejamento de Viagens'!$A$6:$A$205,0)),""))</x:f>
      </x:c>
      <x:c r="F53" s="61" t="str">
        <x:f>IF($A53="","",IFERROR(INDEX('Planejamento de Viagens'!$J$6:$J$205,MATCH($A53,'Planejamento de Viagens'!$A$6:$A$205,0)),0))</x:f>
      </x:c>
      <x:c r="G53" s="67" t="str">
        <x:f>IF($A53="","",IFERROR(INDEX('Planejamento de Viagens'!$K$6:$K$205,MATCH($A53,'Planejamento de Viagens'!$A$6:$A$205,0)),""))</x:f>
      </x:c>
      <x:c r="H53" s="67" t="str">
        <x:f>IF($A53="","",TEXT(INDEX('Planejamento de Viagens'!$H$6:$H$205,MATCH($A53,'Planejamento de Viagens'!$A$6:$A$205,0)),"mmm/yyyy"))</x:f>
      </x:c>
      <x:c r="I53" s="67" t="str">
        <x:f>IF($A53="","",2026)</x:f>
      </x:c>
      <x:c r="J53" s="63" t="str">
        <x:f>IF($A53="","",INDEX('Planejamento de Viagens'!$N$6:$N$205,MATCH($A53,'Planejamento de Viagens'!$A$6:$A$205,0)))</x:f>
      </x:c>
      <x:c r="K53" s="63" t="str">
        <x:f>IF($A53="","",IFERROR($J53/$F53,0))</x:f>
      </x:c>
      <x:c r="L53" s="63" t="str">
        <x:f>IF($A53="","",$J53/2)</x:f>
      </x:c>
      <x:c r="M53" s="63" t="str">
        <x:f>IF($A53="","",INDEX('Planejamento de Viagens'!$O$6:$O$205,MATCH($A53,'Planejamento de Viagens'!$A$6:$A$205,0)))</x:f>
      </x:c>
      <x:c r="N53" s="61" t="str">
        <x:f>IF($A53="","",COUNTIF($J$6:$J$205,"&gt;"&amp;$J53)+1)</x:f>
      </x:c>
    </x:row>
    <x:row r="54">
      <x:c r="A54" s="36"/>
      <x:c r="B54" s="67" t="str">
        <x:f>IF($A54="","",IFERROR(INDEX('Planejamento de Viagens'!$B$6:$B$205,MATCH($A54,'Planejamento de Viagens'!$A$6:$A$205,0)),""))</x:f>
      </x:c>
      <x:c r="C54" s="67" t="str">
        <x:f>IF($A54="","",IFERROR(INDEX('Planejamento de Viagens'!$C$6:$C$205,MATCH($A54,'Planejamento de Viagens'!$A$6:$A$205,0)),""))</x:f>
      </x:c>
      <x:c r="D54" s="67" t="str">
        <x:f>IF($A54="","",IFERROR(INDEX('Planejamento de Viagens'!$F$6:$F$205,MATCH($A54,'Planejamento de Viagens'!$A$6:$A$205,0)),""))</x:f>
      </x:c>
      <x:c r="E54" s="67" t="str">
        <x:f>IF($A54="","",IFERROR(INDEX('Planejamento de Viagens'!$G$6:$G$205,MATCH($A54,'Planejamento de Viagens'!$A$6:$A$205,0)),""))</x:f>
      </x:c>
      <x:c r="F54" s="61" t="str">
        <x:f>IF($A54="","",IFERROR(INDEX('Planejamento de Viagens'!$J$6:$J$205,MATCH($A54,'Planejamento de Viagens'!$A$6:$A$205,0)),0))</x:f>
      </x:c>
      <x:c r="G54" s="67" t="str">
        <x:f>IF($A54="","",IFERROR(INDEX('Planejamento de Viagens'!$K$6:$K$205,MATCH($A54,'Planejamento de Viagens'!$A$6:$A$205,0)),""))</x:f>
      </x:c>
      <x:c r="H54" s="67" t="str">
        <x:f>IF($A54="","",TEXT(INDEX('Planejamento de Viagens'!$H$6:$H$205,MATCH($A54,'Planejamento de Viagens'!$A$6:$A$205,0)),"mmm/yyyy"))</x:f>
      </x:c>
      <x:c r="I54" s="67" t="str">
        <x:f>IF($A54="","",2026)</x:f>
      </x:c>
      <x:c r="J54" s="63" t="str">
        <x:f>IF($A54="","",INDEX('Planejamento de Viagens'!$N$6:$N$205,MATCH($A54,'Planejamento de Viagens'!$A$6:$A$205,0)))</x:f>
      </x:c>
      <x:c r="K54" s="63" t="str">
        <x:f>IF($A54="","",IFERROR($J54/$F54,0))</x:f>
      </x:c>
      <x:c r="L54" s="63" t="str">
        <x:f>IF($A54="","",$J54/2)</x:f>
      </x:c>
      <x:c r="M54" s="63" t="str">
        <x:f>IF($A54="","",INDEX('Planejamento de Viagens'!$O$6:$O$205,MATCH($A54,'Planejamento de Viagens'!$A$6:$A$205,0)))</x:f>
      </x:c>
      <x:c r="N54" s="61" t="str">
        <x:f>IF($A54="","",COUNTIF($J$6:$J$205,"&gt;"&amp;$J54)+1)</x:f>
      </x:c>
    </x:row>
    <x:row r="55">
      <x:c r="A55" s="36"/>
      <x:c r="B55" s="67" t="str">
        <x:f>IF($A55="","",IFERROR(INDEX('Planejamento de Viagens'!$B$6:$B$205,MATCH($A55,'Planejamento de Viagens'!$A$6:$A$205,0)),""))</x:f>
      </x:c>
      <x:c r="C55" s="67" t="str">
        <x:f>IF($A55="","",IFERROR(INDEX('Planejamento de Viagens'!$C$6:$C$205,MATCH($A55,'Planejamento de Viagens'!$A$6:$A$205,0)),""))</x:f>
      </x:c>
      <x:c r="D55" s="67" t="str">
        <x:f>IF($A55="","",IFERROR(INDEX('Planejamento de Viagens'!$F$6:$F$205,MATCH($A55,'Planejamento de Viagens'!$A$6:$A$205,0)),""))</x:f>
      </x:c>
      <x:c r="E55" s="67" t="str">
        <x:f>IF($A55="","",IFERROR(INDEX('Planejamento de Viagens'!$G$6:$G$205,MATCH($A55,'Planejamento de Viagens'!$A$6:$A$205,0)),""))</x:f>
      </x:c>
      <x:c r="F55" s="61" t="str">
        <x:f>IF($A55="","",IFERROR(INDEX('Planejamento de Viagens'!$J$6:$J$205,MATCH($A55,'Planejamento de Viagens'!$A$6:$A$205,0)),0))</x:f>
      </x:c>
      <x:c r="G55" s="67" t="str">
        <x:f>IF($A55="","",IFERROR(INDEX('Planejamento de Viagens'!$K$6:$K$205,MATCH($A55,'Planejamento de Viagens'!$A$6:$A$205,0)),""))</x:f>
      </x:c>
      <x:c r="H55" s="67" t="str">
        <x:f>IF($A55="","",TEXT(INDEX('Planejamento de Viagens'!$H$6:$H$205,MATCH($A55,'Planejamento de Viagens'!$A$6:$A$205,0)),"mmm/yyyy"))</x:f>
      </x:c>
      <x:c r="I55" s="67" t="str">
        <x:f>IF($A55="","",2026)</x:f>
      </x:c>
      <x:c r="J55" s="63" t="str">
        <x:f>IF($A55="","",INDEX('Planejamento de Viagens'!$N$6:$N$205,MATCH($A55,'Planejamento de Viagens'!$A$6:$A$205,0)))</x:f>
      </x:c>
      <x:c r="K55" s="63" t="str">
        <x:f>IF($A55="","",IFERROR($J55/$F55,0))</x:f>
      </x:c>
      <x:c r="L55" s="63" t="str">
        <x:f>IF($A55="","",$J55/2)</x:f>
      </x:c>
      <x:c r="M55" s="63" t="str">
        <x:f>IF($A55="","",INDEX('Planejamento de Viagens'!$O$6:$O$205,MATCH($A55,'Planejamento de Viagens'!$A$6:$A$205,0)))</x:f>
      </x:c>
      <x:c r="N55" s="61" t="str">
        <x:f>IF($A55="","",COUNTIF($J$6:$J$205,"&gt;"&amp;$J55)+1)</x:f>
      </x:c>
    </x:row>
    <x:row r="56">
      <x:c r="A56" s="36"/>
      <x:c r="B56" s="67" t="str">
        <x:f>IF($A56="","",IFERROR(INDEX('Planejamento de Viagens'!$B$6:$B$205,MATCH($A56,'Planejamento de Viagens'!$A$6:$A$205,0)),""))</x:f>
      </x:c>
      <x:c r="C56" s="67" t="str">
        <x:f>IF($A56="","",IFERROR(INDEX('Planejamento de Viagens'!$C$6:$C$205,MATCH($A56,'Planejamento de Viagens'!$A$6:$A$205,0)),""))</x:f>
      </x:c>
      <x:c r="D56" s="67" t="str">
        <x:f>IF($A56="","",IFERROR(INDEX('Planejamento de Viagens'!$F$6:$F$205,MATCH($A56,'Planejamento de Viagens'!$A$6:$A$205,0)),""))</x:f>
      </x:c>
      <x:c r="E56" s="67" t="str">
        <x:f>IF($A56="","",IFERROR(INDEX('Planejamento de Viagens'!$G$6:$G$205,MATCH($A56,'Planejamento de Viagens'!$A$6:$A$205,0)),""))</x:f>
      </x:c>
      <x:c r="F56" s="61" t="str">
        <x:f>IF($A56="","",IFERROR(INDEX('Planejamento de Viagens'!$J$6:$J$205,MATCH($A56,'Planejamento de Viagens'!$A$6:$A$205,0)),0))</x:f>
      </x:c>
      <x:c r="G56" s="67" t="str">
        <x:f>IF($A56="","",IFERROR(INDEX('Planejamento de Viagens'!$K$6:$K$205,MATCH($A56,'Planejamento de Viagens'!$A$6:$A$205,0)),""))</x:f>
      </x:c>
      <x:c r="H56" s="67" t="str">
        <x:f>IF($A56="","",TEXT(INDEX('Planejamento de Viagens'!$H$6:$H$205,MATCH($A56,'Planejamento de Viagens'!$A$6:$A$205,0)),"mmm/yyyy"))</x:f>
      </x:c>
      <x:c r="I56" s="67" t="str">
        <x:f>IF($A56="","",2026)</x:f>
      </x:c>
      <x:c r="J56" s="63" t="str">
        <x:f>IF($A56="","",INDEX('Planejamento de Viagens'!$N$6:$N$205,MATCH($A56,'Planejamento de Viagens'!$A$6:$A$205,0)))</x:f>
      </x:c>
      <x:c r="K56" s="63" t="str">
        <x:f>IF($A56="","",IFERROR($J56/$F56,0))</x:f>
      </x:c>
      <x:c r="L56" s="63" t="str">
        <x:f>IF($A56="","",$J56/2)</x:f>
      </x:c>
      <x:c r="M56" s="63" t="str">
        <x:f>IF($A56="","",INDEX('Planejamento de Viagens'!$O$6:$O$205,MATCH($A56,'Planejamento de Viagens'!$A$6:$A$205,0)))</x:f>
      </x:c>
      <x:c r="N56" s="61" t="str">
        <x:f>IF($A56="","",COUNTIF($J$6:$J$205,"&gt;"&amp;$J56)+1)</x:f>
      </x:c>
    </x:row>
    <x:row r="57">
      <x:c r="A57" s="36"/>
      <x:c r="B57" s="67" t="str">
        <x:f>IF($A57="","",IFERROR(INDEX('Planejamento de Viagens'!$B$6:$B$205,MATCH($A57,'Planejamento de Viagens'!$A$6:$A$205,0)),""))</x:f>
      </x:c>
      <x:c r="C57" s="67" t="str">
        <x:f>IF($A57="","",IFERROR(INDEX('Planejamento de Viagens'!$C$6:$C$205,MATCH($A57,'Planejamento de Viagens'!$A$6:$A$205,0)),""))</x:f>
      </x:c>
      <x:c r="D57" s="67" t="str">
        <x:f>IF($A57="","",IFERROR(INDEX('Planejamento de Viagens'!$F$6:$F$205,MATCH($A57,'Planejamento de Viagens'!$A$6:$A$205,0)),""))</x:f>
      </x:c>
      <x:c r="E57" s="67" t="str">
        <x:f>IF($A57="","",IFERROR(INDEX('Planejamento de Viagens'!$G$6:$G$205,MATCH($A57,'Planejamento de Viagens'!$A$6:$A$205,0)),""))</x:f>
      </x:c>
      <x:c r="F57" s="61" t="str">
        <x:f>IF($A57="","",IFERROR(INDEX('Planejamento de Viagens'!$J$6:$J$205,MATCH($A57,'Planejamento de Viagens'!$A$6:$A$205,0)),0))</x:f>
      </x:c>
      <x:c r="G57" s="67" t="str">
        <x:f>IF($A57="","",IFERROR(INDEX('Planejamento de Viagens'!$K$6:$K$205,MATCH($A57,'Planejamento de Viagens'!$A$6:$A$205,0)),""))</x:f>
      </x:c>
      <x:c r="H57" s="67" t="str">
        <x:f>IF($A57="","",TEXT(INDEX('Planejamento de Viagens'!$H$6:$H$205,MATCH($A57,'Planejamento de Viagens'!$A$6:$A$205,0)),"mmm/yyyy"))</x:f>
      </x:c>
      <x:c r="I57" s="67" t="str">
        <x:f>IF($A57="","",2026)</x:f>
      </x:c>
      <x:c r="J57" s="63" t="str">
        <x:f>IF($A57="","",INDEX('Planejamento de Viagens'!$N$6:$N$205,MATCH($A57,'Planejamento de Viagens'!$A$6:$A$205,0)))</x:f>
      </x:c>
      <x:c r="K57" s="63" t="str">
        <x:f>IF($A57="","",IFERROR($J57/$F57,0))</x:f>
      </x:c>
      <x:c r="L57" s="63" t="str">
        <x:f>IF($A57="","",$J57/2)</x:f>
      </x:c>
      <x:c r="M57" s="63" t="str">
        <x:f>IF($A57="","",INDEX('Planejamento de Viagens'!$O$6:$O$205,MATCH($A57,'Planejamento de Viagens'!$A$6:$A$205,0)))</x:f>
      </x:c>
      <x:c r="N57" s="61" t="str">
        <x:f>IF($A57="","",COUNTIF($J$6:$J$205,"&gt;"&amp;$J57)+1)</x:f>
      </x:c>
    </x:row>
    <x:row r="58">
      <x:c r="A58" s="36"/>
      <x:c r="B58" s="67" t="str">
        <x:f>IF($A58="","",IFERROR(INDEX('Planejamento de Viagens'!$B$6:$B$205,MATCH($A58,'Planejamento de Viagens'!$A$6:$A$205,0)),""))</x:f>
      </x:c>
      <x:c r="C58" s="67" t="str">
        <x:f>IF($A58="","",IFERROR(INDEX('Planejamento de Viagens'!$C$6:$C$205,MATCH($A58,'Planejamento de Viagens'!$A$6:$A$205,0)),""))</x:f>
      </x:c>
      <x:c r="D58" s="67" t="str">
        <x:f>IF($A58="","",IFERROR(INDEX('Planejamento de Viagens'!$F$6:$F$205,MATCH($A58,'Planejamento de Viagens'!$A$6:$A$205,0)),""))</x:f>
      </x:c>
      <x:c r="E58" s="67" t="str">
        <x:f>IF($A58="","",IFERROR(INDEX('Planejamento de Viagens'!$G$6:$G$205,MATCH($A58,'Planejamento de Viagens'!$A$6:$A$205,0)),""))</x:f>
      </x:c>
      <x:c r="F58" s="61" t="str">
        <x:f>IF($A58="","",IFERROR(INDEX('Planejamento de Viagens'!$J$6:$J$205,MATCH($A58,'Planejamento de Viagens'!$A$6:$A$205,0)),0))</x:f>
      </x:c>
      <x:c r="G58" s="67" t="str">
        <x:f>IF($A58="","",IFERROR(INDEX('Planejamento de Viagens'!$K$6:$K$205,MATCH($A58,'Planejamento de Viagens'!$A$6:$A$205,0)),""))</x:f>
      </x:c>
      <x:c r="H58" s="67" t="str">
        <x:f>IF($A58="","",TEXT(INDEX('Planejamento de Viagens'!$H$6:$H$205,MATCH($A58,'Planejamento de Viagens'!$A$6:$A$205,0)),"mmm/yyyy"))</x:f>
      </x:c>
      <x:c r="I58" s="67" t="str">
        <x:f>IF($A58="","",2026)</x:f>
      </x:c>
      <x:c r="J58" s="63" t="str">
        <x:f>IF($A58="","",INDEX('Planejamento de Viagens'!$N$6:$N$205,MATCH($A58,'Planejamento de Viagens'!$A$6:$A$205,0)))</x:f>
      </x:c>
      <x:c r="K58" s="63" t="str">
        <x:f>IF($A58="","",IFERROR($J58/$F58,0))</x:f>
      </x:c>
      <x:c r="L58" s="63" t="str">
        <x:f>IF($A58="","",$J58/2)</x:f>
      </x:c>
      <x:c r="M58" s="63" t="str">
        <x:f>IF($A58="","",INDEX('Planejamento de Viagens'!$O$6:$O$205,MATCH($A58,'Planejamento de Viagens'!$A$6:$A$205,0)))</x:f>
      </x:c>
      <x:c r="N58" s="61" t="str">
        <x:f>IF($A58="","",COUNTIF($J$6:$J$205,"&gt;"&amp;$J58)+1)</x:f>
      </x:c>
    </x:row>
    <x:row r="59">
      <x:c r="A59" s="36"/>
      <x:c r="B59" s="67" t="str">
        <x:f>IF($A59="","",IFERROR(INDEX('Planejamento de Viagens'!$B$6:$B$205,MATCH($A59,'Planejamento de Viagens'!$A$6:$A$205,0)),""))</x:f>
      </x:c>
      <x:c r="C59" s="67" t="str">
        <x:f>IF($A59="","",IFERROR(INDEX('Planejamento de Viagens'!$C$6:$C$205,MATCH($A59,'Planejamento de Viagens'!$A$6:$A$205,0)),""))</x:f>
      </x:c>
      <x:c r="D59" s="67" t="str">
        <x:f>IF($A59="","",IFERROR(INDEX('Planejamento de Viagens'!$F$6:$F$205,MATCH($A59,'Planejamento de Viagens'!$A$6:$A$205,0)),""))</x:f>
      </x:c>
      <x:c r="E59" s="67" t="str">
        <x:f>IF($A59="","",IFERROR(INDEX('Planejamento de Viagens'!$G$6:$G$205,MATCH($A59,'Planejamento de Viagens'!$A$6:$A$205,0)),""))</x:f>
      </x:c>
      <x:c r="F59" s="61" t="str">
        <x:f>IF($A59="","",IFERROR(INDEX('Planejamento de Viagens'!$J$6:$J$205,MATCH($A59,'Planejamento de Viagens'!$A$6:$A$205,0)),0))</x:f>
      </x:c>
      <x:c r="G59" s="67" t="str">
        <x:f>IF($A59="","",IFERROR(INDEX('Planejamento de Viagens'!$K$6:$K$205,MATCH($A59,'Planejamento de Viagens'!$A$6:$A$205,0)),""))</x:f>
      </x:c>
      <x:c r="H59" s="67" t="str">
        <x:f>IF($A59="","",TEXT(INDEX('Planejamento de Viagens'!$H$6:$H$205,MATCH($A59,'Planejamento de Viagens'!$A$6:$A$205,0)),"mmm/yyyy"))</x:f>
      </x:c>
      <x:c r="I59" s="67" t="str">
        <x:f>IF($A59="","",2026)</x:f>
      </x:c>
      <x:c r="J59" s="63" t="str">
        <x:f>IF($A59="","",INDEX('Planejamento de Viagens'!$N$6:$N$205,MATCH($A59,'Planejamento de Viagens'!$A$6:$A$205,0)))</x:f>
      </x:c>
      <x:c r="K59" s="63" t="str">
        <x:f>IF($A59="","",IFERROR($J59/$F59,0))</x:f>
      </x:c>
      <x:c r="L59" s="63" t="str">
        <x:f>IF($A59="","",$J59/2)</x:f>
      </x:c>
      <x:c r="M59" s="63" t="str">
        <x:f>IF($A59="","",INDEX('Planejamento de Viagens'!$O$6:$O$205,MATCH($A59,'Planejamento de Viagens'!$A$6:$A$205,0)))</x:f>
      </x:c>
      <x:c r="N59" s="61" t="str">
        <x:f>IF($A59="","",COUNTIF($J$6:$J$205,"&gt;"&amp;$J59)+1)</x:f>
      </x:c>
    </x:row>
    <x:row r="60">
      <x:c r="A60" s="36"/>
      <x:c r="B60" s="67" t="str">
        <x:f>IF($A60="","",IFERROR(INDEX('Planejamento de Viagens'!$B$6:$B$205,MATCH($A60,'Planejamento de Viagens'!$A$6:$A$205,0)),""))</x:f>
      </x:c>
      <x:c r="C60" s="67" t="str">
        <x:f>IF($A60="","",IFERROR(INDEX('Planejamento de Viagens'!$C$6:$C$205,MATCH($A60,'Planejamento de Viagens'!$A$6:$A$205,0)),""))</x:f>
      </x:c>
      <x:c r="D60" s="67" t="str">
        <x:f>IF($A60="","",IFERROR(INDEX('Planejamento de Viagens'!$F$6:$F$205,MATCH($A60,'Planejamento de Viagens'!$A$6:$A$205,0)),""))</x:f>
      </x:c>
      <x:c r="E60" s="67" t="str">
        <x:f>IF($A60="","",IFERROR(INDEX('Planejamento de Viagens'!$G$6:$G$205,MATCH($A60,'Planejamento de Viagens'!$A$6:$A$205,0)),""))</x:f>
      </x:c>
      <x:c r="F60" s="61" t="str">
        <x:f>IF($A60="","",IFERROR(INDEX('Planejamento de Viagens'!$J$6:$J$205,MATCH($A60,'Planejamento de Viagens'!$A$6:$A$205,0)),0))</x:f>
      </x:c>
      <x:c r="G60" s="67" t="str">
        <x:f>IF($A60="","",IFERROR(INDEX('Planejamento de Viagens'!$K$6:$K$205,MATCH($A60,'Planejamento de Viagens'!$A$6:$A$205,0)),""))</x:f>
      </x:c>
      <x:c r="H60" s="67" t="str">
        <x:f>IF($A60="","",TEXT(INDEX('Planejamento de Viagens'!$H$6:$H$205,MATCH($A60,'Planejamento de Viagens'!$A$6:$A$205,0)),"mmm/yyyy"))</x:f>
      </x:c>
      <x:c r="I60" s="67" t="str">
        <x:f>IF($A60="","",2026)</x:f>
      </x:c>
      <x:c r="J60" s="63" t="str">
        <x:f>IF($A60="","",INDEX('Planejamento de Viagens'!$N$6:$N$205,MATCH($A60,'Planejamento de Viagens'!$A$6:$A$205,0)))</x:f>
      </x:c>
      <x:c r="K60" s="63" t="str">
        <x:f>IF($A60="","",IFERROR($J60/$F60,0))</x:f>
      </x:c>
      <x:c r="L60" s="63" t="str">
        <x:f>IF($A60="","",$J60/2)</x:f>
      </x:c>
      <x:c r="M60" s="63" t="str">
        <x:f>IF($A60="","",INDEX('Planejamento de Viagens'!$O$6:$O$205,MATCH($A60,'Planejamento de Viagens'!$A$6:$A$205,0)))</x:f>
      </x:c>
      <x:c r="N60" s="61" t="str">
        <x:f>IF($A60="","",COUNTIF($J$6:$J$205,"&gt;"&amp;$J60)+1)</x:f>
      </x:c>
    </x:row>
    <x:row r="61">
      <x:c r="A61" s="36"/>
      <x:c r="B61" s="67" t="str">
        <x:f>IF($A61="","",IFERROR(INDEX('Planejamento de Viagens'!$B$6:$B$205,MATCH($A61,'Planejamento de Viagens'!$A$6:$A$205,0)),""))</x:f>
      </x:c>
      <x:c r="C61" s="67" t="str">
        <x:f>IF($A61="","",IFERROR(INDEX('Planejamento de Viagens'!$C$6:$C$205,MATCH($A61,'Planejamento de Viagens'!$A$6:$A$205,0)),""))</x:f>
      </x:c>
      <x:c r="D61" s="67" t="str">
        <x:f>IF($A61="","",IFERROR(INDEX('Planejamento de Viagens'!$F$6:$F$205,MATCH($A61,'Planejamento de Viagens'!$A$6:$A$205,0)),""))</x:f>
      </x:c>
      <x:c r="E61" s="67" t="str">
        <x:f>IF($A61="","",IFERROR(INDEX('Planejamento de Viagens'!$G$6:$G$205,MATCH($A61,'Planejamento de Viagens'!$A$6:$A$205,0)),""))</x:f>
      </x:c>
      <x:c r="F61" s="61" t="str">
        <x:f>IF($A61="","",IFERROR(INDEX('Planejamento de Viagens'!$J$6:$J$205,MATCH($A61,'Planejamento de Viagens'!$A$6:$A$205,0)),0))</x:f>
      </x:c>
      <x:c r="G61" s="67" t="str">
        <x:f>IF($A61="","",IFERROR(INDEX('Planejamento de Viagens'!$K$6:$K$205,MATCH($A61,'Planejamento de Viagens'!$A$6:$A$205,0)),""))</x:f>
      </x:c>
      <x:c r="H61" s="67" t="str">
        <x:f>IF($A61="","",TEXT(INDEX('Planejamento de Viagens'!$H$6:$H$205,MATCH($A61,'Planejamento de Viagens'!$A$6:$A$205,0)),"mmm/yyyy"))</x:f>
      </x:c>
      <x:c r="I61" s="67" t="str">
        <x:f>IF($A61="","",2026)</x:f>
      </x:c>
      <x:c r="J61" s="63" t="str">
        <x:f>IF($A61="","",INDEX('Planejamento de Viagens'!$N$6:$N$205,MATCH($A61,'Planejamento de Viagens'!$A$6:$A$205,0)))</x:f>
      </x:c>
      <x:c r="K61" s="63" t="str">
        <x:f>IF($A61="","",IFERROR($J61/$F61,0))</x:f>
      </x:c>
      <x:c r="L61" s="63" t="str">
        <x:f>IF($A61="","",$J61/2)</x:f>
      </x:c>
      <x:c r="M61" s="63" t="str">
        <x:f>IF($A61="","",INDEX('Planejamento de Viagens'!$O$6:$O$205,MATCH($A61,'Planejamento de Viagens'!$A$6:$A$205,0)))</x:f>
      </x:c>
      <x:c r="N61" s="61" t="str">
        <x:f>IF($A61="","",COUNTIF($J$6:$J$205,"&gt;"&amp;$J61)+1)</x:f>
      </x:c>
    </x:row>
    <x:row r="62">
      <x:c r="A62" s="36"/>
      <x:c r="B62" s="67" t="str">
        <x:f>IF($A62="","",IFERROR(INDEX('Planejamento de Viagens'!$B$6:$B$205,MATCH($A62,'Planejamento de Viagens'!$A$6:$A$205,0)),""))</x:f>
      </x:c>
      <x:c r="C62" s="67" t="str">
        <x:f>IF($A62="","",IFERROR(INDEX('Planejamento de Viagens'!$C$6:$C$205,MATCH($A62,'Planejamento de Viagens'!$A$6:$A$205,0)),""))</x:f>
      </x:c>
      <x:c r="D62" s="67" t="str">
        <x:f>IF($A62="","",IFERROR(INDEX('Planejamento de Viagens'!$F$6:$F$205,MATCH($A62,'Planejamento de Viagens'!$A$6:$A$205,0)),""))</x:f>
      </x:c>
      <x:c r="E62" s="67" t="str">
        <x:f>IF($A62="","",IFERROR(INDEX('Planejamento de Viagens'!$G$6:$G$205,MATCH($A62,'Planejamento de Viagens'!$A$6:$A$205,0)),""))</x:f>
      </x:c>
      <x:c r="F62" s="61" t="str">
        <x:f>IF($A62="","",IFERROR(INDEX('Planejamento de Viagens'!$J$6:$J$205,MATCH($A62,'Planejamento de Viagens'!$A$6:$A$205,0)),0))</x:f>
      </x:c>
      <x:c r="G62" s="67" t="str">
        <x:f>IF($A62="","",IFERROR(INDEX('Planejamento de Viagens'!$K$6:$K$205,MATCH($A62,'Planejamento de Viagens'!$A$6:$A$205,0)),""))</x:f>
      </x:c>
      <x:c r="H62" s="67" t="str">
        <x:f>IF($A62="","",TEXT(INDEX('Planejamento de Viagens'!$H$6:$H$205,MATCH($A62,'Planejamento de Viagens'!$A$6:$A$205,0)),"mmm/yyyy"))</x:f>
      </x:c>
      <x:c r="I62" s="67" t="str">
        <x:f>IF($A62="","",2026)</x:f>
      </x:c>
      <x:c r="J62" s="63" t="str">
        <x:f>IF($A62="","",INDEX('Planejamento de Viagens'!$N$6:$N$205,MATCH($A62,'Planejamento de Viagens'!$A$6:$A$205,0)))</x:f>
      </x:c>
      <x:c r="K62" s="63" t="str">
        <x:f>IF($A62="","",IFERROR($J62/$F62,0))</x:f>
      </x:c>
      <x:c r="L62" s="63" t="str">
        <x:f>IF($A62="","",$J62/2)</x:f>
      </x:c>
      <x:c r="M62" s="63" t="str">
        <x:f>IF($A62="","",INDEX('Planejamento de Viagens'!$O$6:$O$205,MATCH($A62,'Planejamento de Viagens'!$A$6:$A$205,0)))</x:f>
      </x:c>
      <x:c r="N62" s="61" t="str">
        <x:f>IF($A62="","",COUNTIF($J$6:$J$205,"&gt;"&amp;$J62)+1)</x:f>
      </x:c>
    </x:row>
    <x:row r="63">
      <x:c r="A63" s="36"/>
      <x:c r="B63" s="67" t="str">
        <x:f>IF($A63="","",IFERROR(INDEX('Planejamento de Viagens'!$B$6:$B$205,MATCH($A63,'Planejamento de Viagens'!$A$6:$A$205,0)),""))</x:f>
      </x:c>
      <x:c r="C63" s="67" t="str">
        <x:f>IF($A63="","",IFERROR(INDEX('Planejamento de Viagens'!$C$6:$C$205,MATCH($A63,'Planejamento de Viagens'!$A$6:$A$205,0)),""))</x:f>
      </x:c>
      <x:c r="D63" s="67" t="str">
        <x:f>IF($A63="","",IFERROR(INDEX('Planejamento de Viagens'!$F$6:$F$205,MATCH($A63,'Planejamento de Viagens'!$A$6:$A$205,0)),""))</x:f>
      </x:c>
      <x:c r="E63" s="67" t="str">
        <x:f>IF($A63="","",IFERROR(INDEX('Planejamento de Viagens'!$G$6:$G$205,MATCH($A63,'Planejamento de Viagens'!$A$6:$A$205,0)),""))</x:f>
      </x:c>
      <x:c r="F63" s="61" t="str">
        <x:f>IF($A63="","",IFERROR(INDEX('Planejamento de Viagens'!$J$6:$J$205,MATCH($A63,'Planejamento de Viagens'!$A$6:$A$205,0)),0))</x:f>
      </x:c>
      <x:c r="G63" s="67" t="str">
        <x:f>IF($A63="","",IFERROR(INDEX('Planejamento de Viagens'!$K$6:$K$205,MATCH($A63,'Planejamento de Viagens'!$A$6:$A$205,0)),""))</x:f>
      </x:c>
      <x:c r="H63" s="67" t="str">
        <x:f>IF($A63="","",TEXT(INDEX('Planejamento de Viagens'!$H$6:$H$205,MATCH($A63,'Planejamento de Viagens'!$A$6:$A$205,0)),"mmm/yyyy"))</x:f>
      </x:c>
      <x:c r="I63" s="67" t="str">
        <x:f>IF($A63="","",2026)</x:f>
      </x:c>
      <x:c r="J63" s="63" t="str">
        <x:f>IF($A63="","",INDEX('Planejamento de Viagens'!$N$6:$N$205,MATCH($A63,'Planejamento de Viagens'!$A$6:$A$205,0)))</x:f>
      </x:c>
      <x:c r="K63" s="63" t="str">
        <x:f>IF($A63="","",IFERROR($J63/$F63,0))</x:f>
      </x:c>
      <x:c r="L63" s="63" t="str">
        <x:f>IF($A63="","",$J63/2)</x:f>
      </x:c>
      <x:c r="M63" s="63" t="str">
        <x:f>IF($A63="","",INDEX('Planejamento de Viagens'!$O$6:$O$205,MATCH($A63,'Planejamento de Viagens'!$A$6:$A$205,0)))</x:f>
      </x:c>
      <x:c r="N63" s="61" t="str">
        <x:f>IF($A63="","",COUNTIF($J$6:$J$205,"&gt;"&amp;$J63)+1)</x:f>
      </x:c>
    </x:row>
    <x:row r="64">
      <x:c r="A64" s="36"/>
      <x:c r="B64" s="67" t="str">
        <x:f>IF($A64="","",IFERROR(INDEX('Planejamento de Viagens'!$B$6:$B$205,MATCH($A64,'Planejamento de Viagens'!$A$6:$A$205,0)),""))</x:f>
      </x:c>
      <x:c r="C64" s="67" t="str">
        <x:f>IF($A64="","",IFERROR(INDEX('Planejamento de Viagens'!$C$6:$C$205,MATCH($A64,'Planejamento de Viagens'!$A$6:$A$205,0)),""))</x:f>
      </x:c>
      <x:c r="D64" s="67" t="str">
        <x:f>IF($A64="","",IFERROR(INDEX('Planejamento de Viagens'!$F$6:$F$205,MATCH($A64,'Planejamento de Viagens'!$A$6:$A$205,0)),""))</x:f>
      </x:c>
      <x:c r="E64" s="67" t="str">
        <x:f>IF($A64="","",IFERROR(INDEX('Planejamento de Viagens'!$G$6:$G$205,MATCH($A64,'Planejamento de Viagens'!$A$6:$A$205,0)),""))</x:f>
      </x:c>
      <x:c r="F64" s="61" t="str">
        <x:f>IF($A64="","",IFERROR(INDEX('Planejamento de Viagens'!$J$6:$J$205,MATCH($A64,'Planejamento de Viagens'!$A$6:$A$205,0)),0))</x:f>
      </x:c>
      <x:c r="G64" s="67" t="str">
        <x:f>IF($A64="","",IFERROR(INDEX('Planejamento de Viagens'!$K$6:$K$205,MATCH($A64,'Planejamento de Viagens'!$A$6:$A$205,0)),""))</x:f>
      </x:c>
      <x:c r="H64" s="67" t="str">
        <x:f>IF($A64="","",TEXT(INDEX('Planejamento de Viagens'!$H$6:$H$205,MATCH($A64,'Planejamento de Viagens'!$A$6:$A$205,0)),"mmm/yyyy"))</x:f>
      </x:c>
      <x:c r="I64" s="67" t="str">
        <x:f>IF($A64="","",2026)</x:f>
      </x:c>
      <x:c r="J64" s="63" t="str">
        <x:f>IF($A64="","",INDEX('Planejamento de Viagens'!$N$6:$N$205,MATCH($A64,'Planejamento de Viagens'!$A$6:$A$205,0)))</x:f>
      </x:c>
      <x:c r="K64" s="63" t="str">
        <x:f>IF($A64="","",IFERROR($J64/$F64,0))</x:f>
      </x:c>
      <x:c r="L64" s="63" t="str">
        <x:f>IF($A64="","",$J64/2)</x:f>
      </x:c>
      <x:c r="M64" s="63" t="str">
        <x:f>IF($A64="","",INDEX('Planejamento de Viagens'!$O$6:$O$205,MATCH($A64,'Planejamento de Viagens'!$A$6:$A$205,0)))</x:f>
      </x:c>
      <x:c r="N64" s="61" t="str">
        <x:f>IF($A64="","",COUNTIF($J$6:$J$205,"&gt;"&amp;$J64)+1)</x:f>
      </x:c>
    </x:row>
    <x:row r="65">
      <x:c r="A65" s="36"/>
      <x:c r="B65" s="67" t="str">
        <x:f>IF($A65="","",IFERROR(INDEX('Planejamento de Viagens'!$B$6:$B$205,MATCH($A65,'Planejamento de Viagens'!$A$6:$A$205,0)),""))</x:f>
      </x:c>
      <x:c r="C65" s="67" t="str">
        <x:f>IF($A65="","",IFERROR(INDEX('Planejamento de Viagens'!$C$6:$C$205,MATCH($A65,'Planejamento de Viagens'!$A$6:$A$205,0)),""))</x:f>
      </x:c>
      <x:c r="D65" s="67" t="str">
        <x:f>IF($A65="","",IFERROR(INDEX('Planejamento de Viagens'!$F$6:$F$205,MATCH($A65,'Planejamento de Viagens'!$A$6:$A$205,0)),""))</x:f>
      </x:c>
      <x:c r="E65" s="67" t="str">
        <x:f>IF($A65="","",IFERROR(INDEX('Planejamento de Viagens'!$G$6:$G$205,MATCH($A65,'Planejamento de Viagens'!$A$6:$A$205,0)),""))</x:f>
      </x:c>
      <x:c r="F65" s="61" t="str">
        <x:f>IF($A65="","",IFERROR(INDEX('Planejamento de Viagens'!$J$6:$J$205,MATCH($A65,'Planejamento de Viagens'!$A$6:$A$205,0)),0))</x:f>
      </x:c>
      <x:c r="G65" s="67" t="str">
        <x:f>IF($A65="","",IFERROR(INDEX('Planejamento de Viagens'!$K$6:$K$205,MATCH($A65,'Planejamento de Viagens'!$A$6:$A$205,0)),""))</x:f>
      </x:c>
      <x:c r="H65" s="67" t="str">
        <x:f>IF($A65="","",TEXT(INDEX('Planejamento de Viagens'!$H$6:$H$205,MATCH($A65,'Planejamento de Viagens'!$A$6:$A$205,0)),"mmm/yyyy"))</x:f>
      </x:c>
      <x:c r="I65" s="67" t="str">
        <x:f>IF($A65="","",2026)</x:f>
      </x:c>
      <x:c r="J65" s="63" t="str">
        <x:f>IF($A65="","",INDEX('Planejamento de Viagens'!$N$6:$N$205,MATCH($A65,'Planejamento de Viagens'!$A$6:$A$205,0)))</x:f>
      </x:c>
      <x:c r="K65" s="63" t="str">
        <x:f>IF($A65="","",IFERROR($J65/$F65,0))</x:f>
      </x:c>
      <x:c r="L65" s="63" t="str">
        <x:f>IF($A65="","",$J65/2)</x:f>
      </x:c>
      <x:c r="M65" s="63" t="str">
        <x:f>IF($A65="","",INDEX('Planejamento de Viagens'!$O$6:$O$205,MATCH($A65,'Planejamento de Viagens'!$A$6:$A$205,0)))</x:f>
      </x:c>
      <x:c r="N65" s="61" t="str">
        <x:f>IF($A65="","",COUNTIF($J$6:$J$205,"&gt;"&amp;$J65)+1)</x:f>
      </x:c>
    </x:row>
    <x:row r="66">
      <x:c r="A66" s="36"/>
      <x:c r="B66" s="67" t="str">
        <x:f>IF($A66="","",IFERROR(INDEX('Planejamento de Viagens'!$B$6:$B$205,MATCH($A66,'Planejamento de Viagens'!$A$6:$A$205,0)),""))</x:f>
      </x:c>
      <x:c r="C66" s="67" t="str">
        <x:f>IF($A66="","",IFERROR(INDEX('Planejamento de Viagens'!$C$6:$C$205,MATCH($A66,'Planejamento de Viagens'!$A$6:$A$205,0)),""))</x:f>
      </x:c>
      <x:c r="D66" s="67" t="str">
        <x:f>IF($A66="","",IFERROR(INDEX('Planejamento de Viagens'!$F$6:$F$205,MATCH($A66,'Planejamento de Viagens'!$A$6:$A$205,0)),""))</x:f>
      </x:c>
      <x:c r="E66" s="67" t="str">
        <x:f>IF($A66="","",IFERROR(INDEX('Planejamento de Viagens'!$G$6:$G$205,MATCH($A66,'Planejamento de Viagens'!$A$6:$A$205,0)),""))</x:f>
      </x:c>
      <x:c r="F66" s="61" t="str">
        <x:f>IF($A66="","",IFERROR(INDEX('Planejamento de Viagens'!$J$6:$J$205,MATCH($A66,'Planejamento de Viagens'!$A$6:$A$205,0)),0))</x:f>
      </x:c>
      <x:c r="G66" s="67" t="str">
        <x:f>IF($A66="","",IFERROR(INDEX('Planejamento de Viagens'!$K$6:$K$205,MATCH($A66,'Planejamento de Viagens'!$A$6:$A$205,0)),""))</x:f>
      </x:c>
      <x:c r="H66" s="67" t="str">
        <x:f>IF($A66="","",TEXT(INDEX('Planejamento de Viagens'!$H$6:$H$205,MATCH($A66,'Planejamento de Viagens'!$A$6:$A$205,0)),"mmm/yyyy"))</x:f>
      </x:c>
      <x:c r="I66" s="67" t="str">
        <x:f>IF($A66="","",2026)</x:f>
      </x:c>
      <x:c r="J66" s="63" t="str">
        <x:f>IF($A66="","",INDEX('Planejamento de Viagens'!$N$6:$N$205,MATCH($A66,'Planejamento de Viagens'!$A$6:$A$205,0)))</x:f>
      </x:c>
      <x:c r="K66" s="63" t="str">
        <x:f>IF($A66="","",IFERROR($J66/$F66,0))</x:f>
      </x:c>
      <x:c r="L66" s="63" t="str">
        <x:f>IF($A66="","",$J66/2)</x:f>
      </x:c>
      <x:c r="M66" s="63" t="str">
        <x:f>IF($A66="","",INDEX('Planejamento de Viagens'!$O$6:$O$205,MATCH($A66,'Planejamento de Viagens'!$A$6:$A$205,0)))</x:f>
      </x:c>
      <x:c r="N66" s="61" t="str">
        <x:f>IF($A66="","",COUNTIF($J$6:$J$205,"&gt;"&amp;$J66)+1)</x:f>
      </x:c>
    </x:row>
    <x:row r="67">
      <x:c r="A67" s="36"/>
      <x:c r="B67" s="67" t="str">
        <x:f>IF($A67="","",IFERROR(INDEX('Planejamento de Viagens'!$B$6:$B$205,MATCH($A67,'Planejamento de Viagens'!$A$6:$A$205,0)),""))</x:f>
      </x:c>
      <x:c r="C67" s="67" t="str">
        <x:f>IF($A67="","",IFERROR(INDEX('Planejamento de Viagens'!$C$6:$C$205,MATCH($A67,'Planejamento de Viagens'!$A$6:$A$205,0)),""))</x:f>
      </x:c>
      <x:c r="D67" s="67" t="str">
        <x:f>IF($A67="","",IFERROR(INDEX('Planejamento de Viagens'!$F$6:$F$205,MATCH($A67,'Planejamento de Viagens'!$A$6:$A$205,0)),""))</x:f>
      </x:c>
      <x:c r="E67" s="67" t="str">
        <x:f>IF($A67="","",IFERROR(INDEX('Planejamento de Viagens'!$G$6:$G$205,MATCH($A67,'Planejamento de Viagens'!$A$6:$A$205,0)),""))</x:f>
      </x:c>
      <x:c r="F67" s="61" t="str">
        <x:f>IF($A67="","",IFERROR(INDEX('Planejamento de Viagens'!$J$6:$J$205,MATCH($A67,'Planejamento de Viagens'!$A$6:$A$205,0)),0))</x:f>
      </x:c>
      <x:c r="G67" s="67" t="str">
        <x:f>IF($A67="","",IFERROR(INDEX('Planejamento de Viagens'!$K$6:$K$205,MATCH($A67,'Planejamento de Viagens'!$A$6:$A$205,0)),""))</x:f>
      </x:c>
      <x:c r="H67" s="67" t="str">
        <x:f>IF($A67="","",TEXT(INDEX('Planejamento de Viagens'!$H$6:$H$205,MATCH($A67,'Planejamento de Viagens'!$A$6:$A$205,0)),"mmm/yyyy"))</x:f>
      </x:c>
      <x:c r="I67" s="67" t="str">
        <x:f>IF($A67="","",2026)</x:f>
      </x:c>
      <x:c r="J67" s="63" t="str">
        <x:f>IF($A67="","",INDEX('Planejamento de Viagens'!$N$6:$N$205,MATCH($A67,'Planejamento de Viagens'!$A$6:$A$205,0)))</x:f>
      </x:c>
      <x:c r="K67" s="63" t="str">
        <x:f>IF($A67="","",IFERROR($J67/$F67,0))</x:f>
      </x:c>
      <x:c r="L67" s="63" t="str">
        <x:f>IF($A67="","",$J67/2)</x:f>
      </x:c>
      <x:c r="M67" s="63" t="str">
        <x:f>IF($A67="","",INDEX('Planejamento de Viagens'!$O$6:$O$205,MATCH($A67,'Planejamento de Viagens'!$A$6:$A$205,0)))</x:f>
      </x:c>
      <x:c r="N67" s="61" t="str">
        <x:f>IF($A67="","",COUNTIF($J$6:$J$205,"&gt;"&amp;$J67)+1)</x:f>
      </x:c>
    </x:row>
    <x:row r="68">
      <x:c r="A68" s="36"/>
      <x:c r="B68" s="67" t="str">
        <x:f>IF($A68="","",IFERROR(INDEX('Planejamento de Viagens'!$B$6:$B$205,MATCH($A68,'Planejamento de Viagens'!$A$6:$A$205,0)),""))</x:f>
      </x:c>
      <x:c r="C68" s="67" t="str">
        <x:f>IF($A68="","",IFERROR(INDEX('Planejamento de Viagens'!$C$6:$C$205,MATCH($A68,'Planejamento de Viagens'!$A$6:$A$205,0)),""))</x:f>
      </x:c>
      <x:c r="D68" s="67" t="str">
        <x:f>IF($A68="","",IFERROR(INDEX('Planejamento de Viagens'!$F$6:$F$205,MATCH($A68,'Planejamento de Viagens'!$A$6:$A$205,0)),""))</x:f>
      </x:c>
      <x:c r="E68" s="67" t="str">
        <x:f>IF($A68="","",IFERROR(INDEX('Planejamento de Viagens'!$G$6:$G$205,MATCH($A68,'Planejamento de Viagens'!$A$6:$A$205,0)),""))</x:f>
      </x:c>
      <x:c r="F68" s="61" t="str">
        <x:f>IF($A68="","",IFERROR(INDEX('Planejamento de Viagens'!$J$6:$J$205,MATCH($A68,'Planejamento de Viagens'!$A$6:$A$205,0)),0))</x:f>
      </x:c>
      <x:c r="G68" s="67" t="str">
        <x:f>IF($A68="","",IFERROR(INDEX('Planejamento de Viagens'!$K$6:$K$205,MATCH($A68,'Planejamento de Viagens'!$A$6:$A$205,0)),""))</x:f>
      </x:c>
      <x:c r="H68" s="67" t="str">
        <x:f>IF($A68="","",TEXT(INDEX('Planejamento de Viagens'!$H$6:$H$205,MATCH($A68,'Planejamento de Viagens'!$A$6:$A$205,0)),"mmm/yyyy"))</x:f>
      </x:c>
      <x:c r="I68" s="67" t="str">
        <x:f>IF($A68="","",2026)</x:f>
      </x:c>
      <x:c r="J68" s="63" t="str">
        <x:f>IF($A68="","",INDEX('Planejamento de Viagens'!$N$6:$N$205,MATCH($A68,'Planejamento de Viagens'!$A$6:$A$205,0)))</x:f>
      </x:c>
      <x:c r="K68" s="63" t="str">
        <x:f>IF($A68="","",IFERROR($J68/$F68,0))</x:f>
      </x:c>
      <x:c r="L68" s="63" t="str">
        <x:f>IF($A68="","",$J68/2)</x:f>
      </x:c>
      <x:c r="M68" s="63" t="str">
        <x:f>IF($A68="","",INDEX('Planejamento de Viagens'!$O$6:$O$205,MATCH($A68,'Planejamento de Viagens'!$A$6:$A$205,0)))</x:f>
      </x:c>
      <x:c r="N68" s="61" t="str">
        <x:f>IF($A68="","",COUNTIF($J$6:$J$205,"&gt;"&amp;$J68)+1)</x:f>
      </x:c>
    </x:row>
    <x:row r="69">
      <x:c r="A69" s="36"/>
      <x:c r="B69" s="67" t="str">
        <x:f>IF($A69="","",IFERROR(INDEX('Planejamento de Viagens'!$B$6:$B$205,MATCH($A69,'Planejamento de Viagens'!$A$6:$A$205,0)),""))</x:f>
      </x:c>
      <x:c r="C69" s="67" t="str">
        <x:f>IF($A69="","",IFERROR(INDEX('Planejamento de Viagens'!$C$6:$C$205,MATCH($A69,'Planejamento de Viagens'!$A$6:$A$205,0)),""))</x:f>
      </x:c>
      <x:c r="D69" s="67" t="str">
        <x:f>IF($A69="","",IFERROR(INDEX('Planejamento de Viagens'!$F$6:$F$205,MATCH($A69,'Planejamento de Viagens'!$A$6:$A$205,0)),""))</x:f>
      </x:c>
      <x:c r="E69" s="67" t="str">
        <x:f>IF($A69="","",IFERROR(INDEX('Planejamento de Viagens'!$G$6:$G$205,MATCH($A69,'Planejamento de Viagens'!$A$6:$A$205,0)),""))</x:f>
      </x:c>
      <x:c r="F69" s="61" t="str">
        <x:f>IF($A69="","",IFERROR(INDEX('Planejamento de Viagens'!$J$6:$J$205,MATCH($A69,'Planejamento de Viagens'!$A$6:$A$205,0)),0))</x:f>
      </x:c>
      <x:c r="G69" s="67" t="str">
        <x:f>IF($A69="","",IFERROR(INDEX('Planejamento de Viagens'!$K$6:$K$205,MATCH($A69,'Planejamento de Viagens'!$A$6:$A$205,0)),""))</x:f>
      </x:c>
      <x:c r="H69" s="67" t="str">
        <x:f>IF($A69="","",TEXT(INDEX('Planejamento de Viagens'!$H$6:$H$205,MATCH($A69,'Planejamento de Viagens'!$A$6:$A$205,0)),"mmm/yyyy"))</x:f>
      </x:c>
      <x:c r="I69" s="67" t="str">
        <x:f>IF($A69="","",2026)</x:f>
      </x:c>
      <x:c r="J69" s="63" t="str">
        <x:f>IF($A69="","",INDEX('Planejamento de Viagens'!$N$6:$N$205,MATCH($A69,'Planejamento de Viagens'!$A$6:$A$205,0)))</x:f>
      </x:c>
      <x:c r="K69" s="63" t="str">
        <x:f>IF($A69="","",IFERROR($J69/$F69,0))</x:f>
      </x:c>
      <x:c r="L69" s="63" t="str">
        <x:f>IF($A69="","",$J69/2)</x:f>
      </x:c>
      <x:c r="M69" s="63" t="str">
        <x:f>IF($A69="","",INDEX('Planejamento de Viagens'!$O$6:$O$205,MATCH($A69,'Planejamento de Viagens'!$A$6:$A$205,0)))</x:f>
      </x:c>
      <x:c r="N69" s="61" t="str">
        <x:f>IF($A69="","",COUNTIF($J$6:$J$205,"&gt;"&amp;$J69)+1)</x:f>
      </x:c>
    </x:row>
    <x:row r="70">
      <x:c r="A70" s="36"/>
      <x:c r="B70" s="67" t="str">
        <x:f>IF($A70="","",IFERROR(INDEX('Planejamento de Viagens'!$B$6:$B$205,MATCH($A70,'Planejamento de Viagens'!$A$6:$A$205,0)),""))</x:f>
      </x:c>
      <x:c r="C70" s="67" t="str">
        <x:f>IF($A70="","",IFERROR(INDEX('Planejamento de Viagens'!$C$6:$C$205,MATCH($A70,'Planejamento de Viagens'!$A$6:$A$205,0)),""))</x:f>
      </x:c>
      <x:c r="D70" s="67" t="str">
        <x:f>IF($A70="","",IFERROR(INDEX('Planejamento de Viagens'!$F$6:$F$205,MATCH($A70,'Planejamento de Viagens'!$A$6:$A$205,0)),""))</x:f>
      </x:c>
      <x:c r="E70" s="67" t="str">
        <x:f>IF($A70="","",IFERROR(INDEX('Planejamento de Viagens'!$G$6:$G$205,MATCH($A70,'Planejamento de Viagens'!$A$6:$A$205,0)),""))</x:f>
      </x:c>
      <x:c r="F70" s="61" t="str">
        <x:f>IF($A70="","",IFERROR(INDEX('Planejamento de Viagens'!$J$6:$J$205,MATCH($A70,'Planejamento de Viagens'!$A$6:$A$205,0)),0))</x:f>
      </x:c>
      <x:c r="G70" s="67" t="str">
        <x:f>IF($A70="","",IFERROR(INDEX('Planejamento de Viagens'!$K$6:$K$205,MATCH($A70,'Planejamento de Viagens'!$A$6:$A$205,0)),""))</x:f>
      </x:c>
      <x:c r="H70" s="67" t="str">
        <x:f>IF($A70="","",TEXT(INDEX('Planejamento de Viagens'!$H$6:$H$205,MATCH($A70,'Planejamento de Viagens'!$A$6:$A$205,0)),"mmm/yyyy"))</x:f>
      </x:c>
      <x:c r="I70" s="67" t="str">
        <x:f>IF($A70="","",2026)</x:f>
      </x:c>
      <x:c r="J70" s="63" t="str">
        <x:f>IF($A70="","",INDEX('Planejamento de Viagens'!$N$6:$N$205,MATCH($A70,'Planejamento de Viagens'!$A$6:$A$205,0)))</x:f>
      </x:c>
      <x:c r="K70" s="63" t="str">
        <x:f>IF($A70="","",IFERROR($J70/$F70,0))</x:f>
      </x:c>
      <x:c r="L70" s="63" t="str">
        <x:f>IF($A70="","",$J70/2)</x:f>
      </x:c>
      <x:c r="M70" s="63" t="str">
        <x:f>IF($A70="","",INDEX('Planejamento de Viagens'!$O$6:$O$205,MATCH($A70,'Planejamento de Viagens'!$A$6:$A$205,0)))</x:f>
      </x:c>
      <x:c r="N70" s="61" t="str">
        <x:f>IF($A70="","",COUNTIF($J$6:$J$205,"&gt;"&amp;$J70)+1)</x:f>
      </x:c>
    </x:row>
    <x:row r="71">
      <x:c r="A71" s="36"/>
      <x:c r="B71" s="67" t="str">
        <x:f>IF($A71="","",IFERROR(INDEX('Planejamento de Viagens'!$B$6:$B$205,MATCH($A71,'Planejamento de Viagens'!$A$6:$A$205,0)),""))</x:f>
      </x:c>
      <x:c r="C71" s="67" t="str">
        <x:f>IF($A71="","",IFERROR(INDEX('Planejamento de Viagens'!$C$6:$C$205,MATCH($A71,'Planejamento de Viagens'!$A$6:$A$205,0)),""))</x:f>
      </x:c>
      <x:c r="D71" s="67" t="str">
        <x:f>IF($A71="","",IFERROR(INDEX('Planejamento de Viagens'!$F$6:$F$205,MATCH($A71,'Planejamento de Viagens'!$A$6:$A$205,0)),""))</x:f>
      </x:c>
      <x:c r="E71" s="67" t="str">
        <x:f>IF($A71="","",IFERROR(INDEX('Planejamento de Viagens'!$G$6:$G$205,MATCH($A71,'Planejamento de Viagens'!$A$6:$A$205,0)),""))</x:f>
      </x:c>
      <x:c r="F71" s="61" t="str">
        <x:f>IF($A71="","",IFERROR(INDEX('Planejamento de Viagens'!$J$6:$J$205,MATCH($A71,'Planejamento de Viagens'!$A$6:$A$205,0)),0))</x:f>
      </x:c>
      <x:c r="G71" s="67" t="str">
        <x:f>IF($A71="","",IFERROR(INDEX('Planejamento de Viagens'!$K$6:$K$205,MATCH($A71,'Planejamento de Viagens'!$A$6:$A$205,0)),""))</x:f>
      </x:c>
      <x:c r="H71" s="67" t="str">
        <x:f>IF($A71="","",TEXT(INDEX('Planejamento de Viagens'!$H$6:$H$205,MATCH($A71,'Planejamento de Viagens'!$A$6:$A$205,0)),"mmm/yyyy"))</x:f>
      </x:c>
      <x:c r="I71" s="67" t="str">
        <x:f>IF($A71="","",2026)</x:f>
      </x:c>
      <x:c r="J71" s="63" t="str">
        <x:f>IF($A71="","",INDEX('Planejamento de Viagens'!$N$6:$N$205,MATCH($A71,'Planejamento de Viagens'!$A$6:$A$205,0)))</x:f>
      </x:c>
      <x:c r="K71" s="63" t="str">
        <x:f>IF($A71="","",IFERROR($J71/$F71,0))</x:f>
      </x:c>
      <x:c r="L71" s="63" t="str">
        <x:f>IF($A71="","",$J71/2)</x:f>
      </x:c>
      <x:c r="M71" s="63" t="str">
        <x:f>IF($A71="","",INDEX('Planejamento de Viagens'!$O$6:$O$205,MATCH($A71,'Planejamento de Viagens'!$A$6:$A$205,0)))</x:f>
      </x:c>
      <x:c r="N71" s="61" t="str">
        <x:f>IF($A71="","",COUNTIF($J$6:$J$205,"&gt;"&amp;$J71)+1)</x:f>
      </x:c>
    </x:row>
    <x:row r="72">
      <x:c r="A72" s="36"/>
      <x:c r="B72" s="67" t="str">
        <x:f>IF($A72="","",IFERROR(INDEX('Planejamento de Viagens'!$B$6:$B$205,MATCH($A72,'Planejamento de Viagens'!$A$6:$A$205,0)),""))</x:f>
      </x:c>
      <x:c r="C72" s="67" t="str">
        <x:f>IF($A72="","",IFERROR(INDEX('Planejamento de Viagens'!$C$6:$C$205,MATCH($A72,'Planejamento de Viagens'!$A$6:$A$205,0)),""))</x:f>
      </x:c>
      <x:c r="D72" s="67" t="str">
        <x:f>IF($A72="","",IFERROR(INDEX('Planejamento de Viagens'!$F$6:$F$205,MATCH($A72,'Planejamento de Viagens'!$A$6:$A$205,0)),""))</x:f>
      </x:c>
      <x:c r="E72" s="67" t="str">
        <x:f>IF($A72="","",IFERROR(INDEX('Planejamento de Viagens'!$G$6:$G$205,MATCH($A72,'Planejamento de Viagens'!$A$6:$A$205,0)),""))</x:f>
      </x:c>
      <x:c r="F72" s="61" t="str">
        <x:f>IF($A72="","",IFERROR(INDEX('Planejamento de Viagens'!$J$6:$J$205,MATCH($A72,'Planejamento de Viagens'!$A$6:$A$205,0)),0))</x:f>
      </x:c>
      <x:c r="G72" s="67" t="str">
        <x:f>IF($A72="","",IFERROR(INDEX('Planejamento de Viagens'!$K$6:$K$205,MATCH($A72,'Planejamento de Viagens'!$A$6:$A$205,0)),""))</x:f>
      </x:c>
      <x:c r="H72" s="67" t="str">
        <x:f>IF($A72="","",TEXT(INDEX('Planejamento de Viagens'!$H$6:$H$205,MATCH($A72,'Planejamento de Viagens'!$A$6:$A$205,0)),"mmm/yyyy"))</x:f>
      </x:c>
      <x:c r="I72" s="67" t="str">
        <x:f>IF($A72="","",2026)</x:f>
      </x:c>
      <x:c r="J72" s="63" t="str">
        <x:f>IF($A72="","",INDEX('Planejamento de Viagens'!$N$6:$N$205,MATCH($A72,'Planejamento de Viagens'!$A$6:$A$205,0)))</x:f>
      </x:c>
      <x:c r="K72" s="63" t="str">
        <x:f>IF($A72="","",IFERROR($J72/$F72,0))</x:f>
      </x:c>
      <x:c r="L72" s="63" t="str">
        <x:f>IF($A72="","",$J72/2)</x:f>
      </x:c>
      <x:c r="M72" s="63" t="str">
        <x:f>IF($A72="","",INDEX('Planejamento de Viagens'!$O$6:$O$205,MATCH($A72,'Planejamento de Viagens'!$A$6:$A$205,0)))</x:f>
      </x:c>
      <x:c r="N72" s="61" t="str">
        <x:f>IF($A72="","",COUNTIF($J$6:$J$205,"&gt;"&amp;$J72)+1)</x:f>
      </x:c>
    </x:row>
    <x:row r="73">
      <x:c r="A73" s="36"/>
      <x:c r="B73" s="67" t="str">
        <x:f>IF($A73="","",IFERROR(INDEX('Planejamento de Viagens'!$B$6:$B$205,MATCH($A73,'Planejamento de Viagens'!$A$6:$A$205,0)),""))</x:f>
      </x:c>
      <x:c r="C73" s="67" t="str">
        <x:f>IF($A73="","",IFERROR(INDEX('Planejamento de Viagens'!$C$6:$C$205,MATCH($A73,'Planejamento de Viagens'!$A$6:$A$205,0)),""))</x:f>
      </x:c>
      <x:c r="D73" s="67" t="str">
        <x:f>IF($A73="","",IFERROR(INDEX('Planejamento de Viagens'!$F$6:$F$205,MATCH($A73,'Planejamento de Viagens'!$A$6:$A$205,0)),""))</x:f>
      </x:c>
      <x:c r="E73" s="67" t="str">
        <x:f>IF($A73="","",IFERROR(INDEX('Planejamento de Viagens'!$G$6:$G$205,MATCH($A73,'Planejamento de Viagens'!$A$6:$A$205,0)),""))</x:f>
      </x:c>
      <x:c r="F73" s="61" t="str">
        <x:f>IF($A73="","",IFERROR(INDEX('Planejamento de Viagens'!$J$6:$J$205,MATCH($A73,'Planejamento de Viagens'!$A$6:$A$205,0)),0))</x:f>
      </x:c>
      <x:c r="G73" s="67" t="str">
        <x:f>IF($A73="","",IFERROR(INDEX('Planejamento de Viagens'!$K$6:$K$205,MATCH($A73,'Planejamento de Viagens'!$A$6:$A$205,0)),""))</x:f>
      </x:c>
      <x:c r="H73" s="67" t="str">
        <x:f>IF($A73="","",TEXT(INDEX('Planejamento de Viagens'!$H$6:$H$205,MATCH($A73,'Planejamento de Viagens'!$A$6:$A$205,0)),"mmm/yyyy"))</x:f>
      </x:c>
      <x:c r="I73" s="67" t="str">
        <x:f>IF($A73="","",2026)</x:f>
      </x:c>
      <x:c r="J73" s="63" t="str">
        <x:f>IF($A73="","",INDEX('Planejamento de Viagens'!$N$6:$N$205,MATCH($A73,'Planejamento de Viagens'!$A$6:$A$205,0)))</x:f>
      </x:c>
      <x:c r="K73" s="63" t="str">
        <x:f>IF($A73="","",IFERROR($J73/$F73,0))</x:f>
      </x:c>
      <x:c r="L73" s="63" t="str">
        <x:f>IF($A73="","",$J73/2)</x:f>
      </x:c>
      <x:c r="M73" s="63" t="str">
        <x:f>IF($A73="","",INDEX('Planejamento de Viagens'!$O$6:$O$205,MATCH($A73,'Planejamento de Viagens'!$A$6:$A$205,0)))</x:f>
      </x:c>
      <x:c r="N73" s="61" t="str">
        <x:f>IF($A73="","",COUNTIF($J$6:$J$205,"&gt;"&amp;$J73)+1)</x:f>
      </x:c>
    </x:row>
    <x:row r="74">
      <x:c r="A74" s="36"/>
      <x:c r="B74" s="67" t="str">
        <x:f>IF($A74="","",IFERROR(INDEX('Planejamento de Viagens'!$B$6:$B$205,MATCH($A74,'Planejamento de Viagens'!$A$6:$A$205,0)),""))</x:f>
      </x:c>
      <x:c r="C74" s="67" t="str">
        <x:f>IF($A74="","",IFERROR(INDEX('Planejamento de Viagens'!$C$6:$C$205,MATCH($A74,'Planejamento de Viagens'!$A$6:$A$205,0)),""))</x:f>
      </x:c>
      <x:c r="D74" s="67" t="str">
        <x:f>IF($A74="","",IFERROR(INDEX('Planejamento de Viagens'!$F$6:$F$205,MATCH($A74,'Planejamento de Viagens'!$A$6:$A$205,0)),""))</x:f>
      </x:c>
      <x:c r="E74" s="67" t="str">
        <x:f>IF($A74="","",IFERROR(INDEX('Planejamento de Viagens'!$G$6:$G$205,MATCH($A74,'Planejamento de Viagens'!$A$6:$A$205,0)),""))</x:f>
      </x:c>
      <x:c r="F74" s="61" t="str">
        <x:f>IF($A74="","",IFERROR(INDEX('Planejamento de Viagens'!$J$6:$J$205,MATCH($A74,'Planejamento de Viagens'!$A$6:$A$205,0)),0))</x:f>
      </x:c>
      <x:c r="G74" s="67" t="str">
        <x:f>IF($A74="","",IFERROR(INDEX('Planejamento de Viagens'!$K$6:$K$205,MATCH($A74,'Planejamento de Viagens'!$A$6:$A$205,0)),""))</x:f>
      </x:c>
      <x:c r="H74" s="67" t="str">
        <x:f>IF($A74="","",TEXT(INDEX('Planejamento de Viagens'!$H$6:$H$205,MATCH($A74,'Planejamento de Viagens'!$A$6:$A$205,0)),"mmm/yyyy"))</x:f>
      </x:c>
      <x:c r="I74" s="67" t="str">
        <x:f>IF($A74="","",2026)</x:f>
      </x:c>
      <x:c r="J74" s="63" t="str">
        <x:f>IF($A74="","",INDEX('Planejamento de Viagens'!$N$6:$N$205,MATCH($A74,'Planejamento de Viagens'!$A$6:$A$205,0)))</x:f>
      </x:c>
      <x:c r="K74" s="63" t="str">
        <x:f>IF($A74="","",IFERROR($J74/$F74,0))</x:f>
      </x:c>
      <x:c r="L74" s="63" t="str">
        <x:f>IF($A74="","",$J74/2)</x:f>
      </x:c>
      <x:c r="M74" s="63" t="str">
        <x:f>IF($A74="","",INDEX('Planejamento de Viagens'!$O$6:$O$205,MATCH($A74,'Planejamento de Viagens'!$A$6:$A$205,0)))</x:f>
      </x:c>
      <x:c r="N74" s="61" t="str">
        <x:f>IF($A74="","",COUNTIF($J$6:$J$205,"&gt;"&amp;$J74)+1)</x:f>
      </x:c>
    </x:row>
    <x:row r="75">
      <x:c r="A75" s="36"/>
      <x:c r="B75" s="67" t="str">
        <x:f>IF($A75="","",IFERROR(INDEX('Planejamento de Viagens'!$B$6:$B$205,MATCH($A75,'Planejamento de Viagens'!$A$6:$A$205,0)),""))</x:f>
      </x:c>
      <x:c r="C75" s="67" t="str">
        <x:f>IF($A75="","",IFERROR(INDEX('Planejamento de Viagens'!$C$6:$C$205,MATCH($A75,'Planejamento de Viagens'!$A$6:$A$205,0)),""))</x:f>
      </x:c>
      <x:c r="D75" s="67" t="str">
        <x:f>IF($A75="","",IFERROR(INDEX('Planejamento de Viagens'!$F$6:$F$205,MATCH($A75,'Planejamento de Viagens'!$A$6:$A$205,0)),""))</x:f>
      </x:c>
      <x:c r="E75" s="67" t="str">
        <x:f>IF($A75="","",IFERROR(INDEX('Planejamento de Viagens'!$G$6:$G$205,MATCH($A75,'Planejamento de Viagens'!$A$6:$A$205,0)),""))</x:f>
      </x:c>
      <x:c r="F75" s="61" t="str">
        <x:f>IF($A75="","",IFERROR(INDEX('Planejamento de Viagens'!$J$6:$J$205,MATCH($A75,'Planejamento de Viagens'!$A$6:$A$205,0)),0))</x:f>
      </x:c>
      <x:c r="G75" s="67" t="str">
        <x:f>IF($A75="","",IFERROR(INDEX('Planejamento de Viagens'!$K$6:$K$205,MATCH($A75,'Planejamento de Viagens'!$A$6:$A$205,0)),""))</x:f>
      </x:c>
      <x:c r="H75" s="67" t="str">
        <x:f>IF($A75="","",TEXT(INDEX('Planejamento de Viagens'!$H$6:$H$205,MATCH($A75,'Planejamento de Viagens'!$A$6:$A$205,0)),"mmm/yyyy"))</x:f>
      </x:c>
      <x:c r="I75" s="67" t="str">
        <x:f>IF($A75="","",2026)</x:f>
      </x:c>
      <x:c r="J75" s="63" t="str">
        <x:f>IF($A75="","",INDEX('Planejamento de Viagens'!$N$6:$N$205,MATCH($A75,'Planejamento de Viagens'!$A$6:$A$205,0)))</x:f>
      </x:c>
      <x:c r="K75" s="63" t="str">
        <x:f>IF($A75="","",IFERROR($J75/$F75,0))</x:f>
      </x:c>
      <x:c r="L75" s="63" t="str">
        <x:f>IF($A75="","",$J75/2)</x:f>
      </x:c>
      <x:c r="M75" s="63" t="str">
        <x:f>IF($A75="","",INDEX('Planejamento de Viagens'!$O$6:$O$205,MATCH($A75,'Planejamento de Viagens'!$A$6:$A$205,0)))</x:f>
      </x:c>
      <x:c r="N75" s="61" t="str">
        <x:f>IF($A75="","",COUNTIF($J$6:$J$205,"&gt;"&amp;$J75)+1)</x:f>
      </x:c>
    </x:row>
    <x:row r="76">
      <x:c r="A76" s="36"/>
      <x:c r="B76" s="67" t="str">
        <x:f>IF($A76="","",IFERROR(INDEX('Planejamento de Viagens'!$B$6:$B$205,MATCH($A76,'Planejamento de Viagens'!$A$6:$A$205,0)),""))</x:f>
      </x:c>
      <x:c r="C76" s="67" t="str">
        <x:f>IF($A76="","",IFERROR(INDEX('Planejamento de Viagens'!$C$6:$C$205,MATCH($A76,'Planejamento de Viagens'!$A$6:$A$205,0)),""))</x:f>
      </x:c>
      <x:c r="D76" s="67" t="str">
        <x:f>IF($A76="","",IFERROR(INDEX('Planejamento de Viagens'!$F$6:$F$205,MATCH($A76,'Planejamento de Viagens'!$A$6:$A$205,0)),""))</x:f>
      </x:c>
      <x:c r="E76" s="67" t="str">
        <x:f>IF($A76="","",IFERROR(INDEX('Planejamento de Viagens'!$G$6:$G$205,MATCH($A76,'Planejamento de Viagens'!$A$6:$A$205,0)),""))</x:f>
      </x:c>
      <x:c r="F76" s="61" t="str">
        <x:f>IF($A76="","",IFERROR(INDEX('Planejamento de Viagens'!$J$6:$J$205,MATCH($A76,'Planejamento de Viagens'!$A$6:$A$205,0)),0))</x:f>
      </x:c>
      <x:c r="G76" s="67" t="str">
        <x:f>IF($A76="","",IFERROR(INDEX('Planejamento de Viagens'!$K$6:$K$205,MATCH($A76,'Planejamento de Viagens'!$A$6:$A$205,0)),""))</x:f>
      </x:c>
      <x:c r="H76" s="67" t="str">
        <x:f>IF($A76="","",TEXT(INDEX('Planejamento de Viagens'!$H$6:$H$205,MATCH($A76,'Planejamento de Viagens'!$A$6:$A$205,0)),"mmm/yyyy"))</x:f>
      </x:c>
      <x:c r="I76" s="67" t="str">
        <x:f>IF($A76="","",2026)</x:f>
      </x:c>
      <x:c r="J76" s="63" t="str">
        <x:f>IF($A76="","",INDEX('Planejamento de Viagens'!$N$6:$N$205,MATCH($A76,'Planejamento de Viagens'!$A$6:$A$205,0)))</x:f>
      </x:c>
      <x:c r="K76" s="63" t="str">
        <x:f>IF($A76="","",IFERROR($J76/$F76,0))</x:f>
      </x:c>
      <x:c r="L76" s="63" t="str">
        <x:f>IF($A76="","",$J76/2)</x:f>
      </x:c>
      <x:c r="M76" s="63" t="str">
        <x:f>IF($A76="","",INDEX('Planejamento de Viagens'!$O$6:$O$205,MATCH($A76,'Planejamento de Viagens'!$A$6:$A$205,0)))</x:f>
      </x:c>
      <x:c r="N76" s="61" t="str">
        <x:f>IF($A76="","",COUNTIF($J$6:$J$205,"&gt;"&amp;$J76)+1)</x:f>
      </x:c>
    </x:row>
    <x:row r="77">
      <x:c r="A77" s="36"/>
      <x:c r="B77" s="67" t="str">
        <x:f>IF($A77="","",IFERROR(INDEX('Planejamento de Viagens'!$B$6:$B$205,MATCH($A77,'Planejamento de Viagens'!$A$6:$A$205,0)),""))</x:f>
      </x:c>
      <x:c r="C77" s="67" t="str">
        <x:f>IF($A77="","",IFERROR(INDEX('Planejamento de Viagens'!$C$6:$C$205,MATCH($A77,'Planejamento de Viagens'!$A$6:$A$205,0)),""))</x:f>
      </x:c>
      <x:c r="D77" s="67" t="str">
        <x:f>IF($A77="","",IFERROR(INDEX('Planejamento de Viagens'!$F$6:$F$205,MATCH($A77,'Planejamento de Viagens'!$A$6:$A$205,0)),""))</x:f>
      </x:c>
      <x:c r="E77" s="67" t="str">
        <x:f>IF($A77="","",IFERROR(INDEX('Planejamento de Viagens'!$G$6:$G$205,MATCH($A77,'Planejamento de Viagens'!$A$6:$A$205,0)),""))</x:f>
      </x:c>
      <x:c r="F77" s="61" t="str">
        <x:f>IF($A77="","",IFERROR(INDEX('Planejamento de Viagens'!$J$6:$J$205,MATCH($A77,'Planejamento de Viagens'!$A$6:$A$205,0)),0))</x:f>
      </x:c>
      <x:c r="G77" s="67" t="str">
        <x:f>IF($A77="","",IFERROR(INDEX('Planejamento de Viagens'!$K$6:$K$205,MATCH($A77,'Planejamento de Viagens'!$A$6:$A$205,0)),""))</x:f>
      </x:c>
      <x:c r="H77" s="67" t="str">
        <x:f>IF($A77="","",TEXT(INDEX('Planejamento de Viagens'!$H$6:$H$205,MATCH($A77,'Planejamento de Viagens'!$A$6:$A$205,0)),"mmm/yyyy"))</x:f>
      </x:c>
      <x:c r="I77" s="67" t="str">
        <x:f>IF($A77="","",2026)</x:f>
      </x:c>
      <x:c r="J77" s="63" t="str">
        <x:f>IF($A77="","",INDEX('Planejamento de Viagens'!$N$6:$N$205,MATCH($A77,'Planejamento de Viagens'!$A$6:$A$205,0)))</x:f>
      </x:c>
      <x:c r="K77" s="63" t="str">
        <x:f>IF($A77="","",IFERROR($J77/$F77,0))</x:f>
      </x:c>
      <x:c r="L77" s="63" t="str">
        <x:f>IF($A77="","",$J77/2)</x:f>
      </x:c>
      <x:c r="M77" s="63" t="str">
        <x:f>IF($A77="","",INDEX('Planejamento de Viagens'!$O$6:$O$205,MATCH($A77,'Planejamento de Viagens'!$A$6:$A$205,0)))</x:f>
      </x:c>
      <x:c r="N77" s="61" t="str">
        <x:f>IF($A77="","",COUNTIF($J$6:$J$205,"&gt;"&amp;$J77)+1)</x:f>
      </x:c>
    </x:row>
    <x:row r="78">
      <x:c r="A78" s="36"/>
      <x:c r="B78" s="67" t="str">
        <x:f>IF($A78="","",IFERROR(INDEX('Planejamento de Viagens'!$B$6:$B$205,MATCH($A78,'Planejamento de Viagens'!$A$6:$A$205,0)),""))</x:f>
      </x:c>
      <x:c r="C78" s="67" t="str">
        <x:f>IF($A78="","",IFERROR(INDEX('Planejamento de Viagens'!$C$6:$C$205,MATCH($A78,'Planejamento de Viagens'!$A$6:$A$205,0)),""))</x:f>
      </x:c>
      <x:c r="D78" s="67" t="str">
        <x:f>IF($A78="","",IFERROR(INDEX('Planejamento de Viagens'!$F$6:$F$205,MATCH($A78,'Planejamento de Viagens'!$A$6:$A$205,0)),""))</x:f>
      </x:c>
      <x:c r="E78" s="67" t="str">
        <x:f>IF($A78="","",IFERROR(INDEX('Planejamento de Viagens'!$G$6:$G$205,MATCH($A78,'Planejamento de Viagens'!$A$6:$A$205,0)),""))</x:f>
      </x:c>
      <x:c r="F78" s="61" t="str">
        <x:f>IF($A78="","",IFERROR(INDEX('Planejamento de Viagens'!$J$6:$J$205,MATCH($A78,'Planejamento de Viagens'!$A$6:$A$205,0)),0))</x:f>
      </x:c>
      <x:c r="G78" s="67" t="str">
        <x:f>IF($A78="","",IFERROR(INDEX('Planejamento de Viagens'!$K$6:$K$205,MATCH($A78,'Planejamento de Viagens'!$A$6:$A$205,0)),""))</x:f>
      </x:c>
      <x:c r="H78" s="67" t="str">
        <x:f>IF($A78="","",TEXT(INDEX('Planejamento de Viagens'!$H$6:$H$205,MATCH($A78,'Planejamento de Viagens'!$A$6:$A$205,0)),"mmm/yyyy"))</x:f>
      </x:c>
      <x:c r="I78" s="67" t="str">
        <x:f>IF($A78="","",2026)</x:f>
      </x:c>
      <x:c r="J78" s="63" t="str">
        <x:f>IF($A78="","",INDEX('Planejamento de Viagens'!$N$6:$N$205,MATCH($A78,'Planejamento de Viagens'!$A$6:$A$205,0)))</x:f>
      </x:c>
      <x:c r="K78" s="63" t="str">
        <x:f>IF($A78="","",IFERROR($J78/$F78,0))</x:f>
      </x:c>
      <x:c r="L78" s="63" t="str">
        <x:f>IF($A78="","",$J78/2)</x:f>
      </x:c>
      <x:c r="M78" s="63" t="str">
        <x:f>IF($A78="","",INDEX('Planejamento de Viagens'!$O$6:$O$205,MATCH($A78,'Planejamento de Viagens'!$A$6:$A$205,0)))</x:f>
      </x:c>
      <x:c r="N78" s="61" t="str">
        <x:f>IF($A78="","",COUNTIF($J$6:$J$205,"&gt;"&amp;$J78)+1)</x:f>
      </x:c>
    </x:row>
    <x:row r="79">
      <x:c r="A79" s="36"/>
      <x:c r="B79" s="67" t="str">
        <x:f>IF($A79="","",IFERROR(INDEX('Planejamento de Viagens'!$B$6:$B$205,MATCH($A79,'Planejamento de Viagens'!$A$6:$A$205,0)),""))</x:f>
      </x:c>
      <x:c r="C79" s="67" t="str">
        <x:f>IF($A79="","",IFERROR(INDEX('Planejamento de Viagens'!$C$6:$C$205,MATCH($A79,'Planejamento de Viagens'!$A$6:$A$205,0)),""))</x:f>
      </x:c>
      <x:c r="D79" s="67" t="str">
        <x:f>IF($A79="","",IFERROR(INDEX('Planejamento de Viagens'!$F$6:$F$205,MATCH($A79,'Planejamento de Viagens'!$A$6:$A$205,0)),""))</x:f>
      </x:c>
      <x:c r="E79" s="67" t="str">
        <x:f>IF($A79="","",IFERROR(INDEX('Planejamento de Viagens'!$G$6:$G$205,MATCH($A79,'Planejamento de Viagens'!$A$6:$A$205,0)),""))</x:f>
      </x:c>
      <x:c r="F79" s="61" t="str">
        <x:f>IF($A79="","",IFERROR(INDEX('Planejamento de Viagens'!$J$6:$J$205,MATCH($A79,'Planejamento de Viagens'!$A$6:$A$205,0)),0))</x:f>
      </x:c>
      <x:c r="G79" s="67" t="str">
        <x:f>IF($A79="","",IFERROR(INDEX('Planejamento de Viagens'!$K$6:$K$205,MATCH($A79,'Planejamento de Viagens'!$A$6:$A$205,0)),""))</x:f>
      </x:c>
      <x:c r="H79" s="67" t="str">
        <x:f>IF($A79="","",TEXT(INDEX('Planejamento de Viagens'!$H$6:$H$205,MATCH($A79,'Planejamento de Viagens'!$A$6:$A$205,0)),"mmm/yyyy"))</x:f>
      </x:c>
      <x:c r="I79" s="67" t="str">
        <x:f>IF($A79="","",2026)</x:f>
      </x:c>
      <x:c r="J79" s="63" t="str">
        <x:f>IF($A79="","",INDEX('Planejamento de Viagens'!$N$6:$N$205,MATCH($A79,'Planejamento de Viagens'!$A$6:$A$205,0)))</x:f>
      </x:c>
      <x:c r="K79" s="63" t="str">
        <x:f>IF($A79="","",IFERROR($J79/$F79,0))</x:f>
      </x:c>
      <x:c r="L79" s="63" t="str">
        <x:f>IF($A79="","",$J79/2)</x:f>
      </x:c>
      <x:c r="M79" s="63" t="str">
        <x:f>IF($A79="","",INDEX('Planejamento de Viagens'!$O$6:$O$205,MATCH($A79,'Planejamento de Viagens'!$A$6:$A$205,0)))</x:f>
      </x:c>
      <x:c r="N79" s="61" t="str">
        <x:f>IF($A79="","",COUNTIF($J$6:$J$205,"&gt;"&amp;$J79)+1)</x:f>
      </x:c>
    </x:row>
    <x:row r="80">
      <x:c r="A80" s="36"/>
      <x:c r="B80" s="67" t="str">
        <x:f>IF($A80="","",IFERROR(INDEX('Planejamento de Viagens'!$B$6:$B$205,MATCH($A80,'Planejamento de Viagens'!$A$6:$A$205,0)),""))</x:f>
      </x:c>
      <x:c r="C80" s="67" t="str">
        <x:f>IF($A80="","",IFERROR(INDEX('Planejamento de Viagens'!$C$6:$C$205,MATCH($A80,'Planejamento de Viagens'!$A$6:$A$205,0)),""))</x:f>
      </x:c>
      <x:c r="D80" s="67" t="str">
        <x:f>IF($A80="","",IFERROR(INDEX('Planejamento de Viagens'!$F$6:$F$205,MATCH($A80,'Planejamento de Viagens'!$A$6:$A$205,0)),""))</x:f>
      </x:c>
      <x:c r="E80" s="67" t="str">
        <x:f>IF($A80="","",IFERROR(INDEX('Planejamento de Viagens'!$G$6:$G$205,MATCH($A80,'Planejamento de Viagens'!$A$6:$A$205,0)),""))</x:f>
      </x:c>
      <x:c r="F80" s="61" t="str">
        <x:f>IF($A80="","",IFERROR(INDEX('Planejamento de Viagens'!$J$6:$J$205,MATCH($A80,'Planejamento de Viagens'!$A$6:$A$205,0)),0))</x:f>
      </x:c>
      <x:c r="G80" s="67" t="str">
        <x:f>IF($A80="","",IFERROR(INDEX('Planejamento de Viagens'!$K$6:$K$205,MATCH($A80,'Planejamento de Viagens'!$A$6:$A$205,0)),""))</x:f>
      </x:c>
      <x:c r="H80" s="67" t="str">
        <x:f>IF($A80="","",TEXT(INDEX('Planejamento de Viagens'!$H$6:$H$205,MATCH($A80,'Planejamento de Viagens'!$A$6:$A$205,0)),"mmm/yyyy"))</x:f>
      </x:c>
      <x:c r="I80" s="67" t="str">
        <x:f>IF($A80="","",2026)</x:f>
      </x:c>
      <x:c r="J80" s="63" t="str">
        <x:f>IF($A80="","",INDEX('Planejamento de Viagens'!$N$6:$N$205,MATCH($A80,'Planejamento de Viagens'!$A$6:$A$205,0)))</x:f>
      </x:c>
      <x:c r="K80" s="63" t="str">
        <x:f>IF($A80="","",IFERROR($J80/$F80,0))</x:f>
      </x:c>
      <x:c r="L80" s="63" t="str">
        <x:f>IF($A80="","",$J80/2)</x:f>
      </x:c>
      <x:c r="M80" s="63" t="str">
        <x:f>IF($A80="","",INDEX('Planejamento de Viagens'!$O$6:$O$205,MATCH($A80,'Planejamento de Viagens'!$A$6:$A$205,0)))</x:f>
      </x:c>
      <x:c r="N80" s="61" t="str">
        <x:f>IF($A80="","",COUNTIF($J$6:$J$205,"&gt;"&amp;$J80)+1)</x:f>
      </x:c>
    </x:row>
    <x:row r="81">
      <x:c r="A81" s="36"/>
      <x:c r="B81" s="67" t="str">
        <x:f>IF($A81="","",IFERROR(INDEX('Planejamento de Viagens'!$B$6:$B$205,MATCH($A81,'Planejamento de Viagens'!$A$6:$A$205,0)),""))</x:f>
      </x:c>
      <x:c r="C81" s="67" t="str">
        <x:f>IF($A81="","",IFERROR(INDEX('Planejamento de Viagens'!$C$6:$C$205,MATCH($A81,'Planejamento de Viagens'!$A$6:$A$205,0)),""))</x:f>
      </x:c>
      <x:c r="D81" s="67" t="str">
        <x:f>IF($A81="","",IFERROR(INDEX('Planejamento de Viagens'!$F$6:$F$205,MATCH($A81,'Planejamento de Viagens'!$A$6:$A$205,0)),""))</x:f>
      </x:c>
      <x:c r="E81" s="67" t="str">
        <x:f>IF($A81="","",IFERROR(INDEX('Planejamento de Viagens'!$G$6:$G$205,MATCH($A81,'Planejamento de Viagens'!$A$6:$A$205,0)),""))</x:f>
      </x:c>
      <x:c r="F81" s="61" t="str">
        <x:f>IF($A81="","",IFERROR(INDEX('Planejamento de Viagens'!$J$6:$J$205,MATCH($A81,'Planejamento de Viagens'!$A$6:$A$205,0)),0))</x:f>
      </x:c>
      <x:c r="G81" s="67" t="str">
        <x:f>IF($A81="","",IFERROR(INDEX('Planejamento de Viagens'!$K$6:$K$205,MATCH($A81,'Planejamento de Viagens'!$A$6:$A$205,0)),""))</x:f>
      </x:c>
      <x:c r="H81" s="67" t="str">
        <x:f>IF($A81="","",TEXT(INDEX('Planejamento de Viagens'!$H$6:$H$205,MATCH($A81,'Planejamento de Viagens'!$A$6:$A$205,0)),"mmm/yyyy"))</x:f>
      </x:c>
      <x:c r="I81" s="67" t="str">
        <x:f>IF($A81="","",2026)</x:f>
      </x:c>
      <x:c r="J81" s="63" t="str">
        <x:f>IF($A81="","",INDEX('Planejamento de Viagens'!$N$6:$N$205,MATCH($A81,'Planejamento de Viagens'!$A$6:$A$205,0)))</x:f>
      </x:c>
      <x:c r="K81" s="63" t="str">
        <x:f>IF($A81="","",IFERROR($J81/$F81,0))</x:f>
      </x:c>
      <x:c r="L81" s="63" t="str">
        <x:f>IF($A81="","",$J81/2)</x:f>
      </x:c>
      <x:c r="M81" s="63" t="str">
        <x:f>IF($A81="","",INDEX('Planejamento de Viagens'!$O$6:$O$205,MATCH($A81,'Planejamento de Viagens'!$A$6:$A$205,0)))</x:f>
      </x:c>
      <x:c r="N81" s="61" t="str">
        <x:f>IF($A81="","",COUNTIF($J$6:$J$205,"&gt;"&amp;$J81)+1)</x:f>
      </x:c>
    </x:row>
    <x:row r="82">
      <x:c r="A82" s="36"/>
      <x:c r="B82" s="67" t="str">
        <x:f>IF($A82="","",IFERROR(INDEX('Planejamento de Viagens'!$B$6:$B$205,MATCH($A82,'Planejamento de Viagens'!$A$6:$A$205,0)),""))</x:f>
      </x:c>
      <x:c r="C82" s="67" t="str">
        <x:f>IF($A82="","",IFERROR(INDEX('Planejamento de Viagens'!$C$6:$C$205,MATCH($A82,'Planejamento de Viagens'!$A$6:$A$205,0)),""))</x:f>
      </x:c>
      <x:c r="D82" s="67" t="str">
        <x:f>IF($A82="","",IFERROR(INDEX('Planejamento de Viagens'!$F$6:$F$205,MATCH($A82,'Planejamento de Viagens'!$A$6:$A$205,0)),""))</x:f>
      </x:c>
      <x:c r="E82" s="67" t="str">
        <x:f>IF($A82="","",IFERROR(INDEX('Planejamento de Viagens'!$G$6:$G$205,MATCH($A82,'Planejamento de Viagens'!$A$6:$A$205,0)),""))</x:f>
      </x:c>
      <x:c r="F82" s="61" t="str">
        <x:f>IF($A82="","",IFERROR(INDEX('Planejamento de Viagens'!$J$6:$J$205,MATCH($A82,'Planejamento de Viagens'!$A$6:$A$205,0)),0))</x:f>
      </x:c>
      <x:c r="G82" s="67" t="str">
        <x:f>IF($A82="","",IFERROR(INDEX('Planejamento de Viagens'!$K$6:$K$205,MATCH($A82,'Planejamento de Viagens'!$A$6:$A$205,0)),""))</x:f>
      </x:c>
      <x:c r="H82" s="67" t="str">
        <x:f>IF($A82="","",TEXT(INDEX('Planejamento de Viagens'!$H$6:$H$205,MATCH($A82,'Planejamento de Viagens'!$A$6:$A$205,0)),"mmm/yyyy"))</x:f>
      </x:c>
      <x:c r="I82" s="67" t="str">
        <x:f>IF($A82="","",2026)</x:f>
      </x:c>
      <x:c r="J82" s="63" t="str">
        <x:f>IF($A82="","",INDEX('Planejamento de Viagens'!$N$6:$N$205,MATCH($A82,'Planejamento de Viagens'!$A$6:$A$205,0)))</x:f>
      </x:c>
      <x:c r="K82" s="63" t="str">
        <x:f>IF($A82="","",IFERROR($J82/$F82,0))</x:f>
      </x:c>
      <x:c r="L82" s="63" t="str">
        <x:f>IF($A82="","",$J82/2)</x:f>
      </x:c>
      <x:c r="M82" s="63" t="str">
        <x:f>IF($A82="","",INDEX('Planejamento de Viagens'!$O$6:$O$205,MATCH($A82,'Planejamento de Viagens'!$A$6:$A$205,0)))</x:f>
      </x:c>
      <x:c r="N82" s="61" t="str">
        <x:f>IF($A82="","",COUNTIF($J$6:$J$205,"&gt;"&amp;$J82)+1)</x:f>
      </x:c>
    </x:row>
    <x:row r="83">
      <x:c r="A83" s="36"/>
      <x:c r="B83" s="67" t="str">
        <x:f>IF($A83="","",IFERROR(INDEX('Planejamento de Viagens'!$B$6:$B$205,MATCH($A83,'Planejamento de Viagens'!$A$6:$A$205,0)),""))</x:f>
      </x:c>
      <x:c r="C83" s="67" t="str">
        <x:f>IF($A83="","",IFERROR(INDEX('Planejamento de Viagens'!$C$6:$C$205,MATCH($A83,'Planejamento de Viagens'!$A$6:$A$205,0)),""))</x:f>
      </x:c>
      <x:c r="D83" s="67" t="str">
        <x:f>IF($A83="","",IFERROR(INDEX('Planejamento de Viagens'!$F$6:$F$205,MATCH($A83,'Planejamento de Viagens'!$A$6:$A$205,0)),""))</x:f>
      </x:c>
      <x:c r="E83" s="67" t="str">
        <x:f>IF($A83="","",IFERROR(INDEX('Planejamento de Viagens'!$G$6:$G$205,MATCH($A83,'Planejamento de Viagens'!$A$6:$A$205,0)),""))</x:f>
      </x:c>
      <x:c r="F83" s="61" t="str">
        <x:f>IF($A83="","",IFERROR(INDEX('Planejamento de Viagens'!$J$6:$J$205,MATCH($A83,'Planejamento de Viagens'!$A$6:$A$205,0)),0))</x:f>
      </x:c>
      <x:c r="G83" s="67" t="str">
        <x:f>IF($A83="","",IFERROR(INDEX('Planejamento de Viagens'!$K$6:$K$205,MATCH($A83,'Planejamento de Viagens'!$A$6:$A$205,0)),""))</x:f>
      </x:c>
      <x:c r="H83" s="67" t="str">
        <x:f>IF($A83="","",TEXT(INDEX('Planejamento de Viagens'!$H$6:$H$205,MATCH($A83,'Planejamento de Viagens'!$A$6:$A$205,0)),"mmm/yyyy"))</x:f>
      </x:c>
      <x:c r="I83" s="67" t="str">
        <x:f>IF($A83="","",2026)</x:f>
      </x:c>
      <x:c r="J83" s="63" t="str">
        <x:f>IF($A83="","",INDEX('Planejamento de Viagens'!$N$6:$N$205,MATCH($A83,'Planejamento de Viagens'!$A$6:$A$205,0)))</x:f>
      </x:c>
      <x:c r="K83" s="63" t="str">
        <x:f>IF($A83="","",IFERROR($J83/$F83,0))</x:f>
      </x:c>
      <x:c r="L83" s="63" t="str">
        <x:f>IF($A83="","",$J83/2)</x:f>
      </x:c>
      <x:c r="M83" s="63" t="str">
        <x:f>IF($A83="","",INDEX('Planejamento de Viagens'!$O$6:$O$205,MATCH($A83,'Planejamento de Viagens'!$A$6:$A$205,0)))</x:f>
      </x:c>
      <x:c r="N83" s="61" t="str">
        <x:f>IF($A83="","",COUNTIF($J$6:$J$205,"&gt;"&amp;$J83)+1)</x:f>
      </x:c>
    </x:row>
    <x:row r="84">
      <x:c r="A84" s="36"/>
      <x:c r="B84" s="67" t="str">
        <x:f>IF($A84="","",IFERROR(INDEX('Planejamento de Viagens'!$B$6:$B$205,MATCH($A84,'Planejamento de Viagens'!$A$6:$A$205,0)),""))</x:f>
      </x:c>
      <x:c r="C84" s="67" t="str">
        <x:f>IF($A84="","",IFERROR(INDEX('Planejamento de Viagens'!$C$6:$C$205,MATCH($A84,'Planejamento de Viagens'!$A$6:$A$205,0)),""))</x:f>
      </x:c>
      <x:c r="D84" s="67" t="str">
        <x:f>IF($A84="","",IFERROR(INDEX('Planejamento de Viagens'!$F$6:$F$205,MATCH($A84,'Planejamento de Viagens'!$A$6:$A$205,0)),""))</x:f>
      </x:c>
      <x:c r="E84" s="67" t="str">
        <x:f>IF($A84="","",IFERROR(INDEX('Planejamento de Viagens'!$G$6:$G$205,MATCH($A84,'Planejamento de Viagens'!$A$6:$A$205,0)),""))</x:f>
      </x:c>
      <x:c r="F84" s="61" t="str">
        <x:f>IF($A84="","",IFERROR(INDEX('Planejamento de Viagens'!$J$6:$J$205,MATCH($A84,'Planejamento de Viagens'!$A$6:$A$205,0)),0))</x:f>
      </x:c>
      <x:c r="G84" s="67" t="str">
        <x:f>IF($A84="","",IFERROR(INDEX('Planejamento de Viagens'!$K$6:$K$205,MATCH($A84,'Planejamento de Viagens'!$A$6:$A$205,0)),""))</x:f>
      </x:c>
      <x:c r="H84" s="67" t="str">
        <x:f>IF($A84="","",TEXT(INDEX('Planejamento de Viagens'!$H$6:$H$205,MATCH($A84,'Planejamento de Viagens'!$A$6:$A$205,0)),"mmm/yyyy"))</x:f>
      </x:c>
      <x:c r="I84" s="67" t="str">
        <x:f>IF($A84="","",2026)</x:f>
      </x:c>
      <x:c r="J84" s="63" t="str">
        <x:f>IF($A84="","",INDEX('Planejamento de Viagens'!$N$6:$N$205,MATCH($A84,'Planejamento de Viagens'!$A$6:$A$205,0)))</x:f>
      </x:c>
      <x:c r="K84" s="63" t="str">
        <x:f>IF($A84="","",IFERROR($J84/$F84,0))</x:f>
      </x:c>
      <x:c r="L84" s="63" t="str">
        <x:f>IF($A84="","",$J84/2)</x:f>
      </x:c>
      <x:c r="M84" s="63" t="str">
        <x:f>IF($A84="","",INDEX('Planejamento de Viagens'!$O$6:$O$205,MATCH($A84,'Planejamento de Viagens'!$A$6:$A$205,0)))</x:f>
      </x:c>
      <x:c r="N84" s="61" t="str">
        <x:f>IF($A84="","",COUNTIF($J$6:$J$205,"&gt;"&amp;$J84)+1)</x:f>
      </x:c>
    </x:row>
    <x:row r="85">
      <x:c r="A85" s="36"/>
      <x:c r="B85" s="67" t="str">
        <x:f>IF($A85="","",IFERROR(INDEX('Planejamento de Viagens'!$B$6:$B$205,MATCH($A85,'Planejamento de Viagens'!$A$6:$A$205,0)),""))</x:f>
      </x:c>
      <x:c r="C85" s="67" t="str">
        <x:f>IF($A85="","",IFERROR(INDEX('Planejamento de Viagens'!$C$6:$C$205,MATCH($A85,'Planejamento de Viagens'!$A$6:$A$205,0)),""))</x:f>
      </x:c>
      <x:c r="D85" s="67" t="str">
        <x:f>IF($A85="","",IFERROR(INDEX('Planejamento de Viagens'!$F$6:$F$205,MATCH($A85,'Planejamento de Viagens'!$A$6:$A$205,0)),""))</x:f>
      </x:c>
      <x:c r="E85" s="67" t="str">
        <x:f>IF($A85="","",IFERROR(INDEX('Planejamento de Viagens'!$G$6:$G$205,MATCH($A85,'Planejamento de Viagens'!$A$6:$A$205,0)),""))</x:f>
      </x:c>
      <x:c r="F85" s="61" t="str">
        <x:f>IF($A85="","",IFERROR(INDEX('Planejamento de Viagens'!$J$6:$J$205,MATCH($A85,'Planejamento de Viagens'!$A$6:$A$205,0)),0))</x:f>
      </x:c>
      <x:c r="G85" s="67" t="str">
        <x:f>IF($A85="","",IFERROR(INDEX('Planejamento de Viagens'!$K$6:$K$205,MATCH($A85,'Planejamento de Viagens'!$A$6:$A$205,0)),""))</x:f>
      </x:c>
      <x:c r="H85" s="67" t="str">
        <x:f>IF($A85="","",TEXT(INDEX('Planejamento de Viagens'!$H$6:$H$205,MATCH($A85,'Planejamento de Viagens'!$A$6:$A$205,0)),"mmm/yyyy"))</x:f>
      </x:c>
      <x:c r="I85" s="67" t="str">
        <x:f>IF($A85="","",2026)</x:f>
      </x:c>
      <x:c r="J85" s="63" t="str">
        <x:f>IF($A85="","",INDEX('Planejamento de Viagens'!$N$6:$N$205,MATCH($A85,'Planejamento de Viagens'!$A$6:$A$205,0)))</x:f>
      </x:c>
      <x:c r="K85" s="63" t="str">
        <x:f>IF($A85="","",IFERROR($J85/$F85,0))</x:f>
      </x:c>
      <x:c r="L85" s="63" t="str">
        <x:f>IF($A85="","",$J85/2)</x:f>
      </x:c>
      <x:c r="M85" s="63" t="str">
        <x:f>IF($A85="","",INDEX('Planejamento de Viagens'!$O$6:$O$205,MATCH($A85,'Planejamento de Viagens'!$A$6:$A$205,0)))</x:f>
      </x:c>
      <x:c r="N85" s="61" t="str">
        <x:f>IF($A85="","",COUNTIF($J$6:$J$205,"&gt;"&amp;$J85)+1)</x:f>
      </x:c>
    </x:row>
    <x:row r="86">
      <x:c r="A86" s="36"/>
      <x:c r="B86" s="67" t="str">
        <x:f>IF($A86="","",IFERROR(INDEX('Planejamento de Viagens'!$B$6:$B$205,MATCH($A86,'Planejamento de Viagens'!$A$6:$A$205,0)),""))</x:f>
      </x:c>
      <x:c r="C86" s="67" t="str">
        <x:f>IF($A86="","",IFERROR(INDEX('Planejamento de Viagens'!$C$6:$C$205,MATCH($A86,'Planejamento de Viagens'!$A$6:$A$205,0)),""))</x:f>
      </x:c>
      <x:c r="D86" s="67" t="str">
        <x:f>IF($A86="","",IFERROR(INDEX('Planejamento de Viagens'!$F$6:$F$205,MATCH($A86,'Planejamento de Viagens'!$A$6:$A$205,0)),""))</x:f>
      </x:c>
      <x:c r="E86" s="67" t="str">
        <x:f>IF($A86="","",IFERROR(INDEX('Planejamento de Viagens'!$G$6:$G$205,MATCH($A86,'Planejamento de Viagens'!$A$6:$A$205,0)),""))</x:f>
      </x:c>
      <x:c r="F86" s="61" t="str">
        <x:f>IF($A86="","",IFERROR(INDEX('Planejamento de Viagens'!$J$6:$J$205,MATCH($A86,'Planejamento de Viagens'!$A$6:$A$205,0)),0))</x:f>
      </x:c>
      <x:c r="G86" s="67" t="str">
        <x:f>IF($A86="","",IFERROR(INDEX('Planejamento de Viagens'!$K$6:$K$205,MATCH($A86,'Planejamento de Viagens'!$A$6:$A$205,0)),""))</x:f>
      </x:c>
      <x:c r="H86" s="67" t="str">
        <x:f>IF($A86="","",TEXT(INDEX('Planejamento de Viagens'!$H$6:$H$205,MATCH($A86,'Planejamento de Viagens'!$A$6:$A$205,0)),"mmm/yyyy"))</x:f>
      </x:c>
      <x:c r="I86" s="67" t="str">
        <x:f>IF($A86="","",2026)</x:f>
      </x:c>
      <x:c r="J86" s="63" t="str">
        <x:f>IF($A86="","",INDEX('Planejamento de Viagens'!$N$6:$N$205,MATCH($A86,'Planejamento de Viagens'!$A$6:$A$205,0)))</x:f>
      </x:c>
      <x:c r="K86" s="63" t="str">
        <x:f>IF($A86="","",IFERROR($J86/$F86,0))</x:f>
      </x:c>
      <x:c r="L86" s="63" t="str">
        <x:f>IF($A86="","",$J86/2)</x:f>
      </x:c>
      <x:c r="M86" s="63" t="str">
        <x:f>IF($A86="","",INDEX('Planejamento de Viagens'!$O$6:$O$205,MATCH($A86,'Planejamento de Viagens'!$A$6:$A$205,0)))</x:f>
      </x:c>
      <x:c r="N86" s="61" t="str">
        <x:f>IF($A86="","",COUNTIF($J$6:$J$205,"&gt;"&amp;$J86)+1)</x:f>
      </x:c>
    </x:row>
    <x:row r="87">
      <x:c r="A87" s="36"/>
      <x:c r="B87" s="67" t="str">
        <x:f>IF($A87="","",IFERROR(INDEX('Planejamento de Viagens'!$B$6:$B$205,MATCH($A87,'Planejamento de Viagens'!$A$6:$A$205,0)),""))</x:f>
      </x:c>
      <x:c r="C87" s="67" t="str">
        <x:f>IF($A87="","",IFERROR(INDEX('Planejamento de Viagens'!$C$6:$C$205,MATCH($A87,'Planejamento de Viagens'!$A$6:$A$205,0)),""))</x:f>
      </x:c>
      <x:c r="D87" s="67" t="str">
        <x:f>IF($A87="","",IFERROR(INDEX('Planejamento de Viagens'!$F$6:$F$205,MATCH($A87,'Planejamento de Viagens'!$A$6:$A$205,0)),""))</x:f>
      </x:c>
      <x:c r="E87" s="67" t="str">
        <x:f>IF($A87="","",IFERROR(INDEX('Planejamento de Viagens'!$G$6:$G$205,MATCH($A87,'Planejamento de Viagens'!$A$6:$A$205,0)),""))</x:f>
      </x:c>
      <x:c r="F87" s="61" t="str">
        <x:f>IF($A87="","",IFERROR(INDEX('Planejamento de Viagens'!$J$6:$J$205,MATCH($A87,'Planejamento de Viagens'!$A$6:$A$205,0)),0))</x:f>
      </x:c>
      <x:c r="G87" s="67" t="str">
        <x:f>IF($A87="","",IFERROR(INDEX('Planejamento de Viagens'!$K$6:$K$205,MATCH($A87,'Planejamento de Viagens'!$A$6:$A$205,0)),""))</x:f>
      </x:c>
      <x:c r="H87" s="67" t="str">
        <x:f>IF($A87="","",TEXT(INDEX('Planejamento de Viagens'!$H$6:$H$205,MATCH($A87,'Planejamento de Viagens'!$A$6:$A$205,0)),"mmm/yyyy"))</x:f>
      </x:c>
      <x:c r="I87" s="67" t="str">
        <x:f>IF($A87="","",2026)</x:f>
      </x:c>
      <x:c r="J87" s="63" t="str">
        <x:f>IF($A87="","",INDEX('Planejamento de Viagens'!$N$6:$N$205,MATCH($A87,'Planejamento de Viagens'!$A$6:$A$205,0)))</x:f>
      </x:c>
      <x:c r="K87" s="63" t="str">
        <x:f>IF($A87="","",IFERROR($J87/$F87,0))</x:f>
      </x:c>
      <x:c r="L87" s="63" t="str">
        <x:f>IF($A87="","",$J87/2)</x:f>
      </x:c>
      <x:c r="M87" s="63" t="str">
        <x:f>IF($A87="","",INDEX('Planejamento de Viagens'!$O$6:$O$205,MATCH($A87,'Planejamento de Viagens'!$A$6:$A$205,0)))</x:f>
      </x:c>
      <x:c r="N87" s="61" t="str">
        <x:f>IF($A87="","",COUNTIF($J$6:$J$205,"&gt;"&amp;$J87)+1)</x:f>
      </x:c>
    </x:row>
    <x:row r="88">
      <x:c r="A88" s="36"/>
      <x:c r="B88" s="67" t="str">
        <x:f>IF($A88="","",IFERROR(INDEX('Planejamento de Viagens'!$B$6:$B$205,MATCH($A88,'Planejamento de Viagens'!$A$6:$A$205,0)),""))</x:f>
      </x:c>
      <x:c r="C88" s="67" t="str">
        <x:f>IF($A88="","",IFERROR(INDEX('Planejamento de Viagens'!$C$6:$C$205,MATCH($A88,'Planejamento de Viagens'!$A$6:$A$205,0)),""))</x:f>
      </x:c>
      <x:c r="D88" s="67" t="str">
        <x:f>IF($A88="","",IFERROR(INDEX('Planejamento de Viagens'!$F$6:$F$205,MATCH($A88,'Planejamento de Viagens'!$A$6:$A$205,0)),""))</x:f>
      </x:c>
      <x:c r="E88" s="67" t="str">
        <x:f>IF($A88="","",IFERROR(INDEX('Planejamento de Viagens'!$G$6:$G$205,MATCH($A88,'Planejamento de Viagens'!$A$6:$A$205,0)),""))</x:f>
      </x:c>
      <x:c r="F88" s="61" t="str">
        <x:f>IF($A88="","",IFERROR(INDEX('Planejamento de Viagens'!$J$6:$J$205,MATCH($A88,'Planejamento de Viagens'!$A$6:$A$205,0)),0))</x:f>
      </x:c>
      <x:c r="G88" s="67" t="str">
        <x:f>IF($A88="","",IFERROR(INDEX('Planejamento de Viagens'!$K$6:$K$205,MATCH($A88,'Planejamento de Viagens'!$A$6:$A$205,0)),""))</x:f>
      </x:c>
      <x:c r="H88" s="67" t="str">
        <x:f>IF($A88="","",TEXT(INDEX('Planejamento de Viagens'!$H$6:$H$205,MATCH($A88,'Planejamento de Viagens'!$A$6:$A$205,0)),"mmm/yyyy"))</x:f>
      </x:c>
      <x:c r="I88" s="67" t="str">
        <x:f>IF($A88="","",2026)</x:f>
      </x:c>
      <x:c r="J88" s="63" t="str">
        <x:f>IF($A88="","",INDEX('Planejamento de Viagens'!$N$6:$N$205,MATCH($A88,'Planejamento de Viagens'!$A$6:$A$205,0)))</x:f>
      </x:c>
      <x:c r="K88" s="63" t="str">
        <x:f>IF($A88="","",IFERROR($J88/$F88,0))</x:f>
      </x:c>
      <x:c r="L88" s="63" t="str">
        <x:f>IF($A88="","",$J88/2)</x:f>
      </x:c>
      <x:c r="M88" s="63" t="str">
        <x:f>IF($A88="","",INDEX('Planejamento de Viagens'!$O$6:$O$205,MATCH($A88,'Planejamento de Viagens'!$A$6:$A$205,0)))</x:f>
      </x:c>
      <x:c r="N88" s="61" t="str">
        <x:f>IF($A88="","",COUNTIF($J$6:$J$205,"&gt;"&amp;$J88)+1)</x:f>
      </x:c>
    </x:row>
    <x:row r="89">
      <x:c r="A89" s="36"/>
      <x:c r="B89" s="67" t="str">
        <x:f>IF($A89="","",IFERROR(INDEX('Planejamento de Viagens'!$B$6:$B$205,MATCH($A89,'Planejamento de Viagens'!$A$6:$A$205,0)),""))</x:f>
      </x:c>
      <x:c r="C89" s="67" t="str">
        <x:f>IF($A89="","",IFERROR(INDEX('Planejamento de Viagens'!$C$6:$C$205,MATCH($A89,'Planejamento de Viagens'!$A$6:$A$205,0)),""))</x:f>
      </x:c>
      <x:c r="D89" s="67" t="str">
        <x:f>IF($A89="","",IFERROR(INDEX('Planejamento de Viagens'!$F$6:$F$205,MATCH($A89,'Planejamento de Viagens'!$A$6:$A$205,0)),""))</x:f>
      </x:c>
      <x:c r="E89" s="67" t="str">
        <x:f>IF($A89="","",IFERROR(INDEX('Planejamento de Viagens'!$G$6:$G$205,MATCH($A89,'Planejamento de Viagens'!$A$6:$A$205,0)),""))</x:f>
      </x:c>
      <x:c r="F89" s="61" t="str">
        <x:f>IF($A89="","",IFERROR(INDEX('Planejamento de Viagens'!$J$6:$J$205,MATCH($A89,'Planejamento de Viagens'!$A$6:$A$205,0)),0))</x:f>
      </x:c>
      <x:c r="G89" s="67" t="str">
        <x:f>IF($A89="","",IFERROR(INDEX('Planejamento de Viagens'!$K$6:$K$205,MATCH($A89,'Planejamento de Viagens'!$A$6:$A$205,0)),""))</x:f>
      </x:c>
      <x:c r="H89" s="67" t="str">
        <x:f>IF($A89="","",TEXT(INDEX('Planejamento de Viagens'!$H$6:$H$205,MATCH($A89,'Planejamento de Viagens'!$A$6:$A$205,0)),"mmm/yyyy"))</x:f>
      </x:c>
      <x:c r="I89" s="67" t="str">
        <x:f>IF($A89="","",2026)</x:f>
      </x:c>
      <x:c r="J89" s="63" t="str">
        <x:f>IF($A89="","",INDEX('Planejamento de Viagens'!$N$6:$N$205,MATCH($A89,'Planejamento de Viagens'!$A$6:$A$205,0)))</x:f>
      </x:c>
      <x:c r="K89" s="63" t="str">
        <x:f>IF($A89="","",IFERROR($J89/$F89,0))</x:f>
      </x:c>
      <x:c r="L89" s="63" t="str">
        <x:f>IF($A89="","",$J89/2)</x:f>
      </x:c>
      <x:c r="M89" s="63" t="str">
        <x:f>IF($A89="","",INDEX('Planejamento de Viagens'!$O$6:$O$205,MATCH($A89,'Planejamento de Viagens'!$A$6:$A$205,0)))</x:f>
      </x:c>
      <x:c r="N89" s="61" t="str">
        <x:f>IF($A89="","",COUNTIF($J$6:$J$205,"&gt;"&amp;$J89)+1)</x:f>
      </x:c>
    </x:row>
    <x:row r="90">
      <x:c r="A90" s="36"/>
      <x:c r="B90" s="67" t="str">
        <x:f>IF($A90="","",IFERROR(INDEX('Planejamento de Viagens'!$B$6:$B$205,MATCH($A90,'Planejamento de Viagens'!$A$6:$A$205,0)),""))</x:f>
      </x:c>
      <x:c r="C90" s="67" t="str">
        <x:f>IF($A90="","",IFERROR(INDEX('Planejamento de Viagens'!$C$6:$C$205,MATCH($A90,'Planejamento de Viagens'!$A$6:$A$205,0)),""))</x:f>
      </x:c>
      <x:c r="D90" s="67" t="str">
        <x:f>IF($A90="","",IFERROR(INDEX('Planejamento de Viagens'!$F$6:$F$205,MATCH($A90,'Planejamento de Viagens'!$A$6:$A$205,0)),""))</x:f>
      </x:c>
      <x:c r="E90" s="67" t="str">
        <x:f>IF($A90="","",IFERROR(INDEX('Planejamento de Viagens'!$G$6:$G$205,MATCH($A90,'Planejamento de Viagens'!$A$6:$A$205,0)),""))</x:f>
      </x:c>
      <x:c r="F90" s="61" t="str">
        <x:f>IF($A90="","",IFERROR(INDEX('Planejamento de Viagens'!$J$6:$J$205,MATCH($A90,'Planejamento de Viagens'!$A$6:$A$205,0)),0))</x:f>
      </x:c>
      <x:c r="G90" s="67" t="str">
        <x:f>IF($A90="","",IFERROR(INDEX('Planejamento de Viagens'!$K$6:$K$205,MATCH($A90,'Planejamento de Viagens'!$A$6:$A$205,0)),""))</x:f>
      </x:c>
      <x:c r="H90" s="67" t="str">
        <x:f>IF($A90="","",TEXT(INDEX('Planejamento de Viagens'!$H$6:$H$205,MATCH($A90,'Planejamento de Viagens'!$A$6:$A$205,0)),"mmm/yyyy"))</x:f>
      </x:c>
      <x:c r="I90" s="67" t="str">
        <x:f>IF($A90="","",2026)</x:f>
      </x:c>
      <x:c r="J90" s="63" t="str">
        <x:f>IF($A90="","",INDEX('Planejamento de Viagens'!$N$6:$N$205,MATCH($A90,'Planejamento de Viagens'!$A$6:$A$205,0)))</x:f>
      </x:c>
      <x:c r="K90" s="63" t="str">
        <x:f>IF($A90="","",IFERROR($J90/$F90,0))</x:f>
      </x:c>
      <x:c r="L90" s="63" t="str">
        <x:f>IF($A90="","",$J90/2)</x:f>
      </x:c>
      <x:c r="M90" s="63" t="str">
        <x:f>IF($A90="","",INDEX('Planejamento de Viagens'!$O$6:$O$205,MATCH($A90,'Planejamento de Viagens'!$A$6:$A$205,0)))</x:f>
      </x:c>
      <x:c r="N90" s="61" t="str">
        <x:f>IF($A90="","",COUNTIF($J$6:$J$205,"&gt;"&amp;$J90)+1)</x:f>
      </x:c>
    </x:row>
    <x:row r="91">
      <x:c r="A91" s="36"/>
      <x:c r="B91" s="67" t="str">
        <x:f>IF($A91="","",IFERROR(INDEX('Planejamento de Viagens'!$B$6:$B$205,MATCH($A91,'Planejamento de Viagens'!$A$6:$A$205,0)),""))</x:f>
      </x:c>
      <x:c r="C91" s="67" t="str">
        <x:f>IF($A91="","",IFERROR(INDEX('Planejamento de Viagens'!$C$6:$C$205,MATCH($A91,'Planejamento de Viagens'!$A$6:$A$205,0)),""))</x:f>
      </x:c>
      <x:c r="D91" s="67" t="str">
        <x:f>IF($A91="","",IFERROR(INDEX('Planejamento de Viagens'!$F$6:$F$205,MATCH($A91,'Planejamento de Viagens'!$A$6:$A$205,0)),""))</x:f>
      </x:c>
      <x:c r="E91" s="67" t="str">
        <x:f>IF($A91="","",IFERROR(INDEX('Planejamento de Viagens'!$G$6:$G$205,MATCH($A91,'Planejamento de Viagens'!$A$6:$A$205,0)),""))</x:f>
      </x:c>
      <x:c r="F91" s="61" t="str">
        <x:f>IF($A91="","",IFERROR(INDEX('Planejamento de Viagens'!$J$6:$J$205,MATCH($A91,'Planejamento de Viagens'!$A$6:$A$205,0)),0))</x:f>
      </x:c>
      <x:c r="G91" s="67" t="str">
        <x:f>IF($A91="","",IFERROR(INDEX('Planejamento de Viagens'!$K$6:$K$205,MATCH($A91,'Planejamento de Viagens'!$A$6:$A$205,0)),""))</x:f>
      </x:c>
      <x:c r="H91" s="67" t="str">
        <x:f>IF($A91="","",TEXT(INDEX('Planejamento de Viagens'!$H$6:$H$205,MATCH($A91,'Planejamento de Viagens'!$A$6:$A$205,0)),"mmm/yyyy"))</x:f>
      </x:c>
      <x:c r="I91" s="67" t="str">
        <x:f>IF($A91="","",2026)</x:f>
      </x:c>
      <x:c r="J91" s="63" t="str">
        <x:f>IF($A91="","",INDEX('Planejamento de Viagens'!$N$6:$N$205,MATCH($A91,'Planejamento de Viagens'!$A$6:$A$205,0)))</x:f>
      </x:c>
      <x:c r="K91" s="63" t="str">
        <x:f>IF($A91="","",IFERROR($J91/$F91,0))</x:f>
      </x:c>
      <x:c r="L91" s="63" t="str">
        <x:f>IF($A91="","",$J91/2)</x:f>
      </x:c>
      <x:c r="M91" s="63" t="str">
        <x:f>IF($A91="","",INDEX('Planejamento de Viagens'!$O$6:$O$205,MATCH($A91,'Planejamento de Viagens'!$A$6:$A$205,0)))</x:f>
      </x:c>
      <x:c r="N91" s="61" t="str">
        <x:f>IF($A91="","",COUNTIF($J$6:$J$205,"&gt;"&amp;$J91)+1)</x:f>
      </x:c>
    </x:row>
    <x:row r="92">
      <x:c r="A92" s="36"/>
      <x:c r="B92" s="67" t="str">
        <x:f>IF($A92="","",IFERROR(INDEX('Planejamento de Viagens'!$B$6:$B$205,MATCH($A92,'Planejamento de Viagens'!$A$6:$A$205,0)),""))</x:f>
      </x:c>
      <x:c r="C92" s="67" t="str">
        <x:f>IF($A92="","",IFERROR(INDEX('Planejamento de Viagens'!$C$6:$C$205,MATCH($A92,'Planejamento de Viagens'!$A$6:$A$205,0)),""))</x:f>
      </x:c>
      <x:c r="D92" s="67" t="str">
        <x:f>IF($A92="","",IFERROR(INDEX('Planejamento de Viagens'!$F$6:$F$205,MATCH($A92,'Planejamento de Viagens'!$A$6:$A$205,0)),""))</x:f>
      </x:c>
      <x:c r="E92" s="67" t="str">
        <x:f>IF($A92="","",IFERROR(INDEX('Planejamento de Viagens'!$G$6:$G$205,MATCH($A92,'Planejamento de Viagens'!$A$6:$A$205,0)),""))</x:f>
      </x:c>
      <x:c r="F92" s="61" t="str">
        <x:f>IF($A92="","",IFERROR(INDEX('Planejamento de Viagens'!$J$6:$J$205,MATCH($A92,'Planejamento de Viagens'!$A$6:$A$205,0)),0))</x:f>
      </x:c>
      <x:c r="G92" s="67" t="str">
        <x:f>IF($A92="","",IFERROR(INDEX('Planejamento de Viagens'!$K$6:$K$205,MATCH($A92,'Planejamento de Viagens'!$A$6:$A$205,0)),""))</x:f>
      </x:c>
      <x:c r="H92" s="67" t="str">
        <x:f>IF($A92="","",TEXT(INDEX('Planejamento de Viagens'!$H$6:$H$205,MATCH($A92,'Planejamento de Viagens'!$A$6:$A$205,0)),"mmm/yyyy"))</x:f>
      </x:c>
      <x:c r="I92" s="67" t="str">
        <x:f>IF($A92="","",2026)</x:f>
      </x:c>
      <x:c r="J92" s="63" t="str">
        <x:f>IF($A92="","",INDEX('Planejamento de Viagens'!$N$6:$N$205,MATCH($A92,'Planejamento de Viagens'!$A$6:$A$205,0)))</x:f>
      </x:c>
      <x:c r="K92" s="63" t="str">
        <x:f>IF($A92="","",IFERROR($J92/$F92,0))</x:f>
      </x:c>
      <x:c r="L92" s="63" t="str">
        <x:f>IF($A92="","",$J92/2)</x:f>
      </x:c>
      <x:c r="M92" s="63" t="str">
        <x:f>IF($A92="","",INDEX('Planejamento de Viagens'!$O$6:$O$205,MATCH($A92,'Planejamento de Viagens'!$A$6:$A$205,0)))</x:f>
      </x:c>
      <x:c r="N92" s="61" t="str">
        <x:f>IF($A92="","",COUNTIF($J$6:$J$205,"&gt;"&amp;$J92)+1)</x:f>
      </x:c>
    </x:row>
    <x:row r="93">
      <x:c r="A93" s="36"/>
      <x:c r="B93" s="67" t="str">
        <x:f>IF($A93="","",IFERROR(INDEX('Planejamento de Viagens'!$B$6:$B$205,MATCH($A93,'Planejamento de Viagens'!$A$6:$A$205,0)),""))</x:f>
      </x:c>
      <x:c r="C93" s="67" t="str">
        <x:f>IF($A93="","",IFERROR(INDEX('Planejamento de Viagens'!$C$6:$C$205,MATCH($A93,'Planejamento de Viagens'!$A$6:$A$205,0)),""))</x:f>
      </x:c>
      <x:c r="D93" s="67" t="str">
        <x:f>IF($A93="","",IFERROR(INDEX('Planejamento de Viagens'!$F$6:$F$205,MATCH($A93,'Planejamento de Viagens'!$A$6:$A$205,0)),""))</x:f>
      </x:c>
      <x:c r="E93" s="67" t="str">
        <x:f>IF($A93="","",IFERROR(INDEX('Planejamento de Viagens'!$G$6:$G$205,MATCH($A93,'Planejamento de Viagens'!$A$6:$A$205,0)),""))</x:f>
      </x:c>
      <x:c r="F93" s="61" t="str">
        <x:f>IF($A93="","",IFERROR(INDEX('Planejamento de Viagens'!$J$6:$J$205,MATCH($A93,'Planejamento de Viagens'!$A$6:$A$205,0)),0))</x:f>
      </x:c>
      <x:c r="G93" s="67" t="str">
        <x:f>IF($A93="","",IFERROR(INDEX('Planejamento de Viagens'!$K$6:$K$205,MATCH($A93,'Planejamento de Viagens'!$A$6:$A$205,0)),""))</x:f>
      </x:c>
      <x:c r="H93" s="67" t="str">
        <x:f>IF($A93="","",TEXT(INDEX('Planejamento de Viagens'!$H$6:$H$205,MATCH($A93,'Planejamento de Viagens'!$A$6:$A$205,0)),"mmm/yyyy"))</x:f>
      </x:c>
      <x:c r="I93" s="67" t="str">
        <x:f>IF($A93="","",2026)</x:f>
      </x:c>
      <x:c r="J93" s="63" t="str">
        <x:f>IF($A93="","",INDEX('Planejamento de Viagens'!$N$6:$N$205,MATCH($A93,'Planejamento de Viagens'!$A$6:$A$205,0)))</x:f>
      </x:c>
      <x:c r="K93" s="63" t="str">
        <x:f>IF($A93="","",IFERROR($J93/$F93,0))</x:f>
      </x:c>
      <x:c r="L93" s="63" t="str">
        <x:f>IF($A93="","",$J93/2)</x:f>
      </x:c>
      <x:c r="M93" s="63" t="str">
        <x:f>IF($A93="","",INDEX('Planejamento de Viagens'!$O$6:$O$205,MATCH($A93,'Planejamento de Viagens'!$A$6:$A$205,0)))</x:f>
      </x:c>
      <x:c r="N93" s="61" t="str">
        <x:f>IF($A93="","",COUNTIF($J$6:$J$205,"&gt;"&amp;$J93)+1)</x:f>
      </x:c>
    </x:row>
    <x:row r="94">
      <x:c r="A94" s="36"/>
      <x:c r="B94" s="67" t="str">
        <x:f>IF($A94="","",IFERROR(INDEX('Planejamento de Viagens'!$B$6:$B$205,MATCH($A94,'Planejamento de Viagens'!$A$6:$A$205,0)),""))</x:f>
      </x:c>
      <x:c r="C94" s="67" t="str">
        <x:f>IF($A94="","",IFERROR(INDEX('Planejamento de Viagens'!$C$6:$C$205,MATCH($A94,'Planejamento de Viagens'!$A$6:$A$205,0)),""))</x:f>
      </x:c>
      <x:c r="D94" s="67" t="str">
        <x:f>IF($A94="","",IFERROR(INDEX('Planejamento de Viagens'!$F$6:$F$205,MATCH($A94,'Planejamento de Viagens'!$A$6:$A$205,0)),""))</x:f>
      </x:c>
      <x:c r="E94" s="67" t="str">
        <x:f>IF($A94="","",IFERROR(INDEX('Planejamento de Viagens'!$G$6:$G$205,MATCH($A94,'Planejamento de Viagens'!$A$6:$A$205,0)),""))</x:f>
      </x:c>
      <x:c r="F94" s="61" t="str">
        <x:f>IF($A94="","",IFERROR(INDEX('Planejamento de Viagens'!$J$6:$J$205,MATCH($A94,'Planejamento de Viagens'!$A$6:$A$205,0)),0))</x:f>
      </x:c>
      <x:c r="G94" s="67" t="str">
        <x:f>IF($A94="","",IFERROR(INDEX('Planejamento de Viagens'!$K$6:$K$205,MATCH($A94,'Planejamento de Viagens'!$A$6:$A$205,0)),""))</x:f>
      </x:c>
      <x:c r="H94" s="67" t="str">
        <x:f>IF($A94="","",TEXT(INDEX('Planejamento de Viagens'!$H$6:$H$205,MATCH($A94,'Planejamento de Viagens'!$A$6:$A$205,0)),"mmm/yyyy"))</x:f>
      </x:c>
      <x:c r="I94" s="67" t="str">
        <x:f>IF($A94="","",2026)</x:f>
      </x:c>
      <x:c r="J94" s="63" t="str">
        <x:f>IF($A94="","",INDEX('Planejamento de Viagens'!$N$6:$N$205,MATCH($A94,'Planejamento de Viagens'!$A$6:$A$205,0)))</x:f>
      </x:c>
      <x:c r="K94" s="63" t="str">
        <x:f>IF($A94="","",IFERROR($J94/$F94,0))</x:f>
      </x:c>
      <x:c r="L94" s="63" t="str">
        <x:f>IF($A94="","",$J94/2)</x:f>
      </x:c>
      <x:c r="M94" s="63" t="str">
        <x:f>IF($A94="","",INDEX('Planejamento de Viagens'!$O$6:$O$205,MATCH($A94,'Planejamento de Viagens'!$A$6:$A$205,0)))</x:f>
      </x:c>
      <x:c r="N94" s="61" t="str">
        <x:f>IF($A94="","",COUNTIF($J$6:$J$205,"&gt;"&amp;$J94)+1)</x:f>
      </x:c>
    </x:row>
    <x:row r="95">
      <x:c r="A95" s="36"/>
      <x:c r="B95" s="67" t="str">
        <x:f>IF($A95="","",IFERROR(INDEX('Planejamento de Viagens'!$B$6:$B$205,MATCH($A95,'Planejamento de Viagens'!$A$6:$A$205,0)),""))</x:f>
      </x:c>
      <x:c r="C95" s="67" t="str">
        <x:f>IF($A95="","",IFERROR(INDEX('Planejamento de Viagens'!$C$6:$C$205,MATCH($A95,'Planejamento de Viagens'!$A$6:$A$205,0)),""))</x:f>
      </x:c>
      <x:c r="D95" s="67" t="str">
        <x:f>IF($A95="","",IFERROR(INDEX('Planejamento de Viagens'!$F$6:$F$205,MATCH($A95,'Planejamento de Viagens'!$A$6:$A$205,0)),""))</x:f>
      </x:c>
      <x:c r="E95" s="67" t="str">
        <x:f>IF($A95="","",IFERROR(INDEX('Planejamento de Viagens'!$G$6:$G$205,MATCH($A95,'Planejamento de Viagens'!$A$6:$A$205,0)),""))</x:f>
      </x:c>
      <x:c r="F95" s="61" t="str">
        <x:f>IF($A95="","",IFERROR(INDEX('Planejamento de Viagens'!$J$6:$J$205,MATCH($A95,'Planejamento de Viagens'!$A$6:$A$205,0)),0))</x:f>
      </x:c>
      <x:c r="G95" s="67" t="str">
        <x:f>IF($A95="","",IFERROR(INDEX('Planejamento de Viagens'!$K$6:$K$205,MATCH($A95,'Planejamento de Viagens'!$A$6:$A$205,0)),""))</x:f>
      </x:c>
      <x:c r="H95" s="67" t="str">
        <x:f>IF($A95="","",TEXT(INDEX('Planejamento de Viagens'!$H$6:$H$205,MATCH($A95,'Planejamento de Viagens'!$A$6:$A$205,0)),"mmm/yyyy"))</x:f>
      </x:c>
      <x:c r="I95" s="67" t="str">
        <x:f>IF($A95="","",2026)</x:f>
      </x:c>
      <x:c r="J95" s="63" t="str">
        <x:f>IF($A95="","",INDEX('Planejamento de Viagens'!$N$6:$N$205,MATCH($A95,'Planejamento de Viagens'!$A$6:$A$205,0)))</x:f>
      </x:c>
      <x:c r="K95" s="63" t="str">
        <x:f>IF($A95="","",IFERROR($J95/$F95,0))</x:f>
      </x:c>
      <x:c r="L95" s="63" t="str">
        <x:f>IF($A95="","",$J95/2)</x:f>
      </x:c>
      <x:c r="M95" s="63" t="str">
        <x:f>IF($A95="","",INDEX('Planejamento de Viagens'!$O$6:$O$205,MATCH($A95,'Planejamento de Viagens'!$A$6:$A$205,0)))</x:f>
      </x:c>
      <x:c r="N95" s="61" t="str">
        <x:f>IF($A95="","",COUNTIF($J$6:$J$205,"&gt;"&amp;$J95)+1)</x:f>
      </x:c>
    </x:row>
    <x:row r="96">
      <x:c r="A96" s="36"/>
      <x:c r="B96" s="67" t="str">
        <x:f>IF($A96="","",IFERROR(INDEX('Planejamento de Viagens'!$B$6:$B$205,MATCH($A96,'Planejamento de Viagens'!$A$6:$A$205,0)),""))</x:f>
      </x:c>
      <x:c r="C96" s="67" t="str">
        <x:f>IF($A96="","",IFERROR(INDEX('Planejamento de Viagens'!$C$6:$C$205,MATCH($A96,'Planejamento de Viagens'!$A$6:$A$205,0)),""))</x:f>
      </x:c>
      <x:c r="D96" s="67" t="str">
        <x:f>IF($A96="","",IFERROR(INDEX('Planejamento de Viagens'!$F$6:$F$205,MATCH($A96,'Planejamento de Viagens'!$A$6:$A$205,0)),""))</x:f>
      </x:c>
      <x:c r="E96" s="67" t="str">
        <x:f>IF($A96="","",IFERROR(INDEX('Planejamento de Viagens'!$G$6:$G$205,MATCH($A96,'Planejamento de Viagens'!$A$6:$A$205,0)),""))</x:f>
      </x:c>
      <x:c r="F96" s="61" t="str">
        <x:f>IF($A96="","",IFERROR(INDEX('Planejamento de Viagens'!$J$6:$J$205,MATCH($A96,'Planejamento de Viagens'!$A$6:$A$205,0)),0))</x:f>
      </x:c>
      <x:c r="G96" s="67" t="str">
        <x:f>IF($A96="","",IFERROR(INDEX('Planejamento de Viagens'!$K$6:$K$205,MATCH($A96,'Planejamento de Viagens'!$A$6:$A$205,0)),""))</x:f>
      </x:c>
      <x:c r="H96" s="67" t="str">
        <x:f>IF($A96="","",TEXT(INDEX('Planejamento de Viagens'!$H$6:$H$205,MATCH($A96,'Planejamento de Viagens'!$A$6:$A$205,0)),"mmm/yyyy"))</x:f>
      </x:c>
      <x:c r="I96" s="67" t="str">
        <x:f>IF($A96="","",2026)</x:f>
      </x:c>
      <x:c r="J96" s="63" t="str">
        <x:f>IF($A96="","",INDEX('Planejamento de Viagens'!$N$6:$N$205,MATCH($A96,'Planejamento de Viagens'!$A$6:$A$205,0)))</x:f>
      </x:c>
      <x:c r="K96" s="63" t="str">
        <x:f>IF($A96="","",IFERROR($J96/$F96,0))</x:f>
      </x:c>
      <x:c r="L96" s="63" t="str">
        <x:f>IF($A96="","",$J96/2)</x:f>
      </x:c>
      <x:c r="M96" s="63" t="str">
        <x:f>IF($A96="","",INDEX('Planejamento de Viagens'!$O$6:$O$205,MATCH($A96,'Planejamento de Viagens'!$A$6:$A$205,0)))</x:f>
      </x:c>
      <x:c r="N96" s="61" t="str">
        <x:f>IF($A96="","",COUNTIF($J$6:$J$205,"&gt;"&amp;$J96)+1)</x:f>
      </x:c>
    </x:row>
    <x:row r="97">
      <x:c r="A97" s="36"/>
      <x:c r="B97" s="67" t="str">
        <x:f>IF($A97="","",IFERROR(INDEX('Planejamento de Viagens'!$B$6:$B$205,MATCH($A97,'Planejamento de Viagens'!$A$6:$A$205,0)),""))</x:f>
      </x:c>
      <x:c r="C97" s="67" t="str">
        <x:f>IF($A97="","",IFERROR(INDEX('Planejamento de Viagens'!$C$6:$C$205,MATCH($A97,'Planejamento de Viagens'!$A$6:$A$205,0)),""))</x:f>
      </x:c>
      <x:c r="D97" s="67" t="str">
        <x:f>IF($A97="","",IFERROR(INDEX('Planejamento de Viagens'!$F$6:$F$205,MATCH($A97,'Planejamento de Viagens'!$A$6:$A$205,0)),""))</x:f>
      </x:c>
      <x:c r="E97" s="67" t="str">
        <x:f>IF($A97="","",IFERROR(INDEX('Planejamento de Viagens'!$G$6:$G$205,MATCH($A97,'Planejamento de Viagens'!$A$6:$A$205,0)),""))</x:f>
      </x:c>
      <x:c r="F97" s="61" t="str">
        <x:f>IF($A97="","",IFERROR(INDEX('Planejamento de Viagens'!$J$6:$J$205,MATCH($A97,'Planejamento de Viagens'!$A$6:$A$205,0)),0))</x:f>
      </x:c>
      <x:c r="G97" s="67" t="str">
        <x:f>IF($A97="","",IFERROR(INDEX('Planejamento de Viagens'!$K$6:$K$205,MATCH($A97,'Planejamento de Viagens'!$A$6:$A$205,0)),""))</x:f>
      </x:c>
      <x:c r="H97" s="67" t="str">
        <x:f>IF($A97="","",TEXT(INDEX('Planejamento de Viagens'!$H$6:$H$205,MATCH($A97,'Planejamento de Viagens'!$A$6:$A$205,0)),"mmm/yyyy"))</x:f>
      </x:c>
      <x:c r="I97" s="67" t="str">
        <x:f>IF($A97="","",2026)</x:f>
      </x:c>
      <x:c r="J97" s="63" t="str">
        <x:f>IF($A97="","",INDEX('Planejamento de Viagens'!$N$6:$N$205,MATCH($A97,'Planejamento de Viagens'!$A$6:$A$205,0)))</x:f>
      </x:c>
      <x:c r="K97" s="63" t="str">
        <x:f>IF($A97="","",IFERROR($J97/$F97,0))</x:f>
      </x:c>
      <x:c r="L97" s="63" t="str">
        <x:f>IF($A97="","",$J97/2)</x:f>
      </x:c>
      <x:c r="M97" s="63" t="str">
        <x:f>IF($A97="","",INDEX('Planejamento de Viagens'!$O$6:$O$205,MATCH($A97,'Planejamento de Viagens'!$A$6:$A$205,0)))</x:f>
      </x:c>
      <x:c r="N97" s="61" t="str">
        <x:f>IF($A97="","",COUNTIF($J$6:$J$205,"&gt;"&amp;$J97)+1)</x:f>
      </x:c>
    </x:row>
    <x:row r="98">
      <x:c r="A98" s="36"/>
      <x:c r="B98" s="67" t="str">
        <x:f>IF($A98="","",IFERROR(INDEX('Planejamento de Viagens'!$B$6:$B$205,MATCH($A98,'Planejamento de Viagens'!$A$6:$A$205,0)),""))</x:f>
      </x:c>
      <x:c r="C98" s="67" t="str">
        <x:f>IF($A98="","",IFERROR(INDEX('Planejamento de Viagens'!$C$6:$C$205,MATCH($A98,'Planejamento de Viagens'!$A$6:$A$205,0)),""))</x:f>
      </x:c>
      <x:c r="D98" s="67" t="str">
        <x:f>IF($A98="","",IFERROR(INDEX('Planejamento de Viagens'!$F$6:$F$205,MATCH($A98,'Planejamento de Viagens'!$A$6:$A$205,0)),""))</x:f>
      </x:c>
      <x:c r="E98" s="67" t="str">
        <x:f>IF($A98="","",IFERROR(INDEX('Planejamento de Viagens'!$G$6:$G$205,MATCH($A98,'Planejamento de Viagens'!$A$6:$A$205,0)),""))</x:f>
      </x:c>
      <x:c r="F98" s="61" t="str">
        <x:f>IF($A98="","",IFERROR(INDEX('Planejamento de Viagens'!$J$6:$J$205,MATCH($A98,'Planejamento de Viagens'!$A$6:$A$205,0)),0))</x:f>
      </x:c>
      <x:c r="G98" s="67" t="str">
        <x:f>IF($A98="","",IFERROR(INDEX('Planejamento de Viagens'!$K$6:$K$205,MATCH($A98,'Planejamento de Viagens'!$A$6:$A$205,0)),""))</x:f>
      </x:c>
      <x:c r="H98" s="67" t="str">
        <x:f>IF($A98="","",TEXT(INDEX('Planejamento de Viagens'!$H$6:$H$205,MATCH($A98,'Planejamento de Viagens'!$A$6:$A$205,0)),"mmm/yyyy"))</x:f>
      </x:c>
      <x:c r="I98" s="67" t="str">
        <x:f>IF($A98="","",2026)</x:f>
      </x:c>
      <x:c r="J98" s="63" t="str">
        <x:f>IF($A98="","",INDEX('Planejamento de Viagens'!$N$6:$N$205,MATCH($A98,'Planejamento de Viagens'!$A$6:$A$205,0)))</x:f>
      </x:c>
      <x:c r="K98" s="63" t="str">
        <x:f>IF($A98="","",IFERROR($J98/$F98,0))</x:f>
      </x:c>
      <x:c r="L98" s="63" t="str">
        <x:f>IF($A98="","",$J98/2)</x:f>
      </x:c>
      <x:c r="M98" s="63" t="str">
        <x:f>IF($A98="","",INDEX('Planejamento de Viagens'!$O$6:$O$205,MATCH($A98,'Planejamento de Viagens'!$A$6:$A$205,0)))</x:f>
      </x:c>
      <x:c r="N98" s="61" t="str">
        <x:f>IF($A98="","",COUNTIF($J$6:$J$205,"&gt;"&amp;$J98)+1)</x:f>
      </x:c>
    </x:row>
    <x:row r="99">
      <x:c r="A99" s="36"/>
      <x:c r="B99" s="67" t="str">
        <x:f>IF($A99="","",IFERROR(INDEX('Planejamento de Viagens'!$B$6:$B$205,MATCH($A99,'Planejamento de Viagens'!$A$6:$A$205,0)),""))</x:f>
      </x:c>
      <x:c r="C99" s="67" t="str">
        <x:f>IF($A99="","",IFERROR(INDEX('Planejamento de Viagens'!$C$6:$C$205,MATCH($A99,'Planejamento de Viagens'!$A$6:$A$205,0)),""))</x:f>
      </x:c>
      <x:c r="D99" s="67" t="str">
        <x:f>IF($A99="","",IFERROR(INDEX('Planejamento de Viagens'!$F$6:$F$205,MATCH($A99,'Planejamento de Viagens'!$A$6:$A$205,0)),""))</x:f>
      </x:c>
      <x:c r="E99" s="67" t="str">
        <x:f>IF($A99="","",IFERROR(INDEX('Planejamento de Viagens'!$G$6:$G$205,MATCH($A99,'Planejamento de Viagens'!$A$6:$A$205,0)),""))</x:f>
      </x:c>
      <x:c r="F99" s="61" t="str">
        <x:f>IF($A99="","",IFERROR(INDEX('Planejamento de Viagens'!$J$6:$J$205,MATCH($A99,'Planejamento de Viagens'!$A$6:$A$205,0)),0))</x:f>
      </x:c>
      <x:c r="G99" s="67" t="str">
        <x:f>IF($A99="","",IFERROR(INDEX('Planejamento de Viagens'!$K$6:$K$205,MATCH($A99,'Planejamento de Viagens'!$A$6:$A$205,0)),""))</x:f>
      </x:c>
      <x:c r="H99" s="67" t="str">
        <x:f>IF($A99="","",TEXT(INDEX('Planejamento de Viagens'!$H$6:$H$205,MATCH($A99,'Planejamento de Viagens'!$A$6:$A$205,0)),"mmm/yyyy"))</x:f>
      </x:c>
      <x:c r="I99" s="67" t="str">
        <x:f>IF($A99="","",2026)</x:f>
      </x:c>
      <x:c r="J99" s="63" t="str">
        <x:f>IF($A99="","",INDEX('Planejamento de Viagens'!$N$6:$N$205,MATCH($A99,'Planejamento de Viagens'!$A$6:$A$205,0)))</x:f>
      </x:c>
      <x:c r="K99" s="63" t="str">
        <x:f>IF($A99="","",IFERROR($J99/$F99,0))</x:f>
      </x:c>
      <x:c r="L99" s="63" t="str">
        <x:f>IF($A99="","",$J99/2)</x:f>
      </x:c>
      <x:c r="M99" s="63" t="str">
        <x:f>IF($A99="","",INDEX('Planejamento de Viagens'!$O$6:$O$205,MATCH($A99,'Planejamento de Viagens'!$A$6:$A$205,0)))</x:f>
      </x:c>
      <x:c r="N99" s="61" t="str">
        <x:f>IF($A99="","",COUNTIF($J$6:$J$205,"&gt;"&amp;$J99)+1)</x:f>
      </x:c>
    </x:row>
    <x:row r="100">
      <x:c r="A100" s="36"/>
      <x:c r="B100" s="67" t="str">
        <x:f>IF($A100="","",IFERROR(INDEX('Planejamento de Viagens'!$B$6:$B$205,MATCH($A100,'Planejamento de Viagens'!$A$6:$A$205,0)),""))</x:f>
      </x:c>
      <x:c r="C100" s="67" t="str">
        <x:f>IF($A100="","",IFERROR(INDEX('Planejamento de Viagens'!$C$6:$C$205,MATCH($A100,'Planejamento de Viagens'!$A$6:$A$205,0)),""))</x:f>
      </x:c>
      <x:c r="D100" s="67" t="str">
        <x:f>IF($A100="","",IFERROR(INDEX('Planejamento de Viagens'!$F$6:$F$205,MATCH($A100,'Planejamento de Viagens'!$A$6:$A$205,0)),""))</x:f>
      </x:c>
      <x:c r="E100" s="67" t="str">
        <x:f>IF($A100="","",IFERROR(INDEX('Planejamento de Viagens'!$G$6:$G$205,MATCH($A100,'Planejamento de Viagens'!$A$6:$A$205,0)),""))</x:f>
      </x:c>
      <x:c r="F100" s="61" t="str">
        <x:f>IF($A100="","",IFERROR(INDEX('Planejamento de Viagens'!$J$6:$J$205,MATCH($A100,'Planejamento de Viagens'!$A$6:$A$205,0)),0))</x:f>
      </x:c>
      <x:c r="G100" s="67" t="str">
        <x:f>IF($A100="","",IFERROR(INDEX('Planejamento de Viagens'!$K$6:$K$205,MATCH($A100,'Planejamento de Viagens'!$A$6:$A$205,0)),""))</x:f>
      </x:c>
      <x:c r="H100" s="67" t="str">
        <x:f>IF($A100="","",TEXT(INDEX('Planejamento de Viagens'!$H$6:$H$205,MATCH($A100,'Planejamento de Viagens'!$A$6:$A$205,0)),"mmm/yyyy"))</x:f>
      </x:c>
      <x:c r="I100" s="67" t="str">
        <x:f>IF($A100="","",2026)</x:f>
      </x:c>
      <x:c r="J100" s="63" t="str">
        <x:f>IF($A100="","",INDEX('Planejamento de Viagens'!$N$6:$N$205,MATCH($A100,'Planejamento de Viagens'!$A$6:$A$205,0)))</x:f>
      </x:c>
      <x:c r="K100" s="63" t="str">
        <x:f>IF($A100="","",IFERROR($J100/$F100,0))</x:f>
      </x:c>
      <x:c r="L100" s="63" t="str">
        <x:f>IF($A100="","",$J100/2)</x:f>
      </x:c>
      <x:c r="M100" s="63" t="str">
        <x:f>IF($A100="","",INDEX('Planejamento de Viagens'!$O$6:$O$205,MATCH($A100,'Planejamento de Viagens'!$A$6:$A$205,0)))</x:f>
      </x:c>
      <x:c r="N100" s="61" t="str">
        <x:f>IF($A100="","",COUNTIF($J$6:$J$205,"&gt;"&amp;$J100)+1)</x:f>
      </x:c>
    </x:row>
    <x:row r="101">
      <x:c r="A101" s="36"/>
      <x:c r="B101" s="67" t="str">
        <x:f>IF($A101="","",IFERROR(INDEX('Planejamento de Viagens'!$B$6:$B$205,MATCH($A101,'Planejamento de Viagens'!$A$6:$A$205,0)),""))</x:f>
      </x:c>
      <x:c r="C101" s="67" t="str">
        <x:f>IF($A101="","",IFERROR(INDEX('Planejamento de Viagens'!$C$6:$C$205,MATCH($A101,'Planejamento de Viagens'!$A$6:$A$205,0)),""))</x:f>
      </x:c>
      <x:c r="D101" s="67" t="str">
        <x:f>IF($A101="","",IFERROR(INDEX('Planejamento de Viagens'!$F$6:$F$205,MATCH($A101,'Planejamento de Viagens'!$A$6:$A$205,0)),""))</x:f>
      </x:c>
      <x:c r="E101" s="67" t="str">
        <x:f>IF($A101="","",IFERROR(INDEX('Planejamento de Viagens'!$G$6:$G$205,MATCH($A101,'Planejamento de Viagens'!$A$6:$A$205,0)),""))</x:f>
      </x:c>
      <x:c r="F101" s="61" t="str">
        <x:f>IF($A101="","",IFERROR(INDEX('Planejamento de Viagens'!$J$6:$J$205,MATCH($A101,'Planejamento de Viagens'!$A$6:$A$205,0)),0))</x:f>
      </x:c>
      <x:c r="G101" s="67" t="str">
        <x:f>IF($A101="","",IFERROR(INDEX('Planejamento de Viagens'!$K$6:$K$205,MATCH($A101,'Planejamento de Viagens'!$A$6:$A$205,0)),""))</x:f>
      </x:c>
      <x:c r="H101" s="67" t="str">
        <x:f>IF($A101="","",TEXT(INDEX('Planejamento de Viagens'!$H$6:$H$205,MATCH($A101,'Planejamento de Viagens'!$A$6:$A$205,0)),"mmm/yyyy"))</x:f>
      </x:c>
      <x:c r="I101" s="67" t="str">
        <x:f>IF($A101="","",2026)</x:f>
      </x:c>
      <x:c r="J101" s="63" t="str">
        <x:f>IF($A101="","",INDEX('Planejamento de Viagens'!$N$6:$N$205,MATCH($A101,'Planejamento de Viagens'!$A$6:$A$205,0)))</x:f>
      </x:c>
      <x:c r="K101" s="63" t="str">
        <x:f>IF($A101="","",IFERROR($J101/$F101,0))</x:f>
      </x:c>
      <x:c r="L101" s="63" t="str">
        <x:f>IF($A101="","",$J101/2)</x:f>
      </x:c>
      <x:c r="M101" s="63" t="str">
        <x:f>IF($A101="","",INDEX('Planejamento de Viagens'!$O$6:$O$205,MATCH($A101,'Planejamento de Viagens'!$A$6:$A$205,0)))</x:f>
      </x:c>
      <x:c r="N101" s="61" t="str">
        <x:f>IF($A101="","",COUNTIF($J$6:$J$205,"&gt;"&amp;$J101)+1)</x:f>
      </x:c>
    </x:row>
    <x:row r="102">
      <x:c r="A102" s="36"/>
      <x:c r="B102" s="67" t="str">
        <x:f>IF($A102="","",IFERROR(INDEX('Planejamento de Viagens'!$B$6:$B$205,MATCH($A102,'Planejamento de Viagens'!$A$6:$A$205,0)),""))</x:f>
      </x:c>
      <x:c r="C102" s="67" t="str">
        <x:f>IF($A102="","",IFERROR(INDEX('Planejamento de Viagens'!$C$6:$C$205,MATCH($A102,'Planejamento de Viagens'!$A$6:$A$205,0)),""))</x:f>
      </x:c>
      <x:c r="D102" s="67" t="str">
        <x:f>IF($A102="","",IFERROR(INDEX('Planejamento de Viagens'!$F$6:$F$205,MATCH($A102,'Planejamento de Viagens'!$A$6:$A$205,0)),""))</x:f>
      </x:c>
      <x:c r="E102" s="67" t="str">
        <x:f>IF($A102="","",IFERROR(INDEX('Planejamento de Viagens'!$G$6:$G$205,MATCH($A102,'Planejamento de Viagens'!$A$6:$A$205,0)),""))</x:f>
      </x:c>
      <x:c r="F102" s="61" t="str">
        <x:f>IF($A102="","",IFERROR(INDEX('Planejamento de Viagens'!$J$6:$J$205,MATCH($A102,'Planejamento de Viagens'!$A$6:$A$205,0)),0))</x:f>
      </x:c>
      <x:c r="G102" s="67" t="str">
        <x:f>IF($A102="","",IFERROR(INDEX('Planejamento de Viagens'!$K$6:$K$205,MATCH($A102,'Planejamento de Viagens'!$A$6:$A$205,0)),""))</x:f>
      </x:c>
      <x:c r="H102" s="67" t="str">
        <x:f>IF($A102="","",TEXT(INDEX('Planejamento de Viagens'!$H$6:$H$205,MATCH($A102,'Planejamento de Viagens'!$A$6:$A$205,0)),"mmm/yyyy"))</x:f>
      </x:c>
      <x:c r="I102" s="67" t="str">
        <x:f>IF($A102="","",2026)</x:f>
      </x:c>
      <x:c r="J102" s="63" t="str">
        <x:f>IF($A102="","",INDEX('Planejamento de Viagens'!$N$6:$N$205,MATCH($A102,'Planejamento de Viagens'!$A$6:$A$205,0)))</x:f>
      </x:c>
      <x:c r="K102" s="63" t="str">
        <x:f>IF($A102="","",IFERROR($J102/$F102,0))</x:f>
      </x:c>
      <x:c r="L102" s="63" t="str">
        <x:f>IF($A102="","",$J102/2)</x:f>
      </x:c>
      <x:c r="M102" s="63" t="str">
        <x:f>IF($A102="","",INDEX('Planejamento de Viagens'!$O$6:$O$205,MATCH($A102,'Planejamento de Viagens'!$A$6:$A$205,0)))</x:f>
      </x:c>
      <x:c r="N102" s="61" t="str">
        <x:f>IF($A102="","",COUNTIF($J$6:$J$205,"&gt;"&amp;$J102)+1)</x:f>
      </x:c>
    </x:row>
    <x:row r="103">
      <x:c r="A103" s="36"/>
      <x:c r="B103" s="67" t="str">
        <x:f>IF($A103="","",IFERROR(INDEX('Planejamento de Viagens'!$B$6:$B$205,MATCH($A103,'Planejamento de Viagens'!$A$6:$A$205,0)),""))</x:f>
      </x:c>
      <x:c r="C103" s="67" t="str">
        <x:f>IF($A103="","",IFERROR(INDEX('Planejamento de Viagens'!$C$6:$C$205,MATCH($A103,'Planejamento de Viagens'!$A$6:$A$205,0)),""))</x:f>
      </x:c>
      <x:c r="D103" s="67" t="str">
        <x:f>IF($A103="","",IFERROR(INDEX('Planejamento de Viagens'!$F$6:$F$205,MATCH($A103,'Planejamento de Viagens'!$A$6:$A$205,0)),""))</x:f>
      </x:c>
      <x:c r="E103" s="67" t="str">
        <x:f>IF($A103="","",IFERROR(INDEX('Planejamento de Viagens'!$G$6:$G$205,MATCH($A103,'Planejamento de Viagens'!$A$6:$A$205,0)),""))</x:f>
      </x:c>
      <x:c r="F103" s="61" t="str">
        <x:f>IF($A103="","",IFERROR(INDEX('Planejamento de Viagens'!$J$6:$J$205,MATCH($A103,'Planejamento de Viagens'!$A$6:$A$205,0)),0))</x:f>
      </x:c>
      <x:c r="G103" s="67" t="str">
        <x:f>IF($A103="","",IFERROR(INDEX('Planejamento de Viagens'!$K$6:$K$205,MATCH($A103,'Planejamento de Viagens'!$A$6:$A$205,0)),""))</x:f>
      </x:c>
      <x:c r="H103" s="67" t="str">
        <x:f>IF($A103="","",TEXT(INDEX('Planejamento de Viagens'!$H$6:$H$205,MATCH($A103,'Planejamento de Viagens'!$A$6:$A$205,0)),"mmm/yyyy"))</x:f>
      </x:c>
      <x:c r="I103" s="67" t="str">
        <x:f>IF($A103="","",2026)</x:f>
      </x:c>
      <x:c r="J103" s="63" t="str">
        <x:f>IF($A103="","",INDEX('Planejamento de Viagens'!$N$6:$N$205,MATCH($A103,'Planejamento de Viagens'!$A$6:$A$205,0)))</x:f>
      </x:c>
      <x:c r="K103" s="63" t="str">
        <x:f>IF($A103="","",IFERROR($J103/$F103,0))</x:f>
      </x:c>
      <x:c r="L103" s="63" t="str">
        <x:f>IF($A103="","",$J103/2)</x:f>
      </x:c>
      <x:c r="M103" s="63" t="str">
        <x:f>IF($A103="","",INDEX('Planejamento de Viagens'!$O$6:$O$205,MATCH($A103,'Planejamento de Viagens'!$A$6:$A$205,0)))</x:f>
      </x:c>
      <x:c r="N103" s="61" t="str">
        <x:f>IF($A103="","",COUNTIF($J$6:$J$205,"&gt;"&amp;$J103)+1)</x:f>
      </x:c>
    </x:row>
    <x:row r="104">
      <x:c r="A104" s="36"/>
      <x:c r="B104" s="67" t="str">
        <x:f>IF($A104="","",IFERROR(INDEX('Planejamento de Viagens'!$B$6:$B$205,MATCH($A104,'Planejamento de Viagens'!$A$6:$A$205,0)),""))</x:f>
      </x:c>
      <x:c r="C104" s="67" t="str">
        <x:f>IF($A104="","",IFERROR(INDEX('Planejamento de Viagens'!$C$6:$C$205,MATCH($A104,'Planejamento de Viagens'!$A$6:$A$205,0)),""))</x:f>
      </x:c>
      <x:c r="D104" s="67" t="str">
        <x:f>IF($A104="","",IFERROR(INDEX('Planejamento de Viagens'!$F$6:$F$205,MATCH($A104,'Planejamento de Viagens'!$A$6:$A$205,0)),""))</x:f>
      </x:c>
      <x:c r="E104" s="67" t="str">
        <x:f>IF($A104="","",IFERROR(INDEX('Planejamento de Viagens'!$G$6:$G$205,MATCH($A104,'Planejamento de Viagens'!$A$6:$A$205,0)),""))</x:f>
      </x:c>
      <x:c r="F104" s="61" t="str">
        <x:f>IF($A104="","",IFERROR(INDEX('Planejamento de Viagens'!$J$6:$J$205,MATCH($A104,'Planejamento de Viagens'!$A$6:$A$205,0)),0))</x:f>
      </x:c>
      <x:c r="G104" s="67" t="str">
        <x:f>IF($A104="","",IFERROR(INDEX('Planejamento de Viagens'!$K$6:$K$205,MATCH($A104,'Planejamento de Viagens'!$A$6:$A$205,0)),""))</x:f>
      </x:c>
      <x:c r="H104" s="67" t="str">
        <x:f>IF($A104="","",TEXT(INDEX('Planejamento de Viagens'!$H$6:$H$205,MATCH($A104,'Planejamento de Viagens'!$A$6:$A$205,0)),"mmm/yyyy"))</x:f>
      </x:c>
      <x:c r="I104" s="67" t="str">
        <x:f>IF($A104="","",2026)</x:f>
      </x:c>
      <x:c r="J104" s="63" t="str">
        <x:f>IF($A104="","",INDEX('Planejamento de Viagens'!$N$6:$N$205,MATCH($A104,'Planejamento de Viagens'!$A$6:$A$205,0)))</x:f>
      </x:c>
      <x:c r="K104" s="63" t="str">
        <x:f>IF($A104="","",IFERROR($J104/$F104,0))</x:f>
      </x:c>
      <x:c r="L104" s="63" t="str">
        <x:f>IF($A104="","",$J104/2)</x:f>
      </x:c>
      <x:c r="M104" s="63" t="str">
        <x:f>IF($A104="","",INDEX('Planejamento de Viagens'!$O$6:$O$205,MATCH($A104,'Planejamento de Viagens'!$A$6:$A$205,0)))</x:f>
      </x:c>
      <x:c r="N104" s="61" t="str">
        <x:f>IF($A104="","",COUNTIF($J$6:$J$205,"&gt;"&amp;$J104)+1)</x:f>
      </x:c>
    </x:row>
    <x:row r="105">
      <x:c r="A105" s="36"/>
      <x:c r="B105" s="67" t="str">
        <x:f>IF($A105="","",IFERROR(INDEX('Planejamento de Viagens'!$B$6:$B$205,MATCH($A105,'Planejamento de Viagens'!$A$6:$A$205,0)),""))</x:f>
      </x:c>
      <x:c r="C105" s="67" t="str">
        <x:f>IF($A105="","",IFERROR(INDEX('Planejamento de Viagens'!$C$6:$C$205,MATCH($A105,'Planejamento de Viagens'!$A$6:$A$205,0)),""))</x:f>
      </x:c>
      <x:c r="D105" s="67" t="str">
        <x:f>IF($A105="","",IFERROR(INDEX('Planejamento de Viagens'!$F$6:$F$205,MATCH($A105,'Planejamento de Viagens'!$A$6:$A$205,0)),""))</x:f>
      </x:c>
      <x:c r="E105" s="67" t="str">
        <x:f>IF($A105="","",IFERROR(INDEX('Planejamento de Viagens'!$G$6:$G$205,MATCH($A105,'Planejamento de Viagens'!$A$6:$A$205,0)),""))</x:f>
      </x:c>
      <x:c r="F105" s="61" t="str">
        <x:f>IF($A105="","",IFERROR(INDEX('Planejamento de Viagens'!$J$6:$J$205,MATCH($A105,'Planejamento de Viagens'!$A$6:$A$205,0)),0))</x:f>
      </x:c>
      <x:c r="G105" s="67" t="str">
        <x:f>IF($A105="","",IFERROR(INDEX('Planejamento de Viagens'!$K$6:$K$205,MATCH($A105,'Planejamento de Viagens'!$A$6:$A$205,0)),""))</x:f>
      </x:c>
      <x:c r="H105" s="67" t="str">
        <x:f>IF($A105="","",TEXT(INDEX('Planejamento de Viagens'!$H$6:$H$205,MATCH($A105,'Planejamento de Viagens'!$A$6:$A$205,0)),"mmm/yyyy"))</x:f>
      </x:c>
      <x:c r="I105" s="67" t="str">
        <x:f>IF($A105="","",2026)</x:f>
      </x:c>
      <x:c r="J105" s="63" t="str">
        <x:f>IF($A105="","",INDEX('Planejamento de Viagens'!$N$6:$N$205,MATCH($A105,'Planejamento de Viagens'!$A$6:$A$205,0)))</x:f>
      </x:c>
      <x:c r="K105" s="63" t="str">
        <x:f>IF($A105="","",IFERROR($J105/$F105,0))</x:f>
      </x:c>
      <x:c r="L105" s="63" t="str">
        <x:f>IF($A105="","",$J105/2)</x:f>
      </x:c>
      <x:c r="M105" s="63" t="str">
        <x:f>IF($A105="","",INDEX('Planejamento de Viagens'!$O$6:$O$205,MATCH($A105,'Planejamento de Viagens'!$A$6:$A$205,0)))</x:f>
      </x:c>
      <x:c r="N105" s="61" t="str">
        <x:f>IF($A105="","",COUNTIF($J$6:$J$205,"&gt;"&amp;$J105)+1)</x:f>
      </x:c>
    </x:row>
    <x:row r="106">
      <x:c r="A106" s="36"/>
      <x:c r="B106" s="67" t="str">
        <x:f>IF($A106="","",IFERROR(INDEX('Planejamento de Viagens'!$B$6:$B$205,MATCH($A106,'Planejamento de Viagens'!$A$6:$A$205,0)),""))</x:f>
      </x:c>
      <x:c r="C106" s="67" t="str">
        <x:f>IF($A106="","",IFERROR(INDEX('Planejamento de Viagens'!$C$6:$C$205,MATCH($A106,'Planejamento de Viagens'!$A$6:$A$205,0)),""))</x:f>
      </x:c>
      <x:c r="D106" s="67" t="str">
        <x:f>IF($A106="","",IFERROR(INDEX('Planejamento de Viagens'!$F$6:$F$205,MATCH($A106,'Planejamento de Viagens'!$A$6:$A$205,0)),""))</x:f>
      </x:c>
      <x:c r="E106" s="67" t="str">
        <x:f>IF($A106="","",IFERROR(INDEX('Planejamento de Viagens'!$G$6:$G$205,MATCH($A106,'Planejamento de Viagens'!$A$6:$A$205,0)),""))</x:f>
      </x:c>
      <x:c r="F106" s="61" t="str">
        <x:f>IF($A106="","",IFERROR(INDEX('Planejamento de Viagens'!$J$6:$J$205,MATCH($A106,'Planejamento de Viagens'!$A$6:$A$205,0)),0))</x:f>
      </x:c>
      <x:c r="G106" s="67" t="str">
        <x:f>IF($A106="","",IFERROR(INDEX('Planejamento de Viagens'!$K$6:$K$205,MATCH($A106,'Planejamento de Viagens'!$A$6:$A$205,0)),""))</x:f>
      </x:c>
      <x:c r="H106" s="67" t="str">
        <x:f>IF($A106="","",TEXT(INDEX('Planejamento de Viagens'!$H$6:$H$205,MATCH($A106,'Planejamento de Viagens'!$A$6:$A$205,0)),"mmm/yyyy"))</x:f>
      </x:c>
      <x:c r="I106" s="67" t="str">
        <x:f>IF($A106="","",2026)</x:f>
      </x:c>
      <x:c r="J106" s="63" t="str">
        <x:f>IF($A106="","",INDEX('Planejamento de Viagens'!$N$6:$N$205,MATCH($A106,'Planejamento de Viagens'!$A$6:$A$205,0)))</x:f>
      </x:c>
      <x:c r="K106" s="63" t="str">
        <x:f>IF($A106="","",IFERROR($J106/$F106,0))</x:f>
      </x:c>
      <x:c r="L106" s="63" t="str">
        <x:f>IF($A106="","",$J106/2)</x:f>
      </x:c>
      <x:c r="M106" s="63" t="str">
        <x:f>IF($A106="","",INDEX('Planejamento de Viagens'!$O$6:$O$205,MATCH($A106,'Planejamento de Viagens'!$A$6:$A$205,0)))</x:f>
      </x:c>
      <x:c r="N106" s="61" t="str">
        <x:f>IF($A106="","",COUNTIF($J$6:$J$205,"&gt;"&amp;$J106)+1)</x:f>
      </x:c>
    </x:row>
    <x:row r="107">
      <x:c r="A107" s="36"/>
      <x:c r="B107" s="67" t="str">
        <x:f>IF($A107="","",IFERROR(INDEX('Planejamento de Viagens'!$B$6:$B$205,MATCH($A107,'Planejamento de Viagens'!$A$6:$A$205,0)),""))</x:f>
      </x:c>
      <x:c r="C107" s="67" t="str">
        <x:f>IF($A107="","",IFERROR(INDEX('Planejamento de Viagens'!$C$6:$C$205,MATCH($A107,'Planejamento de Viagens'!$A$6:$A$205,0)),""))</x:f>
      </x:c>
      <x:c r="D107" s="67" t="str">
        <x:f>IF($A107="","",IFERROR(INDEX('Planejamento de Viagens'!$F$6:$F$205,MATCH($A107,'Planejamento de Viagens'!$A$6:$A$205,0)),""))</x:f>
      </x:c>
      <x:c r="E107" s="67" t="str">
        <x:f>IF($A107="","",IFERROR(INDEX('Planejamento de Viagens'!$G$6:$G$205,MATCH($A107,'Planejamento de Viagens'!$A$6:$A$205,0)),""))</x:f>
      </x:c>
      <x:c r="F107" s="61" t="str">
        <x:f>IF($A107="","",IFERROR(INDEX('Planejamento de Viagens'!$J$6:$J$205,MATCH($A107,'Planejamento de Viagens'!$A$6:$A$205,0)),0))</x:f>
      </x:c>
      <x:c r="G107" s="67" t="str">
        <x:f>IF($A107="","",IFERROR(INDEX('Planejamento de Viagens'!$K$6:$K$205,MATCH($A107,'Planejamento de Viagens'!$A$6:$A$205,0)),""))</x:f>
      </x:c>
      <x:c r="H107" s="67" t="str">
        <x:f>IF($A107="","",TEXT(INDEX('Planejamento de Viagens'!$H$6:$H$205,MATCH($A107,'Planejamento de Viagens'!$A$6:$A$205,0)),"mmm/yyyy"))</x:f>
      </x:c>
      <x:c r="I107" s="67" t="str">
        <x:f>IF($A107="","",2026)</x:f>
      </x:c>
      <x:c r="J107" s="63" t="str">
        <x:f>IF($A107="","",INDEX('Planejamento de Viagens'!$N$6:$N$205,MATCH($A107,'Planejamento de Viagens'!$A$6:$A$205,0)))</x:f>
      </x:c>
      <x:c r="K107" s="63" t="str">
        <x:f>IF($A107="","",IFERROR($J107/$F107,0))</x:f>
      </x:c>
      <x:c r="L107" s="63" t="str">
        <x:f>IF($A107="","",$J107/2)</x:f>
      </x:c>
      <x:c r="M107" s="63" t="str">
        <x:f>IF($A107="","",INDEX('Planejamento de Viagens'!$O$6:$O$205,MATCH($A107,'Planejamento de Viagens'!$A$6:$A$205,0)))</x:f>
      </x:c>
      <x:c r="N107" s="61" t="str">
        <x:f>IF($A107="","",COUNTIF($J$6:$J$205,"&gt;"&amp;$J107)+1)</x:f>
      </x:c>
    </x:row>
    <x:row r="108">
      <x:c r="A108" s="36"/>
      <x:c r="B108" s="67" t="str">
        <x:f>IF($A108="","",IFERROR(INDEX('Planejamento de Viagens'!$B$6:$B$205,MATCH($A108,'Planejamento de Viagens'!$A$6:$A$205,0)),""))</x:f>
      </x:c>
      <x:c r="C108" s="67" t="str">
        <x:f>IF($A108="","",IFERROR(INDEX('Planejamento de Viagens'!$C$6:$C$205,MATCH($A108,'Planejamento de Viagens'!$A$6:$A$205,0)),""))</x:f>
      </x:c>
      <x:c r="D108" s="67" t="str">
        <x:f>IF($A108="","",IFERROR(INDEX('Planejamento de Viagens'!$F$6:$F$205,MATCH($A108,'Planejamento de Viagens'!$A$6:$A$205,0)),""))</x:f>
      </x:c>
      <x:c r="E108" s="67" t="str">
        <x:f>IF($A108="","",IFERROR(INDEX('Planejamento de Viagens'!$G$6:$G$205,MATCH($A108,'Planejamento de Viagens'!$A$6:$A$205,0)),""))</x:f>
      </x:c>
      <x:c r="F108" s="61" t="str">
        <x:f>IF($A108="","",IFERROR(INDEX('Planejamento de Viagens'!$J$6:$J$205,MATCH($A108,'Planejamento de Viagens'!$A$6:$A$205,0)),0))</x:f>
      </x:c>
      <x:c r="G108" s="67" t="str">
        <x:f>IF($A108="","",IFERROR(INDEX('Planejamento de Viagens'!$K$6:$K$205,MATCH($A108,'Planejamento de Viagens'!$A$6:$A$205,0)),""))</x:f>
      </x:c>
      <x:c r="H108" s="67" t="str">
        <x:f>IF($A108="","",TEXT(INDEX('Planejamento de Viagens'!$H$6:$H$205,MATCH($A108,'Planejamento de Viagens'!$A$6:$A$205,0)),"mmm/yyyy"))</x:f>
      </x:c>
      <x:c r="I108" s="67" t="str">
        <x:f>IF($A108="","",2026)</x:f>
      </x:c>
      <x:c r="J108" s="63" t="str">
        <x:f>IF($A108="","",INDEX('Planejamento de Viagens'!$N$6:$N$205,MATCH($A108,'Planejamento de Viagens'!$A$6:$A$205,0)))</x:f>
      </x:c>
      <x:c r="K108" s="63" t="str">
        <x:f>IF($A108="","",IFERROR($J108/$F108,0))</x:f>
      </x:c>
      <x:c r="L108" s="63" t="str">
        <x:f>IF($A108="","",$J108/2)</x:f>
      </x:c>
      <x:c r="M108" s="63" t="str">
        <x:f>IF($A108="","",INDEX('Planejamento de Viagens'!$O$6:$O$205,MATCH($A108,'Planejamento de Viagens'!$A$6:$A$205,0)))</x:f>
      </x:c>
      <x:c r="N108" s="61" t="str">
        <x:f>IF($A108="","",COUNTIF($J$6:$J$205,"&gt;"&amp;$J108)+1)</x:f>
      </x:c>
    </x:row>
    <x:row r="109">
      <x:c r="A109" s="36"/>
      <x:c r="B109" s="67" t="str">
        <x:f>IF($A109="","",IFERROR(INDEX('Planejamento de Viagens'!$B$6:$B$205,MATCH($A109,'Planejamento de Viagens'!$A$6:$A$205,0)),""))</x:f>
      </x:c>
      <x:c r="C109" s="67" t="str">
        <x:f>IF($A109="","",IFERROR(INDEX('Planejamento de Viagens'!$C$6:$C$205,MATCH($A109,'Planejamento de Viagens'!$A$6:$A$205,0)),""))</x:f>
      </x:c>
      <x:c r="D109" s="67" t="str">
        <x:f>IF($A109="","",IFERROR(INDEX('Planejamento de Viagens'!$F$6:$F$205,MATCH($A109,'Planejamento de Viagens'!$A$6:$A$205,0)),""))</x:f>
      </x:c>
      <x:c r="E109" s="67" t="str">
        <x:f>IF($A109="","",IFERROR(INDEX('Planejamento de Viagens'!$G$6:$G$205,MATCH($A109,'Planejamento de Viagens'!$A$6:$A$205,0)),""))</x:f>
      </x:c>
      <x:c r="F109" s="61" t="str">
        <x:f>IF($A109="","",IFERROR(INDEX('Planejamento de Viagens'!$J$6:$J$205,MATCH($A109,'Planejamento de Viagens'!$A$6:$A$205,0)),0))</x:f>
      </x:c>
      <x:c r="G109" s="67" t="str">
        <x:f>IF($A109="","",IFERROR(INDEX('Planejamento de Viagens'!$K$6:$K$205,MATCH($A109,'Planejamento de Viagens'!$A$6:$A$205,0)),""))</x:f>
      </x:c>
      <x:c r="H109" s="67" t="str">
        <x:f>IF($A109="","",TEXT(INDEX('Planejamento de Viagens'!$H$6:$H$205,MATCH($A109,'Planejamento de Viagens'!$A$6:$A$205,0)),"mmm/yyyy"))</x:f>
      </x:c>
      <x:c r="I109" s="67" t="str">
        <x:f>IF($A109="","",2026)</x:f>
      </x:c>
      <x:c r="J109" s="63" t="str">
        <x:f>IF($A109="","",INDEX('Planejamento de Viagens'!$N$6:$N$205,MATCH($A109,'Planejamento de Viagens'!$A$6:$A$205,0)))</x:f>
      </x:c>
      <x:c r="K109" s="63" t="str">
        <x:f>IF($A109="","",IFERROR($J109/$F109,0))</x:f>
      </x:c>
      <x:c r="L109" s="63" t="str">
        <x:f>IF($A109="","",$J109/2)</x:f>
      </x:c>
      <x:c r="M109" s="63" t="str">
        <x:f>IF($A109="","",INDEX('Planejamento de Viagens'!$O$6:$O$205,MATCH($A109,'Planejamento de Viagens'!$A$6:$A$205,0)))</x:f>
      </x:c>
      <x:c r="N109" s="61" t="str">
        <x:f>IF($A109="","",COUNTIF($J$6:$J$205,"&gt;"&amp;$J109)+1)</x:f>
      </x:c>
    </x:row>
    <x:row r="110">
      <x:c r="A110" s="36"/>
      <x:c r="B110" s="67" t="str">
        <x:f>IF($A110="","",IFERROR(INDEX('Planejamento de Viagens'!$B$6:$B$205,MATCH($A110,'Planejamento de Viagens'!$A$6:$A$205,0)),""))</x:f>
      </x:c>
      <x:c r="C110" s="67" t="str">
        <x:f>IF($A110="","",IFERROR(INDEX('Planejamento de Viagens'!$C$6:$C$205,MATCH($A110,'Planejamento de Viagens'!$A$6:$A$205,0)),""))</x:f>
      </x:c>
      <x:c r="D110" s="67" t="str">
        <x:f>IF($A110="","",IFERROR(INDEX('Planejamento de Viagens'!$F$6:$F$205,MATCH($A110,'Planejamento de Viagens'!$A$6:$A$205,0)),""))</x:f>
      </x:c>
      <x:c r="E110" s="67" t="str">
        <x:f>IF($A110="","",IFERROR(INDEX('Planejamento de Viagens'!$G$6:$G$205,MATCH($A110,'Planejamento de Viagens'!$A$6:$A$205,0)),""))</x:f>
      </x:c>
      <x:c r="F110" s="61" t="str">
        <x:f>IF($A110="","",IFERROR(INDEX('Planejamento de Viagens'!$J$6:$J$205,MATCH($A110,'Planejamento de Viagens'!$A$6:$A$205,0)),0))</x:f>
      </x:c>
      <x:c r="G110" s="67" t="str">
        <x:f>IF($A110="","",IFERROR(INDEX('Planejamento de Viagens'!$K$6:$K$205,MATCH($A110,'Planejamento de Viagens'!$A$6:$A$205,0)),""))</x:f>
      </x:c>
      <x:c r="H110" s="67" t="str">
        <x:f>IF($A110="","",TEXT(INDEX('Planejamento de Viagens'!$H$6:$H$205,MATCH($A110,'Planejamento de Viagens'!$A$6:$A$205,0)),"mmm/yyyy"))</x:f>
      </x:c>
      <x:c r="I110" s="67" t="str">
        <x:f>IF($A110="","",2026)</x:f>
      </x:c>
      <x:c r="J110" s="63" t="str">
        <x:f>IF($A110="","",INDEX('Planejamento de Viagens'!$N$6:$N$205,MATCH($A110,'Planejamento de Viagens'!$A$6:$A$205,0)))</x:f>
      </x:c>
      <x:c r="K110" s="63" t="str">
        <x:f>IF($A110="","",IFERROR($J110/$F110,0))</x:f>
      </x:c>
      <x:c r="L110" s="63" t="str">
        <x:f>IF($A110="","",$J110/2)</x:f>
      </x:c>
      <x:c r="M110" s="63" t="str">
        <x:f>IF($A110="","",INDEX('Planejamento de Viagens'!$O$6:$O$205,MATCH($A110,'Planejamento de Viagens'!$A$6:$A$205,0)))</x:f>
      </x:c>
      <x:c r="N110" s="61" t="str">
        <x:f>IF($A110="","",COUNTIF($J$6:$J$205,"&gt;"&amp;$J110)+1)</x:f>
      </x:c>
    </x:row>
    <x:row r="111">
      <x:c r="A111" s="36"/>
      <x:c r="B111" s="67" t="str">
        <x:f>IF($A111="","",IFERROR(INDEX('Planejamento de Viagens'!$B$6:$B$205,MATCH($A111,'Planejamento de Viagens'!$A$6:$A$205,0)),""))</x:f>
      </x:c>
      <x:c r="C111" s="67" t="str">
        <x:f>IF($A111="","",IFERROR(INDEX('Planejamento de Viagens'!$C$6:$C$205,MATCH($A111,'Planejamento de Viagens'!$A$6:$A$205,0)),""))</x:f>
      </x:c>
      <x:c r="D111" s="67" t="str">
        <x:f>IF($A111="","",IFERROR(INDEX('Planejamento de Viagens'!$F$6:$F$205,MATCH($A111,'Planejamento de Viagens'!$A$6:$A$205,0)),""))</x:f>
      </x:c>
      <x:c r="E111" s="67" t="str">
        <x:f>IF($A111="","",IFERROR(INDEX('Planejamento de Viagens'!$G$6:$G$205,MATCH($A111,'Planejamento de Viagens'!$A$6:$A$205,0)),""))</x:f>
      </x:c>
      <x:c r="F111" s="61" t="str">
        <x:f>IF($A111="","",IFERROR(INDEX('Planejamento de Viagens'!$J$6:$J$205,MATCH($A111,'Planejamento de Viagens'!$A$6:$A$205,0)),0))</x:f>
      </x:c>
      <x:c r="G111" s="67" t="str">
        <x:f>IF($A111="","",IFERROR(INDEX('Planejamento de Viagens'!$K$6:$K$205,MATCH($A111,'Planejamento de Viagens'!$A$6:$A$205,0)),""))</x:f>
      </x:c>
      <x:c r="H111" s="67" t="str">
        <x:f>IF($A111="","",TEXT(INDEX('Planejamento de Viagens'!$H$6:$H$205,MATCH($A111,'Planejamento de Viagens'!$A$6:$A$205,0)),"mmm/yyyy"))</x:f>
      </x:c>
      <x:c r="I111" s="67" t="str">
        <x:f>IF($A111="","",2026)</x:f>
      </x:c>
      <x:c r="J111" s="63" t="str">
        <x:f>IF($A111="","",INDEX('Planejamento de Viagens'!$N$6:$N$205,MATCH($A111,'Planejamento de Viagens'!$A$6:$A$205,0)))</x:f>
      </x:c>
      <x:c r="K111" s="63" t="str">
        <x:f>IF($A111="","",IFERROR($J111/$F111,0))</x:f>
      </x:c>
      <x:c r="L111" s="63" t="str">
        <x:f>IF($A111="","",$J111/2)</x:f>
      </x:c>
      <x:c r="M111" s="63" t="str">
        <x:f>IF($A111="","",INDEX('Planejamento de Viagens'!$O$6:$O$205,MATCH($A111,'Planejamento de Viagens'!$A$6:$A$205,0)))</x:f>
      </x:c>
      <x:c r="N111" s="61" t="str">
        <x:f>IF($A111="","",COUNTIF($J$6:$J$205,"&gt;"&amp;$J111)+1)</x:f>
      </x:c>
    </x:row>
    <x:row r="112">
      <x:c r="A112" s="36"/>
      <x:c r="B112" s="67" t="str">
        <x:f>IF($A112="","",IFERROR(INDEX('Planejamento de Viagens'!$B$6:$B$205,MATCH($A112,'Planejamento de Viagens'!$A$6:$A$205,0)),""))</x:f>
      </x:c>
      <x:c r="C112" s="67" t="str">
        <x:f>IF($A112="","",IFERROR(INDEX('Planejamento de Viagens'!$C$6:$C$205,MATCH($A112,'Planejamento de Viagens'!$A$6:$A$205,0)),""))</x:f>
      </x:c>
      <x:c r="D112" s="67" t="str">
        <x:f>IF($A112="","",IFERROR(INDEX('Planejamento de Viagens'!$F$6:$F$205,MATCH($A112,'Planejamento de Viagens'!$A$6:$A$205,0)),""))</x:f>
      </x:c>
      <x:c r="E112" s="67" t="str">
        <x:f>IF($A112="","",IFERROR(INDEX('Planejamento de Viagens'!$G$6:$G$205,MATCH($A112,'Planejamento de Viagens'!$A$6:$A$205,0)),""))</x:f>
      </x:c>
      <x:c r="F112" s="61" t="str">
        <x:f>IF($A112="","",IFERROR(INDEX('Planejamento de Viagens'!$J$6:$J$205,MATCH($A112,'Planejamento de Viagens'!$A$6:$A$205,0)),0))</x:f>
      </x:c>
      <x:c r="G112" s="67" t="str">
        <x:f>IF($A112="","",IFERROR(INDEX('Planejamento de Viagens'!$K$6:$K$205,MATCH($A112,'Planejamento de Viagens'!$A$6:$A$205,0)),""))</x:f>
      </x:c>
      <x:c r="H112" s="67" t="str">
        <x:f>IF($A112="","",TEXT(INDEX('Planejamento de Viagens'!$H$6:$H$205,MATCH($A112,'Planejamento de Viagens'!$A$6:$A$205,0)),"mmm/yyyy"))</x:f>
      </x:c>
      <x:c r="I112" s="67" t="str">
        <x:f>IF($A112="","",2026)</x:f>
      </x:c>
      <x:c r="J112" s="63" t="str">
        <x:f>IF($A112="","",INDEX('Planejamento de Viagens'!$N$6:$N$205,MATCH($A112,'Planejamento de Viagens'!$A$6:$A$205,0)))</x:f>
      </x:c>
      <x:c r="K112" s="63" t="str">
        <x:f>IF($A112="","",IFERROR($J112/$F112,0))</x:f>
      </x:c>
      <x:c r="L112" s="63" t="str">
        <x:f>IF($A112="","",$J112/2)</x:f>
      </x:c>
      <x:c r="M112" s="63" t="str">
        <x:f>IF($A112="","",INDEX('Planejamento de Viagens'!$O$6:$O$205,MATCH($A112,'Planejamento de Viagens'!$A$6:$A$205,0)))</x:f>
      </x:c>
      <x:c r="N112" s="61" t="str">
        <x:f>IF($A112="","",COUNTIF($J$6:$J$205,"&gt;"&amp;$J112)+1)</x:f>
      </x:c>
    </x:row>
    <x:row r="113">
      <x:c r="A113" s="36"/>
      <x:c r="B113" s="67" t="str">
        <x:f>IF($A113="","",IFERROR(INDEX('Planejamento de Viagens'!$B$6:$B$205,MATCH($A113,'Planejamento de Viagens'!$A$6:$A$205,0)),""))</x:f>
      </x:c>
      <x:c r="C113" s="67" t="str">
        <x:f>IF($A113="","",IFERROR(INDEX('Planejamento de Viagens'!$C$6:$C$205,MATCH($A113,'Planejamento de Viagens'!$A$6:$A$205,0)),""))</x:f>
      </x:c>
      <x:c r="D113" s="67" t="str">
        <x:f>IF($A113="","",IFERROR(INDEX('Planejamento de Viagens'!$F$6:$F$205,MATCH($A113,'Planejamento de Viagens'!$A$6:$A$205,0)),""))</x:f>
      </x:c>
      <x:c r="E113" s="67" t="str">
        <x:f>IF($A113="","",IFERROR(INDEX('Planejamento de Viagens'!$G$6:$G$205,MATCH($A113,'Planejamento de Viagens'!$A$6:$A$205,0)),""))</x:f>
      </x:c>
      <x:c r="F113" s="61" t="str">
        <x:f>IF($A113="","",IFERROR(INDEX('Planejamento de Viagens'!$J$6:$J$205,MATCH($A113,'Planejamento de Viagens'!$A$6:$A$205,0)),0))</x:f>
      </x:c>
      <x:c r="G113" s="67" t="str">
        <x:f>IF($A113="","",IFERROR(INDEX('Planejamento de Viagens'!$K$6:$K$205,MATCH($A113,'Planejamento de Viagens'!$A$6:$A$205,0)),""))</x:f>
      </x:c>
      <x:c r="H113" s="67" t="str">
        <x:f>IF($A113="","",TEXT(INDEX('Planejamento de Viagens'!$H$6:$H$205,MATCH($A113,'Planejamento de Viagens'!$A$6:$A$205,0)),"mmm/yyyy"))</x:f>
      </x:c>
      <x:c r="I113" s="67" t="str">
        <x:f>IF($A113="","",2026)</x:f>
      </x:c>
      <x:c r="J113" s="63" t="str">
        <x:f>IF($A113="","",INDEX('Planejamento de Viagens'!$N$6:$N$205,MATCH($A113,'Planejamento de Viagens'!$A$6:$A$205,0)))</x:f>
      </x:c>
      <x:c r="K113" s="63" t="str">
        <x:f>IF($A113="","",IFERROR($J113/$F113,0))</x:f>
      </x:c>
      <x:c r="L113" s="63" t="str">
        <x:f>IF($A113="","",$J113/2)</x:f>
      </x:c>
      <x:c r="M113" s="63" t="str">
        <x:f>IF($A113="","",INDEX('Planejamento de Viagens'!$O$6:$O$205,MATCH($A113,'Planejamento de Viagens'!$A$6:$A$205,0)))</x:f>
      </x:c>
      <x:c r="N113" s="61" t="str">
        <x:f>IF($A113="","",COUNTIF($J$6:$J$205,"&gt;"&amp;$J113)+1)</x:f>
      </x:c>
    </x:row>
    <x:row r="114">
      <x:c r="A114" s="36"/>
      <x:c r="B114" s="67" t="str">
        <x:f>IF($A114="","",IFERROR(INDEX('Planejamento de Viagens'!$B$6:$B$205,MATCH($A114,'Planejamento de Viagens'!$A$6:$A$205,0)),""))</x:f>
      </x:c>
      <x:c r="C114" s="67" t="str">
        <x:f>IF($A114="","",IFERROR(INDEX('Planejamento de Viagens'!$C$6:$C$205,MATCH($A114,'Planejamento de Viagens'!$A$6:$A$205,0)),""))</x:f>
      </x:c>
      <x:c r="D114" s="67" t="str">
        <x:f>IF($A114="","",IFERROR(INDEX('Planejamento de Viagens'!$F$6:$F$205,MATCH($A114,'Planejamento de Viagens'!$A$6:$A$205,0)),""))</x:f>
      </x:c>
      <x:c r="E114" s="67" t="str">
        <x:f>IF($A114="","",IFERROR(INDEX('Planejamento de Viagens'!$G$6:$G$205,MATCH($A114,'Planejamento de Viagens'!$A$6:$A$205,0)),""))</x:f>
      </x:c>
      <x:c r="F114" s="61" t="str">
        <x:f>IF($A114="","",IFERROR(INDEX('Planejamento de Viagens'!$J$6:$J$205,MATCH($A114,'Planejamento de Viagens'!$A$6:$A$205,0)),0))</x:f>
      </x:c>
      <x:c r="G114" s="67" t="str">
        <x:f>IF($A114="","",IFERROR(INDEX('Planejamento de Viagens'!$K$6:$K$205,MATCH($A114,'Planejamento de Viagens'!$A$6:$A$205,0)),""))</x:f>
      </x:c>
      <x:c r="H114" s="67" t="str">
        <x:f>IF($A114="","",TEXT(INDEX('Planejamento de Viagens'!$H$6:$H$205,MATCH($A114,'Planejamento de Viagens'!$A$6:$A$205,0)),"mmm/yyyy"))</x:f>
      </x:c>
      <x:c r="I114" s="67" t="str">
        <x:f>IF($A114="","",2026)</x:f>
      </x:c>
      <x:c r="J114" s="63" t="str">
        <x:f>IF($A114="","",INDEX('Planejamento de Viagens'!$N$6:$N$205,MATCH($A114,'Planejamento de Viagens'!$A$6:$A$205,0)))</x:f>
      </x:c>
      <x:c r="K114" s="63" t="str">
        <x:f>IF($A114="","",IFERROR($J114/$F114,0))</x:f>
      </x:c>
      <x:c r="L114" s="63" t="str">
        <x:f>IF($A114="","",$J114/2)</x:f>
      </x:c>
      <x:c r="M114" s="63" t="str">
        <x:f>IF($A114="","",INDEX('Planejamento de Viagens'!$O$6:$O$205,MATCH($A114,'Planejamento de Viagens'!$A$6:$A$205,0)))</x:f>
      </x:c>
      <x:c r="N114" s="61" t="str">
        <x:f>IF($A114="","",COUNTIF($J$6:$J$205,"&gt;"&amp;$J114)+1)</x:f>
      </x:c>
    </x:row>
    <x:row r="115">
      <x:c r="A115" s="36"/>
      <x:c r="B115" s="67" t="str">
        <x:f>IF($A115="","",IFERROR(INDEX('Planejamento de Viagens'!$B$6:$B$205,MATCH($A115,'Planejamento de Viagens'!$A$6:$A$205,0)),""))</x:f>
      </x:c>
      <x:c r="C115" s="67" t="str">
        <x:f>IF($A115="","",IFERROR(INDEX('Planejamento de Viagens'!$C$6:$C$205,MATCH($A115,'Planejamento de Viagens'!$A$6:$A$205,0)),""))</x:f>
      </x:c>
      <x:c r="D115" s="67" t="str">
        <x:f>IF($A115="","",IFERROR(INDEX('Planejamento de Viagens'!$F$6:$F$205,MATCH($A115,'Planejamento de Viagens'!$A$6:$A$205,0)),""))</x:f>
      </x:c>
      <x:c r="E115" s="67" t="str">
        <x:f>IF($A115="","",IFERROR(INDEX('Planejamento de Viagens'!$G$6:$G$205,MATCH($A115,'Planejamento de Viagens'!$A$6:$A$205,0)),""))</x:f>
      </x:c>
      <x:c r="F115" s="61" t="str">
        <x:f>IF($A115="","",IFERROR(INDEX('Planejamento de Viagens'!$J$6:$J$205,MATCH($A115,'Planejamento de Viagens'!$A$6:$A$205,0)),0))</x:f>
      </x:c>
      <x:c r="G115" s="67" t="str">
        <x:f>IF($A115="","",IFERROR(INDEX('Planejamento de Viagens'!$K$6:$K$205,MATCH($A115,'Planejamento de Viagens'!$A$6:$A$205,0)),""))</x:f>
      </x:c>
      <x:c r="H115" s="67" t="str">
        <x:f>IF($A115="","",TEXT(INDEX('Planejamento de Viagens'!$H$6:$H$205,MATCH($A115,'Planejamento de Viagens'!$A$6:$A$205,0)),"mmm/yyyy"))</x:f>
      </x:c>
      <x:c r="I115" s="67" t="str">
        <x:f>IF($A115="","",2026)</x:f>
      </x:c>
      <x:c r="J115" s="63" t="str">
        <x:f>IF($A115="","",INDEX('Planejamento de Viagens'!$N$6:$N$205,MATCH($A115,'Planejamento de Viagens'!$A$6:$A$205,0)))</x:f>
      </x:c>
      <x:c r="K115" s="63" t="str">
        <x:f>IF($A115="","",IFERROR($J115/$F115,0))</x:f>
      </x:c>
      <x:c r="L115" s="63" t="str">
        <x:f>IF($A115="","",$J115/2)</x:f>
      </x:c>
      <x:c r="M115" s="63" t="str">
        <x:f>IF($A115="","",INDEX('Planejamento de Viagens'!$O$6:$O$205,MATCH($A115,'Planejamento de Viagens'!$A$6:$A$205,0)))</x:f>
      </x:c>
      <x:c r="N115" s="61" t="str">
        <x:f>IF($A115="","",COUNTIF($J$6:$J$205,"&gt;"&amp;$J115)+1)</x:f>
      </x:c>
    </x:row>
    <x:row r="116">
      <x:c r="A116" s="36"/>
      <x:c r="B116" s="67" t="str">
        <x:f>IF($A116="","",IFERROR(INDEX('Planejamento de Viagens'!$B$6:$B$205,MATCH($A116,'Planejamento de Viagens'!$A$6:$A$205,0)),""))</x:f>
      </x:c>
      <x:c r="C116" s="67" t="str">
        <x:f>IF($A116="","",IFERROR(INDEX('Planejamento de Viagens'!$C$6:$C$205,MATCH($A116,'Planejamento de Viagens'!$A$6:$A$205,0)),""))</x:f>
      </x:c>
      <x:c r="D116" s="67" t="str">
        <x:f>IF($A116="","",IFERROR(INDEX('Planejamento de Viagens'!$F$6:$F$205,MATCH($A116,'Planejamento de Viagens'!$A$6:$A$205,0)),""))</x:f>
      </x:c>
      <x:c r="E116" s="67" t="str">
        <x:f>IF($A116="","",IFERROR(INDEX('Planejamento de Viagens'!$G$6:$G$205,MATCH($A116,'Planejamento de Viagens'!$A$6:$A$205,0)),""))</x:f>
      </x:c>
      <x:c r="F116" s="61" t="str">
        <x:f>IF($A116="","",IFERROR(INDEX('Planejamento de Viagens'!$J$6:$J$205,MATCH($A116,'Planejamento de Viagens'!$A$6:$A$205,0)),0))</x:f>
      </x:c>
      <x:c r="G116" s="67" t="str">
        <x:f>IF($A116="","",IFERROR(INDEX('Planejamento de Viagens'!$K$6:$K$205,MATCH($A116,'Planejamento de Viagens'!$A$6:$A$205,0)),""))</x:f>
      </x:c>
      <x:c r="H116" s="67" t="str">
        <x:f>IF($A116="","",TEXT(INDEX('Planejamento de Viagens'!$H$6:$H$205,MATCH($A116,'Planejamento de Viagens'!$A$6:$A$205,0)),"mmm/yyyy"))</x:f>
      </x:c>
      <x:c r="I116" s="67" t="str">
        <x:f>IF($A116="","",2026)</x:f>
      </x:c>
      <x:c r="J116" s="63" t="str">
        <x:f>IF($A116="","",INDEX('Planejamento de Viagens'!$N$6:$N$205,MATCH($A116,'Planejamento de Viagens'!$A$6:$A$205,0)))</x:f>
      </x:c>
      <x:c r="K116" s="63" t="str">
        <x:f>IF($A116="","",IFERROR($J116/$F116,0))</x:f>
      </x:c>
      <x:c r="L116" s="63" t="str">
        <x:f>IF($A116="","",$J116/2)</x:f>
      </x:c>
      <x:c r="M116" s="63" t="str">
        <x:f>IF($A116="","",INDEX('Planejamento de Viagens'!$O$6:$O$205,MATCH($A116,'Planejamento de Viagens'!$A$6:$A$205,0)))</x:f>
      </x:c>
      <x:c r="N116" s="61" t="str">
        <x:f>IF($A116="","",COUNTIF($J$6:$J$205,"&gt;"&amp;$J116)+1)</x:f>
      </x:c>
    </x:row>
    <x:row r="117">
      <x:c r="A117" s="36"/>
      <x:c r="B117" s="67" t="str">
        <x:f>IF($A117="","",IFERROR(INDEX('Planejamento de Viagens'!$B$6:$B$205,MATCH($A117,'Planejamento de Viagens'!$A$6:$A$205,0)),""))</x:f>
      </x:c>
      <x:c r="C117" s="67" t="str">
        <x:f>IF($A117="","",IFERROR(INDEX('Planejamento de Viagens'!$C$6:$C$205,MATCH($A117,'Planejamento de Viagens'!$A$6:$A$205,0)),""))</x:f>
      </x:c>
      <x:c r="D117" s="67" t="str">
        <x:f>IF($A117="","",IFERROR(INDEX('Planejamento de Viagens'!$F$6:$F$205,MATCH($A117,'Planejamento de Viagens'!$A$6:$A$205,0)),""))</x:f>
      </x:c>
      <x:c r="E117" s="67" t="str">
        <x:f>IF($A117="","",IFERROR(INDEX('Planejamento de Viagens'!$G$6:$G$205,MATCH($A117,'Planejamento de Viagens'!$A$6:$A$205,0)),""))</x:f>
      </x:c>
      <x:c r="F117" s="61" t="str">
        <x:f>IF($A117="","",IFERROR(INDEX('Planejamento de Viagens'!$J$6:$J$205,MATCH($A117,'Planejamento de Viagens'!$A$6:$A$205,0)),0))</x:f>
      </x:c>
      <x:c r="G117" s="67" t="str">
        <x:f>IF($A117="","",IFERROR(INDEX('Planejamento de Viagens'!$K$6:$K$205,MATCH($A117,'Planejamento de Viagens'!$A$6:$A$205,0)),""))</x:f>
      </x:c>
      <x:c r="H117" s="67" t="str">
        <x:f>IF($A117="","",TEXT(INDEX('Planejamento de Viagens'!$H$6:$H$205,MATCH($A117,'Planejamento de Viagens'!$A$6:$A$205,0)),"mmm/yyyy"))</x:f>
      </x:c>
      <x:c r="I117" s="67" t="str">
        <x:f>IF($A117="","",2026)</x:f>
      </x:c>
      <x:c r="J117" s="63" t="str">
        <x:f>IF($A117="","",INDEX('Planejamento de Viagens'!$N$6:$N$205,MATCH($A117,'Planejamento de Viagens'!$A$6:$A$205,0)))</x:f>
      </x:c>
      <x:c r="K117" s="63" t="str">
        <x:f>IF($A117="","",IFERROR($J117/$F117,0))</x:f>
      </x:c>
      <x:c r="L117" s="63" t="str">
        <x:f>IF($A117="","",$J117/2)</x:f>
      </x:c>
      <x:c r="M117" s="63" t="str">
        <x:f>IF($A117="","",INDEX('Planejamento de Viagens'!$O$6:$O$205,MATCH($A117,'Planejamento de Viagens'!$A$6:$A$205,0)))</x:f>
      </x:c>
      <x:c r="N117" s="61" t="str">
        <x:f>IF($A117="","",COUNTIF($J$6:$J$205,"&gt;"&amp;$J117)+1)</x:f>
      </x:c>
    </x:row>
    <x:row r="118">
      <x:c r="A118" s="36"/>
      <x:c r="B118" s="67" t="str">
        <x:f>IF($A118="","",IFERROR(INDEX('Planejamento de Viagens'!$B$6:$B$205,MATCH($A118,'Planejamento de Viagens'!$A$6:$A$205,0)),""))</x:f>
      </x:c>
      <x:c r="C118" s="67" t="str">
        <x:f>IF($A118="","",IFERROR(INDEX('Planejamento de Viagens'!$C$6:$C$205,MATCH($A118,'Planejamento de Viagens'!$A$6:$A$205,0)),""))</x:f>
      </x:c>
      <x:c r="D118" s="67" t="str">
        <x:f>IF($A118="","",IFERROR(INDEX('Planejamento de Viagens'!$F$6:$F$205,MATCH($A118,'Planejamento de Viagens'!$A$6:$A$205,0)),""))</x:f>
      </x:c>
      <x:c r="E118" s="67" t="str">
        <x:f>IF($A118="","",IFERROR(INDEX('Planejamento de Viagens'!$G$6:$G$205,MATCH($A118,'Planejamento de Viagens'!$A$6:$A$205,0)),""))</x:f>
      </x:c>
      <x:c r="F118" s="61" t="str">
        <x:f>IF($A118="","",IFERROR(INDEX('Planejamento de Viagens'!$J$6:$J$205,MATCH($A118,'Planejamento de Viagens'!$A$6:$A$205,0)),0))</x:f>
      </x:c>
      <x:c r="G118" s="67" t="str">
        <x:f>IF($A118="","",IFERROR(INDEX('Planejamento de Viagens'!$K$6:$K$205,MATCH($A118,'Planejamento de Viagens'!$A$6:$A$205,0)),""))</x:f>
      </x:c>
      <x:c r="H118" s="67" t="str">
        <x:f>IF($A118="","",TEXT(INDEX('Planejamento de Viagens'!$H$6:$H$205,MATCH($A118,'Planejamento de Viagens'!$A$6:$A$205,0)),"mmm/yyyy"))</x:f>
      </x:c>
      <x:c r="I118" s="67" t="str">
        <x:f>IF($A118="","",2026)</x:f>
      </x:c>
      <x:c r="J118" s="63" t="str">
        <x:f>IF($A118="","",INDEX('Planejamento de Viagens'!$N$6:$N$205,MATCH($A118,'Planejamento de Viagens'!$A$6:$A$205,0)))</x:f>
      </x:c>
      <x:c r="K118" s="63" t="str">
        <x:f>IF($A118="","",IFERROR($J118/$F118,0))</x:f>
      </x:c>
      <x:c r="L118" s="63" t="str">
        <x:f>IF($A118="","",$J118/2)</x:f>
      </x:c>
      <x:c r="M118" s="63" t="str">
        <x:f>IF($A118="","",INDEX('Planejamento de Viagens'!$O$6:$O$205,MATCH($A118,'Planejamento de Viagens'!$A$6:$A$205,0)))</x:f>
      </x:c>
      <x:c r="N118" s="61" t="str">
        <x:f>IF($A118="","",COUNTIF($J$6:$J$205,"&gt;"&amp;$J118)+1)</x:f>
      </x:c>
    </x:row>
    <x:row r="119">
      <x:c r="A119" s="36"/>
      <x:c r="B119" s="67" t="str">
        <x:f>IF($A119="","",IFERROR(INDEX('Planejamento de Viagens'!$B$6:$B$205,MATCH($A119,'Planejamento de Viagens'!$A$6:$A$205,0)),""))</x:f>
      </x:c>
      <x:c r="C119" s="67" t="str">
        <x:f>IF($A119="","",IFERROR(INDEX('Planejamento de Viagens'!$C$6:$C$205,MATCH($A119,'Planejamento de Viagens'!$A$6:$A$205,0)),""))</x:f>
      </x:c>
      <x:c r="D119" s="67" t="str">
        <x:f>IF($A119="","",IFERROR(INDEX('Planejamento de Viagens'!$F$6:$F$205,MATCH($A119,'Planejamento de Viagens'!$A$6:$A$205,0)),""))</x:f>
      </x:c>
      <x:c r="E119" s="67" t="str">
        <x:f>IF($A119="","",IFERROR(INDEX('Planejamento de Viagens'!$G$6:$G$205,MATCH($A119,'Planejamento de Viagens'!$A$6:$A$205,0)),""))</x:f>
      </x:c>
      <x:c r="F119" s="61" t="str">
        <x:f>IF($A119="","",IFERROR(INDEX('Planejamento de Viagens'!$J$6:$J$205,MATCH($A119,'Planejamento de Viagens'!$A$6:$A$205,0)),0))</x:f>
      </x:c>
      <x:c r="G119" s="67" t="str">
        <x:f>IF($A119="","",IFERROR(INDEX('Planejamento de Viagens'!$K$6:$K$205,MATCH($A119,'Planejamento de Viagens'!$A$6:$A$205,0)),""))</x:f>
      </x:c>
      <x:c r="H119" s="67" t="str">
        <x:f>IF($A119="","",TEXT(INDEX('Planejamento de Viagens'!$H$6:$H$205,MATCH($A119,'Planejamento de Viagens'!$A$6:$A$205,0)),"mmm/yyyy"))</x:f>
      </x:c>
      <x:c r="I119" s="67" t="str">
        <x:f>IF($A119="","",2026)</x:f>
      </x:c>
      <x:c r="J119" s="63" t="str">
        <x:f>IF($A119="","",INDEX('Planejamento de Viagens'!$N$6:$N$205,MATCH($A119,'Planejamento de Viagens'!$A$6:$A$205,0)))</x:f>
      </x:c>
      <x:c r="K119" s="63" t="str">
        <x:f>IF($A119="","",IFERROR($J119/$F119,0))</x:f>
      </x:c>
      <x:c r="L119" s="63" t="str">
        <x:f>IF($A119="","",$J119/2)</x:f>
      </x:c>
      <x:c r="M119" s="63" t="str">
        <x:f>IF($A119="","",INDEX('Planejamento de Viagens'!$O$6:$O$205,MATCH($A119,'Planejamento de Viagens'!$A$6:$A$205,0)))</x:f>
      </x:c>
      <x:c r="N119" s="61" t="str">
        <x:f>IF($A119="","",COUNTIF($J$6:$J$205,"&gt;"&amp;$J119)+1)</x:f>
      </x:c>
    </x:row>
    <x:row r="120">
      <x:c r="A120" s="36"/>
      <x:c r="B120" s="67" t="str">
        <x:f>IF($A120="","",IFERROR(INDEX('Planejamento de Viagens'!$B$6:$B$205,MATCH($A120,'Planejamento de Viagens'!$A$6:$A$205,0)),""))</x:f>
      </x:c>
      <x:c r="C120" s="67" t="str">
        <x:f>IF($A120="","",IFERROR(INDEX('Planejamento de Viagens'!$C$6:$C$205,MATCH($A120,'Planejamento de Viagens'!$A$6:$A$205,0)),""))</x:f>
      </x:c>
      <x:c r="D120" s="67" t="str">
        <x:f>IF($A120="","",IFERROR(INDEX('Planejamento de Viagens'!$F$6:$F$205,MATCH($A120,'Planejamento de Viagens'!$A$6:$A$205,0)),""))</x:f>
      </x:c>
      <x:c r="E120" s="67" t="str">
        <x:f>IF($A120="","",IFERROR(INDEX('Planejamento de Viagens'!$G$6:$G$205,MATCH($A120,'Planejamento de Viagens'!$A$6:$A$205,0)),""))</x:f>
      </x:c>
      <x:c r="F120" s="61" t="str">
        <x:f>IF($A120="","",IFERROR(INDEX('Planejamento de Viagens'!$J$6:$J$205,MATCH($A120,'Planejamento de Viagens'!$A$6:$A$205,0)),0))</x:f>
      </x:c>
      <x:c r="G120" s="67" t="str">
        <x:f>IF($A120="","",IFERROR(INDEX('Planejamento de Viagens'!$K$6:$K$205,MATCH($A120,'Planejamento de Viagens'!$A$6:$A$205,0)),""))</x:f>
      </x:c>
      <x:c r="H120" s="67" t="str">
        <x:f>IF($A120="","",TEXT(INDEX('Planejamento de Viagens'!$H$6:$H$205,MATCH($A120,'Planejamento de Viagens'!$A$6:$A$205,0)),"mmm/yyyy"))</x:f>
      </x:c>
      <x:c r="I120" s="67" t="str">
        <x:f>IF($A120="","",2026)</x:f>
      </x:c>
      <x:c r="J120" s="63" t="str">
        <x:f>IF($A120="","",INDEX('Planejamento de Viagens'!$N$6:$N$205,MATCH($A120,'Planejamento de Viagens'!$A$6:$A$205,0)))</x:f>
      </x:c>
      <x:c r="K120" s="63" t="str">
        <x:f>IF($A120="","",IFERROR($J120/$F120,0))</x:f>
      </x:c>
      <x:c r="L120" s="63" t="str">
        <x:f>IF($A120="","",$J120/2)</x:f>
      </x:c>
      <x:c r="M120" s="63" t="str">
        <x:f>IF($A120="","",INDEX('Planejamento de Viagens'!$O$6:$O$205,MATCH($A120,'Planejamento de Viagens'!$A$6:$A$205,0)))</x:f>
      </x:c>
      <x:c r="N120" s="61" t="str">
        <x:f>IF($A120="","",COUNTIF($J$6:$J$205,"&gt;"&amp;$J120)+1)</x:f>
      </x:c>
    </x:row>
    <x:row r="121">
      <x:c r="A121" s="36"/>
      <x:c r="B121" s="67" t="str">
        <x:f>IF($A121="","",IFERROR(INDEX('Planejamento de Viagens'!$B$6:$B$205,MATCH($A121,'Planejamento de Viagens'!$A$6:$A$205,0)),""))</x:f>
      </x:c>
      <x:c r="C121" s="67" t="str">
        <x:f>IF($A121="","",IFERROR(INDEX('Planejamento de Viagens'!$C$6:$C$205,MATCH($A121,'Planejamento de Viagens'!$A$6:$A$205,0)),""))</x:f>
      </x:c>
      <x:c r="D121" s="67" t="str">
        <x:f>IF($A121="","",IFERROR(INDEX('Planejamento de Viagens'!$F$6:$F$205,MATCH($A121,'Planejamento de Viagens'!$A$6:$A$205,0)),""))</x:f>
      </x:c>
      <x:c r="E121" s="67" t="str">
        <x:f>IF($A121="","",IFERROR(INDEX('Planejamento de Viagens'!$G$6:$G$205,MATCH($A121,'Planejamento de Viagens'!$A$6:$A$205,0)),""))</x:f>
      </x:c>
      <x:c r="F121" s="61" t="str">
        <x:f>IF($A121="","",IFERROR(INDEX('Planejamento de Viagens'!$J$6:$J$205,MATCH($A121,'Planejamento de Viagens'!$A$6:$A$205,0)),0))</x:f>
      </x:c>
      <x:c r="G121" s="67" t="str">
        <x:f>IF($A121="","",IFERROR(INDEX('Planejamento de Viagens'!$K$6:$K$205,MATCH($A121,'Planejamento de Viagens'!$A$6:$A$205,0)),""))</x:f>
      </x:c>
      <x:c r="H121" s="67" t="str">
        <x:f>IF($A121="","",TEXT(INDEX('Planejamento de Viagens'!$H$6:$H$205,MATCH($A121,'Planejamento de Viagens'!$A$6:$A$205,0)),"mmm/yyyy"))</x:f>
      </x:c>
      <x:c r="I121" s="67" t="str">
        <x:f>IF($A121="","",2026)</x:f>
      </x:c>
      <x:c r="J121" s="63" t="str">
        <x:f>IF($A121="","",INDEX('Planejamento de Viagens'!$N$6:$N$205,MATCH($A121,'Planejamento de Viagens'!$A$6:$A$205,0)))</x:f>
      </x:c>
      <x:c r="K121" s="63" t="str">
        <x:f>IF($A121="","",IFERROR($J121/$F121,0))</x:f>
      </x:c>
      <x:c r="L121" s="63" t="str">
        <x:f>IF($A121="","",$J121/2)</x:f>
      </x:c>
      <x:c r="M121" s="63" t="str">
        <x:f>IF($A121="","",INDEX('Planejamento de Viagens'!$O$6:$O$205,MATCH($A121,'Planejamento de Viagens'!$A$6:$A$205,0)))</x:f>
      </x:c>
      <x:c r="N121" s="61" t="str">
        <x:f>IF($A121="","",COUNTIF($J$6:$J$205,"&gt;"&amp;$J121)+1)</x:f>
      </x:c>
    </x:row>
    <x:row r="122">
      <x:c r="A122" s="36"/>
      <x:c r="B122" s="67" t="str">
        <x:f>IF($A122="","",IFERROR(INDEX('Planejamento de Viagens'!$B$6:$B$205,MATCH($A122,'Planejamento de Viagens'!$A$6:$A$205,0)),""))</x:f>
      </x:c>
      <x:c r="C122" s="67" t="str">
        <x:f>IF($A122="","",IFERROR(INDEX('Planejamento de Viagens'!$C$6:$C$205,MATCH($A122,'Planejamento de Viagens'!$A$6:$A$205,0)),""))</x:f>
      </x:c>
      <x:c r="D122" s="67" t="str">
        <x:f>IF($A122="","",IFERROR(INDEX('Planejamento de Viagens'!$F$6:$F$205,MATCH($A122,'Planejamento de Viagens'!$A$6:$A$205,0)),""))</x:f>
      </x:c>
      <x:c r="E122" s="67" t="str">
        <x:f>IF($A122="","",IFERROR(INDEX('Planejamento de Viagens'!$G$6:$G$205,MATCH($A122,'Planejamento de Viagens'!$A$6:$A$205,0)),""))</x:f>
      </x:c>
      <x:c r="F122" s="61" t="str">
        <x:f>IF($A122="","",IFERROR(INDEX('Planejamento de Viagens'!$J$6:$J$205,MATCH($A122,'Planejamento de Viagens'!$A$6:$A$205,0)),0))</x:f>
      </x:c>
      <x:c r="G122" s="67" t="str">
        <x:f>IF($A122="","",IFERROR(INDEX('Planejamento de Viagens'!$K$6:$K$205,MATCH($A122,'Planejamento de Viagens'!$A$6:$A$205,0)),""))</x:f>
      </x:c>
      <x:c r="H122" s="67" t="str">
        <x:f>IF($A122="","",TEXT(INDEX('Planejamento de Viagens'!$H$6:$H$205,MATCH($A122,'Planejamento de Viagens'!$A$6:$A$205,0)),"mmm/yyyy"))</x:f>
      </x:c>
      <x:c r="I122" s="67" t="str">
        <x:f>IF($A122="","",2026)</x:f>
      </x:c>
      <x:c r="J122" s="63" t="str">
        <x:f>IF($A122="","",INDEX('Planejamento de Viagens'!$N$6:$N$205,MATCH($A122,'Planejamento de Viagens'!$A$6:$A$205,0)))</x:f>
      </x:c>
      <x:c r="K122" s="63" t="str">
        <x:f>IF($A122="","",IFERROR($J122/$F122,0))</x:f>
      </x:c>
      <x:c r="L122" s="63" t="str">
        <x:f>IF($A122="","",$J122/2)</x:f>
      </x:c>
      <x:c r="M122" s="63" t="str">
        <x:f>IF($A122="","",INDEX('Planejamento de Viagens'!$O$6:$O$205,MATCH($A122,'Planejamento de Viagens'!$A$6:$A$205,0)))</x:f>
      </x:c>
      <x:c r="N122" s="61" t="str">
        <x:f>IF($A122="","",COUNTIF($J$6:$J$205,"&gt;"&amp;$J122)+1)</x:f>
      </x:c>
    </x:row>
    <x:row r="123">
      <x:c r="A123" s="36"/>
      <x:c r="B123" s="67" t="str">
        <x:f>IF($A123="","",IFERROR(INDEX('Planejamento de Viagens'!$B$6:$B$205,MATCH($A123,'Planejamento de Viagens'!$A$6:$A$205,0)),""))</x:f>
      </x:c>
      <x:c r="C123" s="67" t="str">
        <x:f>IF($A123="","",IFERROR(INDEX('Planejamento de Viagens'!$C$6:$C$205,MATCH($A123,'Planejamento de Viagens'!$A$6:$A$205,0)),""))</x:f>
      </x:c>
      <x:c r="D123" s="67" t="str">
        <x:f>IF($A123="","",IFERROR(INDEX('Planejamento de Viagens'!$F$6:$F$205,MATCH($A123,'Planejamento de Viagens'!$A$6:$A$205,0)),""))</x:f>
      </x:c>
      <x:c r="E123" s="67" t="str">
        <x:f>IF($A123="","",IFERROR(INDEX('Planejamento de Viagens'!$G$6:$G$205,MATCH($A123,'Planejamento de Viagens'!$A$6:$A$205,0)),""))</x:f>
      </x:c>
      <x:c r="F123" s="61" t="str">
        <x:f>IF($A123="","",IFERROR(INDEX('Planejamento de Viagens'!$J$6:$J$205,MATCH($A123,'Planejamento de Viagens'!$A$6:$A$205,0)),0))</x:f>
      </x:c>
      <x:c r="G123" s="67" t="str">
        <x:f>IF($A123="","",IFERROR(INDEX('Planejamento de Viagens'!$K$6:$K$205,MATCH($A123,'Planejamento de Viagens'!$A$6:$A$205,0)),""))</x:f>
      </x:c>
      <x:c r="H123" s="67" t="str">
        <x:f>IF($A123="","",TEXT(INDEX('Planejamento de Viagens'!$H$6:$H$205,MATCH($A123,'Planejamento de Viagens'!$A$6:$A$205,0)),"mmm/yyyy"))</x:f>
      </x:c>
      <x:c r="I123" s="67" t="str">
        <x:f>IF($A123="","",2026)</x:f>
      </x:c>
      <x:c r="J123" s="63" t="str">
        <x:f>IF($A123="","",INDEX('Planejamento de Viagens'!$N$6:$N$205,MATCH($A123,'Planejamento de Viagens'!$A$6:$A$205,0)))</x:f>
      </x:c>
      <x:c r="K123" s="63" t="str">
        <x:f>IF($A123="","",IFERROR($J123/$F123,0))</x:f>
      </x:c>
      <x:c r="L123" s="63" t="str">
        <x:f>IF($A123="","",$J123/2)</x:f>
      </x:c>
      <x:c r="M123" s="63" t="str">
        <x:f>IF($A123="","",INDEX('Planejamento de Viagens'!$O$6:$O$205,MATCH($A123,'Planejamento de Viagens'!$A$6:$A$205,0)))</x:f>
      </x:c>
      <x:c r="N123" s="61" t="str">
        <x:f>IF($A123="","",COUNTIF($J$6:$J$205,"&gt;"&amp;$J123)+1)</x:f>
      </x:c>
    </x:row>
    <x:row r="124">
      <x:c r="A124" s="36"/>
      <x:c r="B124" s="67" t="str">
        <x:f>IF($A124="","",IFERROR(INDEX('Planejamento de Viagens'!$B$6:$B$205,MATCH($A124,'Planejamento de Viagens'!$A$6:$A$205,0)),""))</x:f>
      </x:c>
      <x:c r="C124" s="67" t="str">
        <x:f>IF($A124="","",IFERROR(INDEX('Planejamento de Viagens'!$C$6:$C$205,MATCH($A124,'Planejamento de Viagens'!$A$6:$A$205,0)),""))</x:f>
      </x:c>
      <x:c r="D124" s="67" t="str">
        <x:f>IF($A124="","",IFERROR(INDEX('Planejamento de Viagens'!$F$6:$F$205,MATCH($A124,'Planejamento de Viagens'!$A$6:$A$205,0)),""))</x:f>
      </x:c>
      <x:c r="E124" s="67" t="str">
        <x:f>IF($A124="","",IFERROR(INDEX('Planejamento de Viagens'!$G$6:$G$205,MATCH($A124,'Planejamento de Viagens'!$A$6:$A$205,0)),""))</x:f>
      </x:c>
      <x:c r="F124" s="61" t="str">
        <x:f>IF($A124="","",IFERROR(INDEX('Planejamento de Viagens'!$J$6:$J$205,MATCH($A124,'Planejamento de Viagens'!$A$6:$A$205,0)),0))</x:f>
      </x:c>
      <x:c r="G124" s="67" t="str">
        <x:f>IF($A124="","",IFERROR(INDEX('Planejamento de Viagens'!$K$6:$K$205,MATCH($A124,'Planejamento de Viagens'!$A$6:$A$205,0)),""))</x:f>
      </x:c>
      <x:c r="H124" s="67" t="str">
        <x:f>IF($A124="","",TEXT(INDEX('Planejamento de Viagens'!$H$6:$H$205,MATCH($A124,'Planejamento de Viagens'!$A$6:$A$205,0)),"mmm/yyyy"))</x:f>
      </x:c>
      <x:c r="I124" s="67" t="str">
        <x:f>IF($A124="","",2026)</x:f>
      </x:c>
      <x:c r="J124" s="63" t="str">
        <x:f>IF($A124="","",INDEX('Planejamento de Viagens'!$N$6:$N$205,MATCH($A124,'Planejamento de Viagens'!$A$6:$A$205,0)))</x:f>
      </x:c>
      <x:c r="K124" s="63" t="str">
        <x:f>IF($A124="","",IFERROR($J124/$F124,0))</x:f>
      </x:c>
      <x:c r="L124" s="63" t="str">
        <x:f>IF($A124="","",$J124/2)</x:f>
      </x:c>
      <x:c r="M124" s="63" t="str">
        <x:f>IF($A124="","",INDEX('Planejamento de Viagens'!$O$6:$O$205,MATCH($A124,'Planejamento de Viagens'!$A$6:$A$205,0)))</x:f>
      </x:c>
      <x:c r="N124" s="61" t="str">
        <x:f>IF($A124="","",COUNTIF($J$6:$J$205,"&gt;"&amp;$J124)+1)</x:f>
      </x:c>
    </x:row>
    <x:row r="125">
      <x:c r="A125" s="36"/>
      <x:c r="B125" s="67" t="str">
        <x:f>IF($A125="","",IFERROR(INDEX('Planejamento de Viagens'!$B$6:$B$205,MATCH($A125,'Planejamento de Viagens'!$A$6:$A$205,0)),""))</x:f>
      </x:c>
      <x:c r="C125" s="67" t="str">
        <x:f>IF($A125="","",IFERROR(INDEX('Planejamento de Viagens'!$C$6:$C$205,MATCH($A125,'Planejamento de Viagens'!$A$6:$A$205,0)),""))</x:f>
      </x:c>
      <x:c r="D125" s="67" t="str">
        <x:f>IF($A125="","",IFERROR(INDEX('Planejamento de Viagens'!$F$6:$F$205,MATCH($A125,'Planejamento de Viagens'!$A$6:$A$205,0)),""))</x:f>
      </x:c>
      <x:c r="E125" s="67" t="str">
        <x:f>IF($A125="","",IFERROR(INDEX('Planejamento de Viagens'!$G$6:$G$205,MATCH($A125,'Planejamento de Viagens'!$A$6:$A$205,0)),""))</x:f>
      </x:c>
      <x:c r="F125" s="61" t="str">
        <x:f>IF($A125="","",IFERROR(INDEX('Planejamento de Viagens'!$J$6:$J$205,MATCH($A125,'Planejamento de Viagens'!$A$6:$A$205,0)),0))</x:f>
      </x:c>
      <x:c r="G125" s="67" t="str">
        <x:f>IF($A125="","",IFERROR(INDEX('Planejamento de Viagens'!$K$6:$K$205,MATCH($A125,'Planejamento de Viagens'!$A$6:$A$205,0)),""))</x:f>
      </x:c>
      <x:c r="H125" s="67" t="str">
        <x:f>IF($A125="","",TEXT(INDEX('Planejamento de Viagens'!$H$6:$H$205,MATCH($A125,'Planejamento de Viagens'!$A$6:$A$205,0)),"mmm/yyyy"))</x:f>
      </x:c>
      <x:c r="I125" s="67" t="str">
        <x:f>IF($A125="","",2026)</x:f>
      </x:c>
      <x:c r="J125" s="63" t="str">
        <x:f>IF($A125="","",INDEX('Planejamento de Viagens'!$N$6:$N$205,MATCH($A125,'Planejamento de Viagens'!$A$6:$A$205,0)))</x:f>
      </x:c>
      <x:c r="K125" s="63" t="str">
        <x:f>IF($A125="","",IFERROR($J125/$F125,0))</x:f>
      </x:c>
      <x:c r="L125" s="63" t="str">
        <x:f>IF($A125="","",$J125/2)</x:f>
      </x:c>
      <x:c r="M125" s="63" t="str">
        <x:f>IF($A125="","",INDEX('Planejamento de Viagens'!$O$6:$O$205,MATCH($A125,'Planejamento de Viagens'!$A$6:$A$205,0)))</x:f>
      </x:c>
      <x:c r="N125" s="61" t="str">
        <x:f>IF($A125="","",COUNTIF($J$6:$J$205,"&gt;"&amp;$J125)+1)</x:f>
      </x:c>
    </x:row>
    <x:row r="126">
      <x:c r="A126" s="36"/>
      <x:c r="B126" s="67" t="str">
        <x:f>IF($A126="","",IFERROR(INDEX('Planejamento de Viagens'!$B$6:$B$205,MATCH($A126,'Planejamento de Viagens'!$A$6:$A$205,0)),""))</x:f>
      </x:c>
      <x:c r="C126" s="67" t="str">
        <x:f>IF($A126="","",IFERROR(INDEX('Planejamento de Viagens'!$C$6:$C$205,MATCH($A126,'Planejamento de Viagens'!$A$6:$A$205,0)),""))</x:f>
      </x:c>
      <x:c r="D126" s="67" t="str">
        <x:f>IF($A126="","",IFERROR(INDEX('Planejamento de Viagens'!$F$6:$F$205,MATCH($A126,'Planejamento de Viagens'!$A$6:$A$205,0)),""))</x:f>
      </x:c>
      <x:c r="E126" s="67" t="str">
        <x:f>IF($A126="","",IFERROR(INDEX('Planejamento de Viagens'!$G$6:$G$205,MATCH($A126,'Planejamento de Viagens'!$A$6:$A$205,0)),""))</x:f>
      </x:c>
      <x:c r="F126" s="61" t="str">
        <x:f>IF($A126="","",IFERROR(INDEX('Planejamento de Viagens'!$J$6:$J$205,MATCH($A126,'Planejamento de Viagens'!$A$6:$A$205,0)),0))</x:f>
      </x:c>
      <x:c r="G126" s="67" t="str">
        <x:f>IF($A126="","",IFERROR(INDEX('Planejamento de Viagens'!$K$6:$K$205,MATCH($A126,'Planejamento de Viagens'!$A$6:$A$205,0)),""))</x:f>
      </x:c>
      <x:c r="H126" s="67" t="str">
        <x:f>IF($A126="","",TEXT(INDEX('Planejamento de Viagens'!$H$6:$H$205,MATCH($A126,'Planejamento de Viagens'!$A$6:$A$205,0)),"mmm/yyyy"))</x:f>
      </x:c>
      <x:c r="I126" s="67" t="str">
        <x:f>IF($A126="","",2026)</x:f>
      </x:c>
      <x:c r="J126" s="63" t="str">
        <x:f>IF($A126="","",INDEX('Planejamento de Viagens'!$N$6:$N$205,MATCH($A126,'Planejamento de Viagens'!$A$6:$A$205,0)))</x:f>
      </x:c>
      <x:c r="K126" s="63" t="str">
        <x:f>IF($A126="","",IFERROR($J126/$F126,0))</x:f>
      </x:c>
      <x:c r="L126" s="63" t="str">
        <x:f>IF($A126="","",$J126/2)</x:f>
      </x:c>
      <x:c r="M126" s="63" t="str">
        <x:f>IF($A126="","",INDEX('Planejamento de Viagens'!$O$6:$O$205,MATCH($A126,'Planejamento de Viagens'!$A$6:$A$205,0)))</x:f>
      </x:c>
      <x:c r="N126" s="61" t="str">
        <x:f>IF($A126="","",COUNTIF($J$6:$J$205,"&gt;"&amp;$J126)+1)</x:f>
      </x:c>
    </x:row>
    <x:row r="127">
      <x:c r="A127" s="36"/>
      <x:c r="B127" s="67" t="str">
        <x:f>IF($A127="","",IFERROR(INDEX('Planejamento de Viagens'!$B$6:$B$205,MATCH($A127,'Planejamento de Viagens'!$A$6:$A$205,0)),""))</x:f>
      </x:c>
      <x:c r="C127" s="67" t="str">
        <x:f>IF($A127="","",IFERROR(INDEX('Planejamento de Viagens'!$C$6:$C$205,MATCH($A127,'Planejamento de Viagens'!$A$6:$A$205,0)),""))</x:f>
      </x:c>
      <x:c r="D127" s="67" t="str">
        <x:f>IF($A127="","",IFERROR(INDEX('Planejamento de Viagens'!$F$6:$F$205,MATCH($A127,'Planejamento de Viagens'!$A$6:$A$205,0)),""))</x:f>
      </x:c>
      <x:c r="E127" s="67" t="str">
        <x:f>IF($A127="","",IFERROR(INDEX('Planejamento de Viagens'!$G$6:$G$205,MATCH($A127,'Planejamento de Viagens'!$A$6:$A$205,0)),""))</x:f>
      </x:c>
      <x:c r="F127" s="61" t="str">
        <x:f>IF($A127="","",IFERROR(INDEX('Planejamento de Viagens'!$J$6:$J$205,MATCH($A127,'Planejamento de Viagens'!$A$6:$A$205,0)),0))</x:f>
      </x:c>
      <x:c r="G127" s="67" t="str">
        <x:f>IF($A127="","",IFERROR(INDEX('Planejamento de Viagens'!$K$6:$K$205,MATCH($A127,'Planejamento de Viagens'!$A$6:$A$205,0)),""))</x:f>
      </x:c>
      <x:c r="H127" s="67" t="str">
        <x:f>IF($A127="","",TEXT(INDEX('Planejamento de Viagens'!$H$6:$H$205,MATCH($A127,'Planejamento de Viagens'!$A$6:$A$205,0)),"mmm/yyyy"))</x:f>
      </x:c>
      <x:c r="I127" s="67" t="str">
        <x:f>IF($A127="","",2026)</x:f>
      </x:c>
      <x:c r="J127" s="63" t="str">
        <x:f>IF($A127="","",INDEX('Planejamento de Viagens'!$N$6:$N$205,MATCH($A127,'Planejamento de Viagens'!$A$6:$A$205,0)))</x:f>
      </x:c>
      <x:c r="K127" s="63" t="str">
        <x:f>IF($A127="","",IFERROR($J127/$F127,0))</x:f>
      </x:c>
      <x:c r="L127" s="63" t="str">
        <x:f>IF($A127="","",$J127/2)</x:f>
      </x:c>
      <x:c r="M127" s="63" t="str">
        <x:f>IF($A127="","",INDEX('Planejamento de Viagens'!$O$6:$O$205,MATCH($A127,'Planejamento de Viagens'!$A$6:$A$205,0)))</x:f>
      </x:c>
      <x:c r="N127" s="61" t="str">
        <x:f>IF($A127="","",COUNTIF($J$6:$J$205,"&gt;"&amp;$J127)+1)</x:f>
      </x:c>
    </x:row>
    <x:row r="128">
      <x:c r="A128" s="36"/>
      <x:c r="B128" s="67" t="str">
        <x:f>IF($A128="","",IFERROR(INDEX('Planejamento de Viagens'!$B$6:$B$205,MATCH($A128,'Planejamento de Viagens'!$A$6:$A$205,0)),""))</x:f>
      </x:c>
      <x:c r="C128" s="67" t="str">
        <x:f>IF($A128="","",IFERROR(INDEX('Planejamento de Viagens'!$C$6:$C$205,MATCH($A128,'Planejamento de Viagens'!$A$6:$A$205,0)),""))</x:f>
      </x:c>
      <x:c r="D128" s="67" t="str">
        <x:f>IF($A128="","",IFERROR(INDEX('Planejamento de Viagens'!$F$6:$F$205,MATCH($A128,'Planejamento de Viagens'!$A$6:$A$205,0)),""))</x:f>
      </x:c>
      <x:c r="E128" s="67" t="str">
        <x:f>IF($A128="","",IFERROR(INDEX('Planejamento de Viagens'!$G$6:$G$205,MATCH($A128,'Planejamento de Viagens'!$A$6:$A$205,0)),""))</x:f>
      </x:c>
      <x:c r="F128" s="61" t="str">
        <x:f>IF($A128="","",IFERROR(INDEX('Planejamento de Viagens'!$J$6:$J$205,MATCH($A128,'Planejamento de Viagens'!$A$6:$A$205,0)),0))</x:f>
      </x:c>
      <x:c r="G128" s="67" t="str">
        <x:f>IF($A128="","",IFERROR(INDEX('Planejamento de Viagens'!$K$6:$K$205,MATCH($A128,'Planejamento de Viagens'!$A$6:$A$205,0)),""))</x:f>
      </x:c>
      <x:c r="H128" s="67" t="str">
        <x:f>IF($A128="","",TEXT(INDEX('Planejamento de Viagens'!$H$6:$H$205,MATCH($A128,'Planejamento de Viagens'!$A$6:$A$205,0)),"mmm/yyyy"))</x:f>
      </x:c>
      <x:c r="I128" s="67" t="str">
        <x:f>IF($A128="","",2026)</x:f>
      </x:c>
      <x:c r="J128" s="63" t="str">
        <x:f>IF($A128="","",INDEX('Planejamento de Viagens'!$N$6:$N$205,MATCH($A128,'Planejamento de Viagens'!$A$6:$A$205,0)))</x:f>
      </x:c>
      <x:c r="K128" s="63" t="str">
        <x:f>IF($A128="","",IFERROR($J128/$F128,0))</x:f>
      </x:c>
      <x:c r="L128" s="63" t="str">
        <x:f>IF($A128="","",$J128/2)</x:f>
      </x:c>
      <x:c r="M128" s="63" t="str">
        <x:f>IF($A128="","",INDEX('Planejamento de Viagens'!$O$6:$O$205,MATCH($A128,'Planejamento de Viagens'!$A$6:$A$205,0)))</x:f>
      </x:c>
      <x:c r="N128" s="61" t="str">
        <x:f>IF($A128="","",COUNTIF($J$6:$J$205,"&gt;"&amp;$J128)+1)</x:f>
      </x:c>
    </x:row>
    <x:row r="129">
      <x:c r="A129" s="36"/>
      <x:c r="B129" s="67" t="str">
        <x:f>IF($A129="","",IFERROR(INDEX('Planejamento de Viagens'!$B$6:$B$205,MATCH($A129,'Planejamento de Viagens'!$A$6:$A$205,0)),""))</x:f>
      </x:c>
      <x:c r="C129" s="67" t="str">
        <x:f>IF($A129="","",IFERROR(INDEX('Planejamento de Viagens'!$C$6:$C$205,MATCH($A129,'Planejamento de Viagens'!$A$6:$A$205,0)),""))</x:f>
      </x:c>
      <x:c r="D129" s="67" t="str">
        <x:f>IF($A129="","",IFERROR(INDEX('Planejamento de Viagens'!$F$6:$F$205,MATCH($A129,'Planejamento de Viagens'!$A$6:$A$205,0)),""))</x:f>
      </x:c>
      <x:c r="E129" s="67" t="str">
        <x:f>IF($A129="","",IFERROR(INDEX('Planejamento de Viagens'!$G$6:$G$205,MATCH($A129,'Planejamento de Viagens'!$A$6:$A$205,0)),""))</x:f>
      </x:c>
      <x:c r="F129" s="61" t="str">
        <x:f>IF($A129="","",IFERROR(INDEX('Planejamento de Viagens'!$J$6:$J$205,MATCH($A129,'Planejamento de Viagens'!$A$6:$A$205,0)),0))</x:f>
      </x:c>
      <x:c r="G129" s="67" t="str">
        <x:f>IF($A129="","",IFERROR(INDEX('Planejamento de Viagens'!$K$6:$K$205,MATCH($A129,'Planejamento de Viagens'!$A$6:$A$205,0)),""))</x:f>
      </x:c>
      <x:c r="H129" s="67" t="str">
        <x:f>IF($A129="","",TEXT(INDEX('Planejamento de Viagens'!$H$6:$H$205,MATCH($A129,'Planejamento de Viagens'!$A$6:$A$205,0)),"mmm/yyyy"))</x:f>
      </x:c>
      <x:c r="I129" s="67" t="str">
        <x:f>IF($A129="","",2026)</x:f>
      </x:c>
      <x:c r="J129" s="63" t="str">
        <x:f>IF($A129="","",INDEX('Planejamento de Viagens'!$N$6:$N$205,MATCH($A129,'Planejamento de Viagens'!$A$6:$A$205,0)))</x:f>
      </x:c>
      <x:c r="K129" s="63" t="str">
        <x:f>IF($A129="","",IFERROR($J129/$F129,0))</x:f>
      </x:c>
      <x:c r="L129" s="63" t="str">
        <x:f>IF($A129="","",$J129/2)</x:f>
      </x:c>
      <x:c r="M129" s="63" t="str">
        <x:f>IF($A129="","",INDEX('Planejamento de Viagens'!$O$6:$O$205,MATCH($A129,'Planejamento de Viagens'!$A$6:$A$205,0)))</x:f>
      </x:c>
      <x:c r="N129" s="61" t="str">
        <x:f>IF($A129="","",COUNTIF($J$6:$J$205,"&gt;"&amp;$J129)+1)</x:f>
      </x:c>
    </x:row>
    <x:row r="130">
      <x:c r="A130" s="36"/>
      <x:c r="B130" s="67" t="str">
        <x:f>IF($A130="","",IFERROR(INDEX('Planejamento de Viagens'!$B$6:$B$205,MATCH($A130,'Planejamento de Viagens'!$A$6:$A$205,0)),""))</x:f>
      </x:c>
      <x:c r="C130" s="67" t="str">
        <x:f>IF($A130="","",IFERROR(INDEX('Planejamento de Viagens'!$C$6:$C$205,MATCH($A130,'Planejamento de Viagens'!$A$6:$A$205,0)),""))</x:f>
      </x:c>
      <x:c r="D130" s="67" t="str">
        <x:f>IF($A130="","",IFERROR(INDEX('Planejamento de Viagens'!$F$6:$F$205,MATCH($A130,'Planejamento de Viagens'!$A$6:$A$205,0)),""))</x:f>
      </x:c>
      <x:c r="E130" s="67" t="str">
        <x:f>IF($A130="","",IFERROR(INDEX('Planejamento de Viagens'!$G$6:$G$205,MATCH($A130,'Planejamento de Viagens'!$A$6:$A$205,0)),""))</x:f>
      </x:c>
      <x:c r="F130" s="61" t="str">
        <x:f>IF($A130="","",IFERROR(INDEX('Planejamento de Viagens'!$J$6:$J$205,MATCH($A130,'Planejamento de Viagens'!$A$6:$A$205,0)),0))</x:f>
      </x:c>
      <x:c r="G130" s="67" t="str">
        <x:f>IF($A130="","",IFERROR(INDEX('Planejamento de Viagens'!$K$6:$K$205,MATCH($A130,'Planejamento de Viagens'!$A$6:$A$205,0)),""))</x:f>
      </x:c>
      <x:c r="H130" s="67" t="str">
        <x:f>IF($A130="","",TEXT(INDEX('Planejamento de Viagens'!$H$6:$H$205,MATCH($A130,'Planejamento de Viagens'!$A$6:$A$205,0)),"mmm/yyyy"))</x:f>
      </x:c>
      <x:c r="I130" s="67" t="str">
        <x:f>IF($A130="","",2026)</x:f>
      </x:c>
      <x:c r="J130" s="63" t="str">
        <x:f>IF($A130="","",INDEX('Planejamento de Viagens'!$N$6:$N$205,MATCH($A130,'Planejamento de Viagens'!$A$6:$A$205,0)))</x:f>
      </x:c>
      <x:c r="K130" s="63" t="str">
        <x:f>IF($A130="","",IFERROR($J130/$F130,0))</x:f>
      </x:c>
      <x:c r="L130" s="63" t="str">
        <x:f>IF($A130="","",$J130/2)</x:f>
      </x:c>
      <x:c r="M130" s="63" t="str">
        <x:f>IF($A130="","",INDEX('Planejamento de Viagens'!$O$6:$O$205,MATCH($A130,'Planejamento de Viagens'!$A$6:$A$205,0)))</x:f>
      </x:c>
      <x:c r="N130" s="61" t="str">
        <x:f>IF($A130="","",COUNTIF($J$6:$J$205,"&gt;"&amp;$J130)+1)</x:f>
      </x:c>
    </x:row>
    <x:row r="131">
      <x:c r="A131" s="36"/>
      <x:c r="B131" s="67" t="str">
        <x:f>IF($A131="","",IFERROR(INDEX('Planejamento de Viagens'!$B$6:$B$205,MATCH($A131,'Planejamento de Viagens'!$A$6:$A$205,0)),""))</x:f>
      </x:c>
      <x:c r="C131" s="67" t="str">
        <x:f>IF($A131="","",IFERROR(INDEX('Planejamento de Viagens'!$C$6:$C$205,MATCH($A131,'Planejamento de Viagens'!$A$6:$A$205,0)),""))</x:f>
      </x:c>
      <x:c r="D131" s="67" t="str">
        <x:f>IF($A131="","",IFERROR(INDEX('Planejamento de Viagens'!$F$6:$F$205,MATCH($A131,'Planejamento de Viagens'!$A$6:$A$205,0)),""))</x:f>
      </x:c>
      <x:c r="E131" s="67" t="str">
        <x:f>IF($A131="","",IFERROR(INDEX('Planejamento de Viagens'!$G$6:$G$205,MATCH($A131,'Planejamento de Viagens'!$A$6:$A$205,0)),""))</x:f>
      </x:c>
      <x:c r="F131" s="61" t="str">
        <x:f>IF($A131="","",IFERROR(INDEX('Planejamento de Viagens'!$J$6:$J$205,MATCH($A131,'Planejamento de Viagens'!$A$6:$A$205,0)),0))</x:f>
      </x:c>
      <x:c r="G131" s="67" t="str">
        <x:f>IF($A131="","",IFERROR(INDEX('Planejamento de Viagens'!$K$6:$K$205,MATCH($A131,'Planejamento de Viagens'!$A$6:$A$205,0)),""))</x:f>
      </x:c>
      <x:c r="H131" s="67" t="str">
        <x:f>IF($A131="","",TEXT(INDEX('Planejamento de Viagens'!$H$6:$H$205,MATCH($A131,'Planejamento de Viagens'!$A$6:$A$205,0)),"mmm/yyyy"))</x:f>
      </x:c>
      <x:c r="I131" s="67" t="str">
        <x:f>IF($A131="","",2026)</x:f>
      </x:c>
      <x:c r="J131" s="63" t="str">
        <x:f>IF($A131="","",INDEX('Planejamento de Viagens'!$N$6:$N$205,MATCH($A131,'Planejamento de Viagens'!$A$6:$A$205,0)))</x:f>
      </x:c>
      <x:c r="K131" s="63" t="str">
        <x:f>IF($A131="","",IFERROR($J131/$F131,0))</x:f>
      </x:c>
      <x:c r="L131" s="63" t="str">
        <x:f>IF($A131="","",$J131/2)</x:f>
      </x:c>
      <x:c r="M131" s="63" t="str">
        <x:f>IF($A131="","",INDEX('Planejamento de Viagens'!$O$6:$O$205,MATCH($A131,'Planejamento de Viagens'!$A$6:$A$205,0)))</x:f>
      </x:c>
      <x:c r="N131" s="61" t="str">
        <x:f>IF($A131="","",COUNTIF($J$6:$J$205,"&gt;"&amp;$J131)+1)</x:f>
      </x:c>
    </x:row>
    <x:row r="132">
      <x:c r="A132" s="36"/>
      <x:c r="B132" s="67" t="str">
        <x:f>IF($A132="","",IFERROR(INDEX('Planejamento de Viagens'!$B$6:$B$205,MATCH($A132,'Planejamento de Viagens'!$A$6:$A$205,0)),""))</x:f>
      </x:c>
      <x:c r="C132" s="67" t="str">
        <x:f>IF($A132="","",IFERROR(INDEX('Planejamento de Viagens'!$C$6:$C$205,MATCH($A132,'Planejamento de Viagens'!$A$6:$A$205,0)),""))</x:f>
      </x:c>
      <x:c r="D132" s="67" t="str">
        <x:f>IF($A132="","",IFERROR(INDEX('Planejamento de Viagens'!$F$6:$F$205,MATCH($A132,'Planejamento de Viagens'!$A$6:$A$205,0)),""))</x:f>
      </x:c>
      <x:c r="E132" s="67" t="str">
        <x:f>IF($A132="","",IFERROR(INDEX('Planejamento de Viagens'!$G$6:$G$205,MATCH($A132,'Planejamento de Viagens'!$A$6:$A$205,0)),""))</x:f>
      </x:c>
      <x:c r="F132" s="61" t="str">
        <x:f>IF($A132="","",IFERROR(INDEX('Planejamento de Viagens'!$J$6:$J$205,MATCH($A132,'Planejamento de Viagens'!$A$6:$A$205,0)),0))</x:f>
      </x:c>
      <x:c r="G132" s="67" t="str">
        <x:f>IF($A132="","",IFERROR(INDEX('Planejamento de Viagens'!$K$6:$K$205,MATCH($A132,'Planejamento de Viagens'!$A$6:$A$205,0)),""))</x:f>
      </x:c>
      <x:c r="H132" s="67" t="str">
        <x:f>IF($A132="","",TEXT(INDEX('Planejamento de Viagens'!$H$6:$H$205,MATCH($A132,'Planejamento de Viagens'!$A$6:$A$205,0)),"mmm/yyyy"))</x:f>
      </x:c>
      <x:c r="I132" s="67" t="str">
        <x:f>IF($A132="","",2026)</x:f>
      </x:c>
      <x:c r="J132" s="63" t="str">
        <x:f>IF($A132="","",INDEX('Planejamento de Viagens'!$N$6:$N$205,MATCH($A132,'Planejamento de Viagens'!$A$6:$A$205,0)))</x:f>
      </x:c>
      <x:c r="K132" s="63" t="str">
        <x:f>IF($A132="","",IFERROR($J132/$F132,0))</x:f>
      </x:c>
      <x:c r="L132" s="63" t="str">
        <x:f>IF($A132="","",$J132/2)</x:f>
      </x:c>
      <x:c r="M132" s="63" t="str">
        <x:f>IF($A132="","",INDEX('Planejamento de Viagens'!$O$6:$O$205,MATCH($A132,'Planejamento de Viagens'!$A$6:$A$205,0)))</x:f>
      </x:c>
      <x:c r="N132" s="61" t="str">
        <x:f>IF($A132="","",COUNTIF($J$6:$J$205,"&gt;"&amp;$J132)+1)</x:f>
      </x:c>
    </x:row>
    <x:row r="133">
      <x:c r="A133" s="36"/>
      <x:c r="B133" s="67" t="str">
        <x:f>IF($A133="","",IFERROR(INDEX('Planejamento de Viagens'!$B$6:$B$205,MATCH($A133,'Planejamento de Viagens'!$A$6:$A$205,0)),""))</x:f>
      </x:c>
      <x:c r="C133" s="67" t="str">
        <x:f>IF($A133="","",IFERROR(INDEX('Planejamento de Viagens'!$C$6:$C$205,MATCH($A133,'Planejamento de Viagens'!$A$6:$A$205,0)),""))</x:f>
      </x:c>
      <x:c r="D133" s="67" t="str">
        <x:f>IF($A133="","",IFERROR(INDEX('Planejamento de Viagens'!$F$6:$F$205,MATCH($A133,'Planejamento de Viagens'!$A$6:$A$205,0)),""))</x:f>
      </x:c>
      <x:c r="E133" s="67" t="str">
        <x:f>IF($A133="","",IFERROR(INDEX('Planejamento de Viagens'!$G$6:$G$205,MATCH($A133,'Planejamento de Viagens'!$A$6:$A$205,0)),""))</x:f>
      </x:c>
      <x:c r="F133" s="61" t="str">
        <x:f>IF($A133="","",IFERROR(INDEX('Planejamento de Viagens'!$J$6:$J$205,MATCH($A133,'Planejamento de Viagens'!$A$6:$A$205,0)),0))</x:f>
      </x:c>
      <x:c r="G133" s="67" t="str">
        <x:f>IF($A133="","",IFERROR(INDEX('Planejamento de Viagens'!$K$6:$K$205,MATCH($A133,'Planejamento de Viagens'!$A$6:$A$205,0)),""))</x:f>
      </x:c>
      <x:c r="H133" s="67" t="str">
        <x:f>IF($A133="","",TEXT(INDEX('Planejamento de Viagens'!$H$6:$H$205,MATCH($A133,'Planejamento de Viagens'!$A$6:$A$205,0)),"mmm/yyyy"))</x:f>
      </x:c>
      <x:c r="I133" s="67" t="str">
        <x:f>IF($A133="","",2026)</x:f>
      </x:c>
      <x:c r="J133" s="63" t="str">
        <x:f>IF($A133="","",INDEX('Planejamento de Viagens'!$N$6:$N$205,MATCH($A133,'Planejamento de Viagens'!$A$6:$A$205,0)))</x:f>
      </x:c>
      <x:c r="K133" s="63" t="str">
        <x:f>IF($A133="","",IFERROR($J133/$F133,0))</x:f>
      </x:c>
      <x:c r="L133" s="63" t="str">
        <x:f>IF($A133="","",$J133/2)</x:f>
      </x:c>
      <x:c r="M133" s="63" t="str">
        <x:f>IF($A133="","",INDEX('Planejamento de Viagens'!$O$6:$O$205,MATCH($A133,'Planejamento de Viagens'!$A$6:$A$205,0)))</x:f>
      </x:c>
      <x:c r="N133" s="61" t="str">
        <x:f>IF($A133="","",COUNTIF($J$6:$J$205,"&gt;"&amp;$J133)+1)</x:f>
      </x:c>
    </x:row>
    <x:row r="134">
      <x:c r="A134" s="36"/>
      <x:c r="B134" s="67" t="str">
        <x:f>IF($A134="","",IFERROR(INDEX('Planejamento de Viagens'!$B$6:$B$205,MATCH($A134,'Planejamento de Viagens'!$A$6:$A$205,0)),""))</x:f>
      </x:c>
      <x:c r="C134" s="67" t="str">
        <x:f>IF($A134="","",IFERROR(INDEX('Planejamento de Viagens'!$C$6:$C$205,MATCH($A134,'Planejamento de Viagens'!$A$6:$A$205,0)),""))</x:f>
      </x:c>
      <x:c r="D134" s="67" t="str">
        <x:f>IF($A134="","",IFERROR(INDEX('Planejamento de Viagens'!$F$6:$F$205,MATCH($A134,'Planejamento de Viagens'!$A$6:$A$205,0)),""))</x:f>
      </x:c>
      <x:c r="E134" s="67" t="str">
        <x:f>IF($A134="","",IFERROR(INDEX('Planejamento de Viagens'!$G$6:$G$205,MATCH($A134,'Planejamento de Viagens'!$A$6:$A$205,0)),""))</x:f>
      </x:c>
      <x:c r="F134" s="61" t="str">
        <x:f>IF($A134="","",IFERROR(INDEX('Planejamento de Viagens'!$J$6:$J$205,MATCH($A134,'Planejamento de Viagens'!$A$6:$A$205,0)),0))</x:f>
      </x:c>
      <x:c r="G134" s="67" t="str">
        <x:f>IF($A134="","",IFERROR(INDEX('Planejamento de Viagens'!$K$6:$K$205,MATCH($A134,'Planejamento de Viagens'!$A$6:$A$205,0)),""))</x:f>
      </x:c>
      <x:c r="H134" s="67" t="str">
        <x:f>IF($A134="","",TEXT(INDEX('Planejamento de Viagens'!$H$6:$H$205,MATCH($A134,'Planejamento de Viagens'!$A$6:$A$205,0)),"mmm/yyyy"))</x:f>
      </x:c>
      <x:c r="I134" s="67" t="str">
        <x:f>IF($A134="","",2026)</x:f>
      </x:c>
      <x:c r="J134" s="63" t="str">
        <x:f>IF($A134="","",INDEX('Planejamento de Viagens'!$N$6:$N$205,MATCH($A134,'Planejamento de Viagens'!$A$6:$A$205,0)))</x:f>
      </x:c>
      <x:c r="K134" s="63" t="str">
        <x:f>IF($A134="","",IFERROR($J134/$F134,0))</x:f>
      </x:c>
      <x:c r="L134" s="63" t="str">
        <x:f>IF($A134="","",$J134/2)</x:f>
      </x:c>
      <x:c r="M134" s="63" t="str">
        <x:f>IF($A134="","",INDEX('Planejamento de Viagens'!$O$6:$O$205,MATCH($A134,'Planejamento de Viagens'!$A$6:$A$205,0)))</x:f>
      </x:c>
      <x:c r="N134" s="61" t="str">
        <x:f>IF($A134="","",COUNTIF($J$6:$J$205,"&gt;"&amp;$J134)+1)</x:f>
      </x:c>
    </x:row>
    <x:row r="135">
      <x:c r="A135" s="36"/>
      <x:c r="B135" s="67" t="str">
        <x:f>IF($A135="","",IFERROR(INDEX('Planejamento de Viagens'!$B$6:$B$205,MATCH($A135,'Planejamento de Viagens'!$A$6:$A$205,0)),""))</x:f>
      </x:c>
      <x:c r="C135" s="67" t="str">
        <x:f>IF($A135="","",IFERROR(INDEX('Planejamento de Viagens'!$C$6:$C$205,MATCH($A135,'Planejamento de Viagens'!$A$6:$A$205,0)),""))</x:f>
      </x:c>
      <x:c r="D135" s="67" t="str">
        <x:f>IF($A135="","",IFERROR(INDEX('Planejamento de Viagens'!$F$6:$F$205,MATCH($A135,'Planejamento de Viagens'!$A$6:$A$205,0)),""))</x:f>
      </x:c>
      <x:c r="E135" s="67" t="str">
        <x:f>IF($A135="","",IFERROR(INDEX('Planejamento de Viagens'!$G$6:$G$205,MATCH($A135,'Planejamento de Viagens'!$A$6:$A$205,0)),""))</x:f>
      </x:c>
      <x:c r="F135" s="61" t="str">
        <x:f>IF($A135="","",IFERROR(INDEX('Planejamento de Viagens'!$J$6:$J$205,MATCH($A135,'Planejamento de Viagens'!$A$6:$A$205,0)),0))</x:f>
      </x:c>
      <x:c r="G135" s="67" t="str">
        <x:f>IF($A135="","",IFERROR(INDEX('Planejamento de Viagens'!$K$6:$K$205,MATCH($A135,'Planejamento de Viagens'!$A$6:$A$205,0)),""))</x:f>
      </x:c>
      <x:c r="H135" s="67" t="str">
        <x:f>IF($A135="","",TEXT(INDEX('Planejamento de Viagens'!$H$6:$H$205,MATCH($A135,'Planejamento de Viagens'!$A$6:$A$205,0)),"mmm/yyyy"))</x:f>
      </x:c>
      <x:c r="I135" s="67" t="str">
        <x:f>IF($A135="","",2026)</x:f>
      </x:c>
      <x:c r="J135" s="63" t="str">
        <x:f>IF($A135="","",INDEX('Planejamento de Viagens'!$N$6:$N$205,MATCH($A135,'Planejamento de Viagens'!$A$6:$A$205,0)))</x:f>
      </x:c>
      <x:c r="K135" s="63" t="str">
        <x:f>IF($A135="","",IFERROR($J135/$F135,0))</x:f>
      </x:c>
      <x:c r="L135" s="63" t="str">
        <x:f>IF($A135="","",$J135/2)</x:f>
      </x:c>
      <x:c r="M135" s="63" t="str">
        <x:f>IF($A135="","",INDEX('Planejamento de Viagens'!$O$6:$O$205,MATCH($A135,'Planejamento de Viagens'!$A$6:$A$205,0)))</x:f>
      </x:c>
      <x:c r="N135" s="61" t="str">
        <x:f>IF($A135="","",COUNTIF($J$6:$J$205,"&gt;"&amp;$J135)+1)</x:f>
      </x:c>
    </x:row>
    <x:row r="136">
      <x:c r="A136" s="36"/>
      <x:c r="B136" s="67" t="str">
        <x:f>IF($A136="","",IFERROR(INDEX('Planejamento de Viagens'!$B$6:$B$205,MATCH($A136,'Planejamento de Viagens'!$A$6:$A$205,0)),""))</x:f>
      </x:c>
      <x:c r="C136" s="67" t="str">
        <x:f>IF($A136="","",IFERROR(INDEX('Planejamento de Viagens'!$C$6:$C$205,MATCH($A136,'Planejamento de Viagens'!$A$6:$A$205,0)),""))</x:f>
      </x:c>
      <x:c r="D136" s="67" t="str">
        <x:f>IF($A136="","",IFERROR(INDEX('Planejamento de Viagens'!$F$6:$F$205,MATCH($A136,'Planejamento de Viagens'!$A$6:$A$205,0)),""))</x:f>
      </x:c>
      <x:c r="E136" s="67" t="str">
        <x:f>IF($A136="","",IFERROR(INDEX('Planejamento de Viagens'!$G$6:$G$205,MATCH($A136,'Planejamento de Viagens'!$A$6:$A$205,0)),""))</x:f>
      </x:c>
      <x:c r="F136" s="61" t="str">
        <x:f>IF($A136="","",IFERROR(INDEX('Planejamento de Viagens'!$J$6:$J$205,MATCH($A136,'Planejamento de Viagens'!$A$6:$A$205,0)),0))</x:f>
      </x:c>
      <x:c r="G136" s="67" t="str">
        <x:f>IF($A136="","",IFERROR(INDEX('Planejamento de Viagens'!$K$6:$K$205,MATCH($A136,'Planejamento de Viagens'!$A$6:$A$205,0)),""))</x:f>
      </x:c>
      <x:c r="H136" s="67" t="str">
        <x:f>IF($A136="","",TEXT(INDEX('Planejamento de Viagens'!$H$6:$H$205,MATCH($A136,'Planejamento de Viagens'!$A$6:$A$205,0)),"mmm/yyyy"))</x:f>
      </x:c>
      <x:c r="I136" s="67" t="str">
        <x:f>IF($A136="","",2026)</x:f>
      </x:c>
      <x:c r="J136" s="63" t="str">
        <x:f>IF($A136="","",INDEX('Planejamento de Viagens'!$N$6:$N$205,MATCH($A136,'Planejamento de Viagens'!$A$6:$A$205,0)))</x:f>
      </x:c>
      <x:c r="K136" s="63" t="str">
        <x:f>IF($A136="","",IFERROR($J136/$F136,0))</x:f>
      </x:c>
      <x:c r="L136" s="63" t="str">
        <x:f>IF($A136="","",$J136/2)</x:f>
      </x:c>
      <x:c r="M136" s="63" t="str">
        <x:f>IF($A136="","",INDEX('Planejamento de Viagens'!$O$6:$O$205,MATCH($A136,'Planejamento de Viagens'!$A$6:$A$205,0)))</x:f>
      </x:c>
      <x:c r="N136" s="61" t="str">
        <x:f>IF($A136="","",COUNTIF($J$6:$J$205,"&gt;"&amp;$J136)+1)</x:f>
      </x:c>
    </x:row>
    <x:row r="137">
      <x:c r="A137" s="36"/>
      <x:c r="B137" s="67" t="str">
        <x:f>IF($A137="","",IFERROR(INDEX('Planejamento de Viagens'!$B$6:$B$205,MATCH($A137,'Planejamento de Viagens'!$A$6:$A$205,0)),""))</x:f>
      </x:c>
      <x:c r="C137" s="67" t="str">
        <x:f>IF($A137="","",IFERROR(INDEX('Planejamento de Viagens'!$C$6:$C$205,MATCH($A137,'Planejamento de Viagens'!$A$6:$A$205,0)),""))</x:f>
      </x:c>
      <x:c r="D137" s="67" t="str">
        <x:f>IF($A137="","",IFERROR(INDEX('Planejamento de Viagens'!$F$6:$F$205,MATCH($A137,'Planejamento de Viagens'!$A$6:$A$205,0)),""))</x:f>
      </x:c>
      <x:c r="E137" s="67" t="str">
        <x:f>IF($A137="","",IFERROR(INDEX('Planejamento de Viagens'!$G$6:$G$205,MATCH($A137,'Planejamento de Viagens'!$A$6:$A$205,0)),""))</x:f>
      </x:c>
      <x:c r="F137" s="61" t="str">
        <x:f>IF($A137="","",IFERROR(INDEX('Planejamento de Viagens'!$J$6:$J$205,MATCH($A137,'Planejamento de Viagens'!$A$6:$A$205,0)),0))</x:f>
      </x:c>
      <x:c r="G137" s="67" t="str">
        <x:f>IF($A137="","",IFERROR(INDEX('Planejamento de Viagens'!$K$6:$K$205,MATCH($A137,'Planejamento de Viagens'!$A$6:$A$205,0)),""))</x:f>
      </x:c>
      <x:c r="H137" s="67" t="str">
        <x:f>IF($A137="","",TEXT(INDEX('Planejamento de Viagens'!$H$6:$H$205,MATCH($A137,'Planejamento de Viagens'!$A$6:$A$205,0)),"mmm/yyyy"))</x:f>
      </x:c>
      <x:c r="I137" s="67" t="str">
        <x:f>IF($A137="","",2026)</x:f>
      </x:c>
      <x:c r="J137" s="63" t="str">
        <x:f>IF($A137="","",INDEX('Planejamento de Viagens'!$N$6:$N$205,MATCH($A137,'Planejamento de Viagens'!$A$6:$A$205,0)))</x:f>
      </x:c>
      <x:c r="K137" s="63" t="str">
        <x:f>IF($A137="","",IFERROR($J137/$F137,0))</x:f>
      </x:c>
      <x:c r="L137" s="63" t="str">
        <x:f>IF($A137="","",$J137/2)</x:f>
      </x:c>
      <x:c r="M137" s="63" t="str">
        <x:f>IF($A137="","",INDEX('Planejamento de Viagens'!$O$6:$O$205,MATCH($A137,'Planejamento de Viagens'!$A$6:$A$205,0)))</x:f>
      </x:c>
      <x:c r="N137" s="61" t="str">
        <x:f>IF($A137="","",COUNTIF($J$6:$J$205,"&gt;"&amp;$J137)+1)</x:f>
      </x:c>
    </x:row>
    <x:row r="138">
      <x:c r="A138" s="36"/>
      <x:c r="B138" s="67" t="str">
        <x:f>IF($A138="","",IFERROR(INDEX('Planejamento de Viagens'!$B$6:$B$205,MATCH($A138,'Planejamento de Viagens'!$A$6:$A$205,0)),""))</x:f>
      </x:c>
      <x:c r="C138" s="67" t="str">
        <x:f>IF($A138="","",IFERROR(INDEX('Planejamento de Viagens'!$C$6:$C$205,MATCH($A138,'Planejamento de Viagens'!$A$6:$A$205,0)),""))</x:f>
      </x:c>
      <x:c r="D138" s="67" t="str">
        <x:f>IF($A138="","",IFERROR(INDEX('Planejamento de Viagens'!$F$6:$F$205,MATCH($A138,'Planejamento de Viagens'!$A$6:$A$205,0)),""))</x:f>
      </x:c>
      <x:c r="E138" s="67" t="str">
        <x:f>IF($A138="","",IFERROR(INDEX('Planejamento de Viagens'!$G$6:$G$205,MATCH($A138,'Planejamento de Viagens'!$A$6:$A$205,0)),""))</x:f>
      </x:c>
      <x:c r="F138" s="61" t="str">
        <x:f>IF($A138="","",IFERROR(INDEX('Planejamento de Viagens'!$J$6:$J$205,MATCH($A138,'Planejamento de Viagens'!$A$6:$A$205,0)),0))</x:f>
      </x:c>
      <x:c r="G138" s="67" t="str">
        <x:f>IF($A138="","",IFERROR(INDEX('Planejamento de Viagens'!$K$6:$K$205,MATCH($A138,'Planejamento de Viagens'!$A$6:$A$205,0)),""))</x:f>
      </x:c>
      <x:c r="H138" s="67" t="str">
        <x:f>IF($A138="","",TEXT(INDEX('Planejamento de Viagens'!$H$6:$H$205,MATCH($A138,'Planejamento de Viagens'!$A$6:$A$205,0)),"mmm/yyyy"))</x:f>
      </x:c>
      <x:c r="I138" s="67" t="str">
        <x:f>IF($A138="","",2026)</x:f>
      </x:c>
      <x:c r="J138" s="63" t="str">
        <x:f>IF($A138="","",INDEX('Planejamento de Viagens'!$N$6:$N$205,MATCH($A138,'Planejamento de Viagens'!$A$6:$A$205,0)))</x:f>
      </x:c>
      <x:c r="K138" s="63" t="str">
        <x:f>IF($A138="","",IFERROR($J138/$F138,0))</x:f>
      </x:c>
      <x:c r="L138" s="63" t="str">
        <x:f>IF($A138="","",$J138/2)</x:f>
      </x:c>
      <x:c r="M138" s="63" t="str">
        <x:f>IF($A138="","",INDEX('Planejamento de Viagens'!$O$6:$O$205,MATCH($A138,'Planejamento de Viagens'!$A$6:$A$205,0)))</x:f>
      </x:c>
      <x:c r="N138" s="61" t="str">
        <x:f>IF($A138="","",COUNTIF($J$6:$J$205,"&gt;"&amp;$J138)+1)</x:f>
      </x:c>
    </x:row>
    <x:row r="139">
      <x:c r="A139" s="36"/>
      <x:c r="B139" s="67" t="str">
        <x:f>IF($A139="","",IFERROR(INDEX('Planejamento de Viagens'!$B$6:$B$205,MATCH($A139,'Planejamento de Viagens'!$A$6:$A$205,0)),""))</x:f>
      </x:c>
      <x:c r="C139" s="67" t="str">
        <x:f>IF($A139="","",IFERROR(INDEX('Planejamento de Viagens'!$C$6:$C$205,MATCH($A139,'Planejamento de Viagens'!$A$6:$A$205,0)),""))</x:f>
      </x:c>
      <x:c r="D139" s="67" t="str">
        <x:f>IF($A139="","",IFERROR(INDEX('Planejamento de Viagens'!$F$6:$F$205,MATCH($A139,'Planejamento de Viagens'!$A$6:$A$205,0)),""))</x:f>
      </x:c>
      <x:c r="E139" s="67" t="str">
        <x:f>IF($A139="","",IFERROR(INDEX('Planejamento de Viagens'!$G$6:$G$205,MATCH($A139,'Planejamento de Viagens'!$A$6:$A$205,0)),""))</x:f>
      </x:c>
      <x:c r="F139" s="61" t="str">
        <x:f>IF($A139="","",IFERROR(INDEX('Planejamento de Viagens'!$J$6:$J$205,MATCH($A139,'Planejamento de Viagens'!$A$6:$A$205,0)),0))</x:f>
      </x:c>
      <x:c r="G139" s="67" t="str">
        <x:f>IF($A139="","",IFERROR(INDEX('Planejamento de Viagens'!$K$6:$K$205,MATCH($A139,'Planejamento de Viagens'!$A$6:$A$205,0)),""))</x:f>
      </x:c>
      <x:c r="H139" s="67" t="str">
        <x:f>IF($A139="","",TEXT(INDEX('Planejamento de Viagens'!$H$6:$H$205,MATCH($A139,'Planejamento de Viagens'!$A$6:$A$205,0)),"mmm/yyyy"))</x:f>
      </x:c>
      <x:c r="I139" s="67" t="str">
        <x:f>IF($A139="","",2026)</x:f>
      </x:c>
      <x:c r="J139" s="63" t="str">
        <x:f>IF($A139="","",INDEX('Planejamento de Viagens'!$N$6:$N$205,MATCH($A139,'Planejamento de Viagens'!$A$6:$A$205,0)))</x:f>
      </x:c>
      <x:c r="K139" s="63" t="str">
        <x:f>IF($A139="","",IFERROR($J139/$F139,0))</x:f>
      </x:c>
      <x:c r="L139" s="63" t="str">
        <x:f>IF($A139="","",$J139/2)</x:f>
      </x:c>
      <x:c r="M139" s="63" t="str">
        <x:f>IF($A139="","",INDEX('Planejamento de Viagens'!$O$6:$O$205,MATCH($A139,'Planejamento de Viagens'!$A$6:$A$205,0)))</x:f>
      </x:c>
      <x:c r="N139" s="61" t="str">
        <x:f>IF($A139="","",COUNTIF($J$6:$J$205,"&gt;"&amp;$J139)+1)</x:f>
      </x:c>
    </x:row>
    <x:row r="140">
      <x:c r="A140" s="36"/>
      <x:c r="B140" s="67" t="str">
        <x:f>IF($A140="","",IFERROR(INDEX('Planejamento de Viagens'!$B$6:$B$205,MATCH($A140,'Planejamento de Viagens'!$A$6:$A$205,0)),""))</x:f>
      </x:c>
      <x:c r="C140" s="67" t="str">
        <x:f>IF($A140="","",IFERROR(INDEX('Planejamento de Viagens'!$C$6:$C$205,MATCH($A140,'Planejamento de Viagens'!$A$6:$A$205,0)),""))</x:f>
      </x:c>
      <x:c r="D140" s="67" t="str">
        <x:f>IF($A140="","",IFERROR(INDEX('Planejamento de Viagens'!$F$6:$F$205,MATCH($A140,'Planejamento de Viagens'!$A$6:$A$205,0)),""))</x:f>
      </x:c>
      <x:c r="E140" s="67" t="str">
        <x:f>IF($A140="","",IFERROR(INDEX('Planejamento de Viagens'!$G$6:$G$205,MATCH($A140,'Planejamento de Viagens'!$A$6:$A$205,0)),""))</x:f>
      </x:c>
      <x:c r="F140" s="61" t="str">
        <x:f>IF($A140="","",IFERROR(INDEX('Planejamento de Viagens'!$J$6:$J$205,MATCH($A140,'Planejamento de Viagens'!$A$6:$A$205,0)),0))</x:f>
      </x:c>
      <x:c r="G140" s="67" t="str">
        <x:f>IF($A140="","",IFERROR(INDEX('Planejamento de Viagens'!$K$6:$K$205,MATCH($A140,'Planejamento de Viagens'!$A$6:$A$205,0)),""))</x:f>
      </x:c>
      <x:c r="H140" s="67" t="str">
        <x:f>IF($A140="","",TEXT(INDEX('Planejamento de Viagens'!$H$6:$H$205,MATCH($A140,'Planejamento de Viagens'!$A$6:$A$205,0)),"mmm/yyyy"))</x:f>
      </x:c>
      <x:c r="I140" s="67" t="str">
        <x:f>IF($A140="","",2026)</x:f>
      </x:c>
      <x:c r="J140" s="63" t="str">
        <x:f>IF($A140="","",INDEX('Planejamento de Viagens'!$N$6:$N$205,MATCH($A140,'Planejamento de Viagens'!$A$6:$A$205,0)))</x:f>
      </x:c>
      <x:c r="K140" s="63" t="str">
        <x:f>IF($A140="","",IFERROR($J140/$F140,0))</x:f>
      </x:c>
      <x:c r="L140" s="63" t="str">
        <x:f>IF($A140="","",$J140/2)</x:f>
      </x:c>
      <x:c r="M140" s="63" t="str">
        <x:f>IF($A140="","",INDEX('Planejamento de Viagens'!$O$6:$O$205,MATCH($A140,'Planejamento de Viagens'!$A$6:$A$205,0)))</x:f>
      </x:c>
      <x:c r="N140" s="61" t="str">
        <x:f>IF($A140="","",COUNTIF($J$6:$J$205,"&gt;"&amp;$J140)+1)</x:f>
      </x:c>
    </x:row>
    <x:row r="141">
      <x:c r="A141" s="36"/>
      <x:c r="B141" s="67" t="str">
        <x:f>IF($A141="","",IFERROR(INDEX('Planejamento de Viagens'!$B$6:$B$205,MATCH($A141,'Planejamento de Viagens'!$A$6:$A$205,0)),""))</x:f>
      </x:c>
      <x:c r="C141" s="67" t="str">
        <x:f>IF($A141="","",IFERROR(INDEX('Planejamento de Viagens'!$C$6:$C$205,MATCH($A141,'Planejamento de Viagens'!$A$6:$A$205,0)),""))</x:f>
      </x:c>
      <x:c r="D141" s="67" t="str">
        <x:f>IF($A141="","",IFERROR(INDEX('Planejamento de Viagens'!$F$6:$F$205,MATCH($A141,'Planejamento de Viagens'!$A$6:$A$205,0)),""))</x:f>
      </x:c>
      <x:c r="E141" s="67" t="str">
        <x:f>IF($A141="","",IFERROR(INDEX('Planejamento de Viagens'!$G$6:$G$205,MATCH($A141,'Planejamento de Viagens'!$A$6:$A$205,0)),""))</x:f>
      </x:c>
      <x:c r="F141" s="61" t="str">
        <x:f>IF($A141="","",IFERROR(INDEX('Planejamento de Viagens'!$J$6:$J$205,MATCH($A141,'Planejamento de Viagens'!$A$6:$A$205,0)),0))</x:f>
      </x:c>
      <x:c r="G141" s="67" t="str">
        <x:f>IF($A141="","",IFERROR(INDEX('Planejamento de Viagens'!$K$6:$K$205,MATCH($A141,'Planejamento de Viagens'!$A$6:$A$205,0)),""))</x:f>
      </x:c>
      <x:c r="H141" s="67" t="str">
        <x:f>IF($A141="","",TEXT(INDEX('Planejamento de Viagens'!$H$6:$H$205,MATCH($A141,'Planejamento de Viagens'!$A$6:$A$205,0)),"mmm/yyyy"))</x:f>
      </x:c>
      <x:c r="I141" s="67" t="str">
        <x:f>IF($A141="","",2026)</x:f>
      </x:c>
      <x:c r="J141" s="63" t="str">
        <x:f>IF($A141="","",INDEX('Planejamento de Viagens'!$N$6:$N$205,MATCH($A141,'Planejamento de Viagens'!$A$6:$A$205,0)))</x:f>
      </x:c>
      <x:c r="K141" s="63" t="str">
        <x:f>IF($A141="","",IFERROR($J141/$F141,0))</x:f>
      </x:c>
      <x:c r="L141" s="63" t="str">
        <x:f>IF($A141="","",$J141/2)</x:f>
      </x:c>
      <x:c r="M141" s="63" t="str">
        <x:f>IF($A141="","",INDEX('Planejamento de Viagens'!$O$6:$O$205,MATCH($A141,'Planejamento de Viagens'!$A$6:$A$205,0)))</x:f>
      </x:c>
      <x:c r="N141" s="61" t="str">
        <x:f>IF($A141="","",COUNTIF($J$6:$J$205,"&gt;"&amp;$J141)+1)</x:f>
      </x:c>
    </x:row>
    <x:row r="142">
      <x:c r="A142" s="36"/>
      <x:c r="B142" s="67" t="str">
        <x:f>IF($A142="","",IFERROR(INDEX('Planejamento de Viagens'!$B$6:$B$205,MATCH($A142,'Planejamento de Viagens'!$A$6:$A$205,0)),""))</x:f>
      </x:c>
      <x:c r="C142" s="67" t="str">
        <x:f>IF($A142="","",IFERROR(INDEX('Planejamento de Viagens'!$C$6:$C$205,MATCH($A142,'Planejamento de Viagens'!$A$6:$A$205,0)),""))</x:f>
      </x:c>
      <x:c r="D142" s="67" t="str">
        <x:f>IF($A142="","",IFERROR(INDEX('Planejamento de Viagens'!$F$6:$F$205,MATCH($A142,'Planejamento de Viagens'!$A$6:$A$205,0)),""))</x:f>
      </x:c>
      <x:c r="E142" s="67" t="str">
        <x:f>IF($A142="","",IFERROR(INDEX('Planejamento de Viagens'!$G$6:$G$205,MATCH($A142,'Planejamento de Viagens'!$A$6:$A$205,0)),""))</x:f>
      </x:c>
      <x:c r="F142" s="61" t="str">
        <x:f>IF($A142="","",IFERROR(INDEX('Planejamento de Viagens'!$J$6:$J$205,MATCH($A142,'Planejamento de Viagens'!$A$6:$A$205,0)),0))</x:f>
      </x:c>
      <x:c r="G142" s="67" t="str">
        <x:f>IF($A142="","",IFERROR(INDEX('Planejamento de Viagens'!$K$6:$K$205,MATCH($A142,'Planejamento de Viagens'!$A$6:$A$205,0)),""))</x:f>
      </x:c>
      <x:c r="H142" s="67" t="str">
        <x:f>IF($A142="","",TEXT(INDEX('Planejamento de Viagens'!$H$6:$H$205,MATCH($A142,'Planejamento de Viagens'!$A$6:$A$205,0)),"mmm/yyyy"))</x:f>
      </x:c>
      <x:c r="I142" s="67" t="str">
        <x:f>IF($A142="","",2026)</x:f>
      </x:c>
      <x:c r="J142" s="63" t="str">
        <x:f>IF($A142="","",INDEX('Planejamento de Viagens'!$N$6:$N$205,MATCH($A142,'Planejamento de Viagens'!$A$6:$A$205,0)))</x:f>
      </x:c>
      <x:c r="K142" s="63" t="str">
        <x:f>IF($A142="","",IFERROR($J142/$F142,0))</x:f>
      </x:c>
      <x:c r="L142" s="63" t="str">
        <x:f>IF($A142="","",$J142/2)</x:f>
      </x:c>
      <x:c r="M142" s="63" t="str">
        <x:f>IF($A142="","",INDEX('Planejamento de Viagens'!$O$6:$O$205,MATCH($A142,'Planejamento de Viagens'!$A$6:$A$205,0)))</x:f>
      </x:c>
      <x:c r="N142" s="61" t="str">
        <x:f>IF($A142="","",COUNTIF($J$6:$J$205,"&gt;"&amp;$J142)+1)</x:f>
      </x:c>
    </x:row>
    <x:row r="143">
      <x:c r="A143" s="36"/>
      <x:c r="B143" s="67" t="str">
        <x:f>IF($A143="","",IFERROR(INDEX('Planejamento de Viagens'!$B$6:$B$205,MATCH($A143,'Planejamento de Viagens'!$A$6:$A$205,0)),""))</x:f>
      </x:c>
      <x:c r="C143" s="67" t="str">
        <x:f>IF($A143="","",IFERROR(INDEX('Planejamento de Viagens'!$C$6:$C$205,MATCH($A143,'Planejamento de Viagens'!$A$6:$A$205,0)),""))</x:f>
      </x:c>
      <x:c r="D143" s="67" t="str">
        <x:f>IF($A143="","",IFERROR(INDEX('Planejamento de Viagens'!$F$6:$F$205,MATCH($A143,'Planejamento de Viagens'!$A$6:$A$205,0)),""))</x:f>
      </x:c>
      <x:c r="E143" s="67" t="str">
        <x:f>IF($A143="","",IFERROR(INDEX('Planejamento de Viagens'!$G$6:$G$205,MATCH($A143,'Planejamento de Viagens'!$A$6:$A$205,0)),""))</x:f>
      </x:c>
      <x:c r="F143" s="61" t="str">
        <x:f>IF($A143="","",IFERROR(INDEX('Planejamento de Viagens'!$J$6:$J$205,MATCH($A143,'Planejamento de Viagens'!$A$6:$A$205,0)),0))</x:f>
      </x:c>
      <x:c r="G143" s="67" t="str">
        <x:f>IF($A143="","",IFERROR(INDEX('Planejamento de Viagens'!$K$6:$K$205,MATCH($A143,'Planejamento de Viagens'!$A$6:$A$205,0)),""))</x:f>
      </x:c>
      <x:c r="H143" s="67" t="str">
        <x:f>IF($A143="","",TEXT(INDEX('Planejamento de Viagens'!$H$6:$H$205,MATCH($A143,'Planejamento de Viagens'!$A$6:$A$205,0)),"mmm/yyyy"))</x:f>
      </x:c>
      <x:c r="I143" s="67" t="str">
        <x:f>IF($A143="","",2026)</x:f>
      </x:c>
      <x:c r="J143" s="63" t="str">
        <x:f>IF($A143="","",INDEX('Planejamento de Viagens'!$N$6:$N$205,MATCH($A143,'Planejamento de Viagens'!$A$6:$A$205,0)))</x:f>
      </x:c>
      <x:c r="K143" s="63" t="str">
        <x:f>IF($A143="","",IFERROR($J143/$F143,0))</x:f>
      </x:c>
      <x:c r="L143" s="63" t="str">
        <x:f>IF($A143="","",$J143/2)</x:f>
      </x:c>
      <x:c r="M143" s="63" t="str">
        <x:f>IF($A143="","",INDEX('Planejamento de Viagens'!$O$6:$O$205,MATCH($A143,'Planejamento de Viagens'!$A$6:$A$205,0)))</x:f>
      </x:c>
      <x:c r="N143" s="61" t="str">
        <x:f>IF($A143="","",COUNTIF($J$6:$J$205,"&gt;"&amp;$J143)+1)</x:f>
      </x:c>
    </x:row>
    <x:row r="144">
      <x:c r="A144" s="36"/>
      <x:c r="B144" s="67" t="str">
        <x:f>IF($A144="","",IFERROR(INDEX('Planejamento de Viagens'!$B$6:$B$205,MATCH($A144,'Planejamento de Viagens'!$A$6:$A$205,0)),""))</x:f>
      </x:c>
      <x:c r="C144" s="67" t="str">
        <x:f>IF($A144="","",IFERROR(INDEX('Planejamento de Viagens'!$C$6:$C$205,MATCH($A144,'Planejamento de Viagens'!$A$6:$A$205,0)),""))</x:f>
      </x:c>
      <x:c r="D144" s="67" t="str">
        <x:f>IF($A144="","",IFERROR(INDEX('Planejamento de Viagens'!$F$6:$F$205,MATCH($A144,'Planejamento de Viagens'!$A$6:$A$205,0)),""))</x:f>
      </x:c>
      <x:c r="E144" s="67" t="str">
        <x:f>IF($A144="","",IFERROR(INDEX('Planejamento de Viagens'!$G$6:$G$205,MATCH($A144,'Planejamento de Viagens'!$A$6:$A$205,0)),""))</x:f>
      </x:c>
      <x:c r="F144" s="61" t="str">
        <x:f>IF($A144="","",IFERROR(INDEX('Planejamento de Viagens'!$J$6:$J$205,MATCH($A144,'Planejamento de Viagens'!$A$6:$A$205,0)),0))</x:f>
      </x:c>
      <x:c r="G144" s="67" t="str">
        <x:f>IF($A144="","",IFERROR(INDEX('Planejamento de Viagens'!$K$6:$K$205,MATCH($A144,'Planejamento de Viagens'!$A$6:$A$205,0)),""))</x:f>
      </x:c>
      <x:c r="H144" s="67" t="str">
        <x:f>IF($A144="","",TEXT(INDEX('Planejamento de Viagens'!$H$6:$H$205,MATCH($A144,'Planejamento de Viagens'!$A$6:$A$205,0)),"mmm/yyyy"))</x:f>
      </x:c>
      <x:c r="I144" s="67" t="str">
        <x:f>IF($A144="","",2026)</x:f>
      </x:c>
      <x:c r="J144" s="63" t="str">
        <x:f>IF($A144="","",INDEX('Planejamento de Viagens'!$N$6:$N$205,MATCH($A144,'Planejamento de Viagens'!$A$6:$A$205,0)))</x:f>
      </x:c>
      <x:c r="K144" s="63" t="str">
        <x:f>IF($A144="","",IFERROR($J144/$F144,0))</x:f>
      </x:c>
      <x:c r="L144" s="63" t="str">
        <x:f>IF($A144="","",$J144/2)</x:f>
      </x:c>
      <x:c r="M144" s="63" t="str">
        <x:f>IF($A144="","",INDEX('Planejamento de Viagens'!$O$6:$O$205,MATCH($A144,'Planejamento de Viagens'!$A$6:$A$205,0)))</x:f>
      </x:c>
      <x:c r="N144" s="61" t="str">
        <x:f>IF($A144="","",COUNTIF($J$6:$J$205,"&gt;"&amp;$J144)+1)</x:f>
      </x:c>
    </x:row>
    <x:row r="145">
      <x:c r="A145" s="36"/>
      <x:c r="B145" s="67" t="str">
        <x:f>IF($A145="","",IFERROR(INDEX('Planejamento de Viagens'!$B$6:$B$205,MATCH($A145,'Planejamento de Viagens'!$A$6:$A$205,0)),""))</x:f>
      </x:c>
      <x:c r="C145" s="67" t="str">
        <x:f>IF($A145="","",IFERROR(INDEX('Planejamento de Viagens'!$C$6:$C$205,MATCH($A145,'Planejamento de Viagens'!$A$6:$A$205,0)),""))</x:f>
      </x:c>
      <x:c r="D145" s="67" t="str">
        <x:f>IF($A145="","",IFERROR(INDEX('Planejamento de Viagens'!$F$6:$F$205,MATCH($A145,'Planejamento de Viagens'!$A$6:$A$205,0)),""))</x:f>
      </x:c>
      <x:c r="E145" s="67" t="str">
        <x:f>IF($A145="","",IFERROR(INDEX('Planejamento de Viagens'!$G$6:$G$205,MATCH($A145,'Planejamento de Viagens'!$A$6:$A$205,0)),""))</x:f>
      </x:c>
      <x:c r="F145" s="61" t="str">
        <x:f>IF($A145="","",IFERROR(INDEX('Planejamento de Viagens'!$J$6:$J$205,MATCH($A145,'Planejamento de Viagens'!$A$6:$A$205,0)),0))</x:f>
      </x:c>
      <x:c r="G145" s="67" t="str">
        <x:f>IF($A145="","",IFERROR(INDEX('Planejamento de Viagens'!$K$6:$K$205,MATCH($A145,'Planejamento de Viagens'!$A$6:$A$205,0)),""))</x:f>
      </x:c>
      <x:c r="H145" s="67" t="str">
        <x:f>IF($A145="","",TEXT(INDEX('Planejamento de Viagens'!$H$6:$H$205,MATCH($A145,'Planejamento de Viagens'!$A$6:$A$205,0)),"mmm/yyyy"))</x:f>
      </x:c>
      <x:c r="I145" s="67" t="str">
        <x:f>IF($A145="","",2026)</x:f>
      </x:c>
      <x:c r="J145" s="63" t="str">
        <x:f>IF($A145="","",INDEX('Planejamento de Viagens'!$N$6:$N$205,MATCH($A145,'Planejamento de Viagens'!$A$6:$A$205,0)))</x:f>
      </x:c>
      <x:c r="K145" s="63" t="str">
        <x:f>IF($A145="","",IFERROR($J145/$F145,0))</x:f>
      </x:c>
      <x:c r="L145" s="63" t="str">
        <x:f>IF($A145="","",$J145/2)</x:f>
      </x:c>
      <x:c r="M145" s="63" t="str">
        <x:f>IF($A145="","",INDEX('Planejamento de Viagens'!$O$6:$O$205,MATCH($A145,'Planejamento de Viagens'!$A$6:$A$205,0)))</x:f>
      </x:c>
      <x:c r="N145" s="61" t="str">
        <x:f>IF($A145="","",COUNTIF($J$6:$J$205,"&gt;"&amp;$J145)+1)</x:f>
      </x:c>
    </x:row>
    <x:row r="146">
      <x:c r="A146" s="36"/>
      <x:c r="B146" s="67" t="str">
        <x:f>IF($A146="","",IFERROR(INDEX('Planejamento de Viagens'!$B$6:$B$205,MATCH($A146,'Planejamento de Viagens'!$A$6:$A$205,0)),""))</x:f>
      </x:c>
      <x:c r="C146" s="67" t="str">
        <x:f>IF($A146="","",IFERROR(INDEX('Planejamento de Viagens'!$C$6:$C$205,MATCH($A146,'Planejamento de Viagens'!$A$6:$A$205,0)),""))</x:f>
      </x:c>
      <x:c r="D146" s="67" t="str">
        <x:f>IF($A146="","",IFERROR(INDEX('Planejamento de Viagens'!$F$6:$F$205,MATCH($A146,'Planejamento de Viagens'!$A$6:$A$205,0)),""))</x:f>
      </x:c>
      <x:c r="E146" s="67" t="str">
        <x:f>IF($A146="","",IFERROR(INDEX('Planejamento de Viagens'!$G$6:$G$205,MATCH($A146,'Planejamento de Viagens'!$A$6:$A$205,0)),""))</x:f>
      </x:c>
      <x:c r="F146" s="61" t="str">
        <x:f>IF($A146="","",IFERROR(INDEX('Planejamento de Viagens'!$J$6:$J$205,MATCH($A146,'Planejamento de Viagens'!$A$6:$A$205,0)),0))</x:f>
      </x:c>
      <x:c r="G146" s="67" t="str">
        <x:f>IF($A146="","",IFERROR(INDEX('Planejamento de Viagens'!$K$6:$K$205,MATCH($A146,'Planejamento de Viagens'!$A$6:$A$205,0)),""))</x:f>
      </x:c>
      <x:c r="H146" s="67" t="str">
        <x:f>IF($A146="","",TEXT(INDEX('Planejamento de Viagens'!$H$6:$H$205,MATCH($A146,'Planejamento de Viagens'!$A$6:$A$205,0)),"mmm/yyyy"))</x:f>
      </x:c>
      <x:c r="I146" s="67" t="str">
        <x:f>IF($A146="","",2026)</x:f>
      </x:c>
      <x:c r="J146" s="63" t="str">
        <x:f>IF($A146="","",INDEX('Planejamento de Viagens'!$N$6:$N$205,MATCH($A146,'Planejamento de Viagens'!$A$6:$A$205,0)))</x:f>
      </x:c>
      <x:c r="K146" s="63" t="str">
        <x:f>IF($A146="","",IFERROR($J146/$F146,0))</x:f>
      </x:c>
      <x:c r="L146" s="63" t="str">
        <x:f>IF($A146="","",$J146/2)</x:f>
      </x:c>
      <x:c r="M146" s="63" t="str">
        <x:f>IF($A146="","",INDEX('Planejamento de Viagens'!$O$6:$O$205,MATCH($A146,'Planejamento de Viagens'!$A$6:$A$205,0)))</x:f>
      </x:c>
      <x:c r="N146" s="61" t="str">
        <x:f>IF($A146="","",COUNTIF($J$6:$J$205,"&gt;"&amp;$J146)+1)</x:f>
      </x:c>
    </x:row>
    <x:row r="147">
      <x:c r="A147" s="36"/>
      <x:c r="B147" s="67" t="str">
        <x:f>IF($A147="","",IFERROR(INDEX('Planejamento de Viagens'!$B$6:$B$205,MATCH($A147,'Planejamento de Viagens'!$A$6:$A$205,0)),""))</x:f>
      </x:c>
      <x:c r="C147" s="67" t="str">
        <x:f>IF($A147="","",IFERROR(INDEX('Planejamento de Viagens'!$C$6:$C$205,MATCH($A147,'Planejamento de Viagens'!$A$6:$A$205,0)),""))</x:f>
      </x:c>
      <x:c r="D147" s="67" t="str">
        <x:f>IF($A147="","",IFERROR(INDEX('Planejamento de Viagens'!$F$6:$F$205,MATCH($A147,'Planejamento de Viagens'!$A$6:$A$205,0)),""))</x:f>
      </x:c>
      <x:c r="E147" s="67" t="str">
        <x:f>IF($A147="","",IFERROR(INDEX('Planejamento de Viagens'!$G$6:$G$205,MATCH($A147,'Planejamento de Viagens'!$A$6:$A$205,0)),""))</x:f>
      </x:c>
      <x:c r="F147" s="61" t="str">
        <x:f>IF($A147="","",IFERROR(INDEX('Planejamento de Viagens'!$J$6:$J$205,MATCH($A147,'Planejamento de Viagens'!$A$6:$A$205,0)),0))</x:f>
      </x:c>
      <x:c r="G147" s="67" t="str">
        <x:f>IF($A147="","",IFERROR(INDEX('Planejamento de Viagens'!$K$6:$K$205,MATCH($A147,'Planejamento de Viagens'!$A$6:$A$205,0)),""))</x:f>
      </x:c>
      <x:c r="H147" s="67" t="str">
        <x:f>IF($A147="","",TEXT(INDEX('Planejamento de Viagens'!$H$6:$H$205,MATCH($A147,'Planejamento de Viagens'!$A$6:$A$205,0)),"mmm/yyyy"))</x:f>
      </x:c>
      <x:c r="I147" s="67" t="str">
        <x:f>IF($A147="","",2026)</x:f>
      </x:c>
      <x:c r="J147" s="63" t="str">
        <x:f>IF($A147="","",INDEX('Planejamento de Viagens'!$N$6:$N$205,MATCH($A147,'Planejamento de Viagens'!$A$6:$A$205,0)))</x:f>
      </x:c>
      <x:c r="K147" s="63" t="str">
        <x:f>IF($A147="","",IFERROR($J147/$F147,0))</x:f>
      </x:c>
      <x:c r="L147" s="63" t="str">
        <x:f>IF($A147="","",$J147/2)</x:f>
      </x:c>
      <x:c r="M147" s="63" t="str">
        <x:f>IF($A147="","",INDEX('Planejamento de Viagens'!$O$6:$O$205,MATCH($A147,'Planejamento de Viagens'!$A$6:$A$205,0)))</x:f>
      </x:c>
      <x:c r="N147" s="61" t="str">
        <x:f>IF($A147="","",COUNTIF($J$6:$J$205,"&gt;"&amp;$J147)+1)</x:f>
      </x:c>
    </x:row>
    <x:row r="148">
      <x:c r="A148" s="36"/>
      <x:c r="B148" s="67" t="str">
        <x:f>IF($A148="","",IFERROR(INDEX('Planejamento de Viagens'!$B$6:$B$205,MATCH($A148,'Planejamento de Viagens'!$A$6:$A$205,0)),""))</x:f>
      </x:c>
      <x:c r="C148" s="67" t="str">
        <x:f>IF($A148="","",IFERROR(INDEX('Planejamento de Viagens'!$C$6:$C$205,MATCH($A148,'Planejamento de Viagens'!$A$6:$A$205,0)),""))</x:f>
      </x:c>
      <x:c r="D148" s="67" t="str">
        <x:f>IF($A148="","",IFERROR(INDEX('Planejamento de Viagens'!$F$6:$F$205,MATCH($A148,'Planejamento de Viagens'!$A$6:$A$205,0)),""))</x:f>
      </x:c>
      <x:c r="E148" s="67" t="str">
        <x:f>IF($A148="","",IFERROR(INDEX('Planejamento de Viagens'!$G$6:$G$205,MATCH($A148,'Planejamento de Viagens'!$A$6:$A$205,0)),""))</x:f>
      </x:c>
      <x:c r="F148" s="61" t="str">
        <x:f>IF($A148="","",IFERROR(INDEX('Planejamento de Viagens'!$J$6:$J$205,MATCH($A148,'Planejamento de Viagens'!$A$6:$A$205,0)),0))</x:f>
      </x:c>
      <x:c r="G148" s="67" t="str">
        <x:f>IF($A148="","",IFERROR(INDEX('Planejamento de Viagens'!$K$6:$K$205,MATCH($A148,'Planejamento de Viagens'!$A$6:$A$205,0)),""))</x:f>
      </x:c>
      <x:c r="H148" s="67" t="str">
        <x:f>IF($A148="","",TEXT(INDEX('Planejamento de Viagens'!$H$6:$H$205,MATCH($A148,'Planejamento de Viagens'!$A$6:$A$205,0)),"mmm/yyyy"))</x:f>
      </x:c>
      <x:c r="I148" s="67" t="str">
        <x:f>IF($A148="","",2026)</x:f>
      </x:c>
      <x:c r="J148" s="63" t="str">
        <x:f>IF($A148="","",INDEX('Planejamento de Viagens'!$N$6:$N$205,MATCH($A148,'Planejamento de Viagens'!$A$6:$A$205,0)))</x:f>
      </x:c>
      <x:c r="K148" s="63" t="str">
        <x:f>IF($A148="","",IFERROR($J148/$F148,0))</x:f>
      </x:c>
      <x:c r="L148" s="63" t="str">
        <x:f>IF($A148="","",$J148/2)</x:f>
      </x:c>
      <x:c r="M148" s="63" t="str">
        <x:f>IF($A148="","",INDEX('Planejamento de Viagens'!$O$6:$O$205,MATCH($A148,'Planejamento de Viagens'!$A$6:$A$205,0)))</x:f>
      </x:c>
      <x:c r="N148" s="61" t="str">
        <x:f>IF($A148="","",COUNTIF($J$6:$J$205,"&gt;"&amp;$J148)+1)</x:f>
      </x:c>
    </x:row>
    <x:row r="149">
      <x:c r="A149" s="36"/>
      <x:c r="B149" s="67" t="str">
        <x:f>IF($A149="","",IFERROR(INDEX('Planejamento de Viagens'!$B$6:$B$205,MATCH($A149,'Planejamento de Viagens'!$A$6:$A$205,0)),""))</x:f>
      </x:c>
      <x:c r="C149" s="67" t="str">
        <x:f>IF($A149="","",IFERROR(INDEX('Planejamento de Viagens'!$C$6:$C$205,MATCH($A149,'Planejamento de Viagens'!$A$6:$A$205,0)),""))</x:f>
      </x:c>
      <x:c r="D149" s="67" t="str">
        <x:f>IF($A149="","",IFERROR(INDEX('Planejamento de Viagens'!$F$6:$F$205,MATCH($A149,'Planejamento de Viagens'!$A$6:$A$205,0)),""))</x:f>
      </x:c>
      <x:c r="E149" s="67" t="str">
        <x:f>IF($A149="","",IFERROR(INDEX('Planejamento de Viagens'!$G$6:$G$205,MATCH($A149,'Planejamento de Viagens'!$A$6:$A$205,0)),""))</x:f>
      </x:c>
      <x:c r="F149" s="61" t="str">
        <x:f>IF($A149="","",IFERROR(INDEX('Planejamento de Viagens'!$J$6:$J$205,MATCH($A149,'Planejamento de Viagens'!$A$6:$A$205,0)),0))</x:f>
      </x:c>
      <x:c r="G149" s="67" t="str">
        <x:f>IF($A149="","",IFERROR(INDEX('Planejamento de Viagens'!$K$6:$K$205,MATCH($A149,'Planejamento de Viagens'!$A$6:$A$205,0)),""))</x:f>
      </x:c>
      <x:c r="H149" s="67" t="str">
        <x:f>IF($A149="","",TEXT(INDEX('Planejamento de Viagens'!$H$6:$H$205,MATCH($A149,'Planejamento de Viagens'!$A$6:$A$205,0)),"mmm/yyyy"))</x:f>
      </x:c>
      <x:c r="I149" s="67" t="str">
        <x:f>IF($A149="","",2026)</x:f>
      </x:c>
      <x:c r="J149" s="63" t="str">
        <x:f>IF($A149="","",INDEX('Planejamento de Viagens'!$N$6:$N$205,MATCH($A149,'Planejamento de Viagens'!$A$6:$A$205,0)))</x:f>
      </x:c>
      <x:c r="K149" s="63" t="str">
        <x:f>IF($A149="","",IFERROR($J149/$F149,0))</x:f>
      </x:c>
      <x:c r="L149" s="63" t="str">
        <x:f>IF($A149="","",$J149/2)</x:f>
      </x:c>
      <x:c r="M149" s="63" t="str">
        <x:f>IF($A149="","",INDEX('Planejamento de Viagens'!$O$6:$O$205,MATCH($A149,'Planejamento de Viagens'!$A$6:$A$205,0)))</x:f>
      </x:c>
      <x:c r="N149" s="61" t="str">
        <x:f>IF($A149="","",COUNTIF($J$6:$J$205,"&gt;"&amp;$J149)+1)</x:f>
      </x:c>
    </x:row>
    <x:row r="150">
      <x:c r="A150" s="36"/>
      <x:c r="B150" s="67" t="str">
        <x:f>IF($A150="","",IFERROR(INDEX('Planejamento de Viagens'!$B$6:$B$205,MATCH($A150,'Planejamento de Viagens'!$A$6:$A$205,0)),""))</x:f>
      </x:c>
      <x:c r="C150" s="67" t="str">
        <x:f>IF($A150="","",IFERROR(INDEX('Planejamento de Viagens'!$C$6:$C$205,MATCH($A150,'Planejamento de Viagens'!$A$6:$A$205,0)),""))</x:f>
      </x:c>
      <x:c r="D150" s="67" t="str">
        <x:f>IF($A150="","",IFERROR(INDEX('Planejamento de Viagens'!$F$6:$F$205,MATCH($A150,'Planejamento de Viagens'!$A$6:$A$205,0)),""))</x:f>
      </x:c>
      <x:c r="E150" s="67" t="str">
        <x:f>IF($A150="","",IFERROR(INDEX('Planejamento de Viagens'!$G$6:$G$205,MATCH($A150,'Planejamento de Viagens'!$A$6:$A$205,0)),""))</x:f>
      </x:c>
      <x:c r="F150" s="61" t="str">
        <x:f>IF($A150="","",IFERROR(INDEX('Planejamento de Viagens'!$J$6:$J$205,MATCH($A150,'Planejamento de Viagens'!$A$6:$A$205,0)),0))</x:f>
      </x:c>
      <x:c r="G150" s="67" t="str">
        <x:f>IF($A150="","",IFERROR(INDEX('Planejamento de Viagens'!$K$6:$K$205,MATCH($A150,'Planejamento de Viagens'!$A$6:$A$205,0)),""))</x:f>
      </x:c>
      <x:c r="H150" s="67" t="str">
        <x:f>IF($A150="","",TEXT(INDEX('Planejamento de Viagens'!$H$6:$H$205,MATCH($A150,'Planejamento de Viagens'!$A$6:$A$205,0)),"mmm/yyyy"))</x:f>
      </x:c>
      <x:c r="I150" s="67" t="str">
        <x:f>IF($A150="","",2026)</x:f>
      </x:c>
      <x:c r="J150" s="63" t="str">
        <x:f>IF($A150="","",INDEX('Planejamento de Viagens'!$N$6:$N$205,MATCH($A150,'Planejamento de Viagens'!$A$6:$A$205,0)))</x:f>
      </x:c>
      <x:c r="K150" s="63" t="str">
        <x:f>IF($A150="","",IFERROR($J150/$F150,0))</x:f>
      </x:c>
      <x:c r="L150" s="63" t="str">
        <x:f>IF($A150="","",$J150/2)</x:f>
      </x:c>
      <x:c r="M150" s="63" t="str">
        <x:f>IF($A150="","",INDEX('Planejamento de Viagens'!$O$6:$O$205,MATCH($A150,'Planejamento de Viagens'!$A$6:$A$205,0)))</x:f>
      </x:c>
      <x:c r="N150" s="61" t="str">
        <x:f>IF($A150="","",COUNTIF($J$6:$J$205,"&gt;"&amp;$J150)+1)</x:f>
      </x:c>
    </x:row>
    <x:row r="151">
      <x:c r="A151" s="36"/>
      <x:c r="B151" s="67" t="str">
        <x:f>IF($A151="","",IFERROR(INDEX('Planejamento de Viagens'!$B$6:$B$205,MATCH($A151,'Planejamento de Viagens'!$A$6:$A$205,0)),""))</x:f>
      </x:c>
      <x:c r="C151" s="67" t="str">
        <x:f>IF($A151="","",IFERROR(INDEX('Planejamento de Viagens'!$C$6:$C$205,MATCH($A151,'Planejamento de Viagens'!$A$6:$A$205,0)),""))</x:f>
      </x:c>
      <x:c r="D151" s="67" t="str">
        <x:f>IF($A151="","",IFERROR(INDEX('Planejamento de Viagens'!$F$6:$F$205,MATCH($A151,'Planejamento de Viagens'!$A$6:$A$205,0)),""))</x:f>
      </x:c>
      <x:c r="E151" s="67" t="str">
        <x:f>IF($A151="","",IFERROR(INDEX('Planejamento de Viagens'!$G$6:$G$205,MATCH($A151,'Planejamento de Viagens'!$A$6:$A$205,0)),""))</x:f>
      </x:c>
      <x:c r="F151" s="61" t="str">
        <x:f>IF($A151="","",IFERROR(INDEX('Planejamento de Viagens'!$J$6:$J$205,MATCH($A151,'Planejamento de Viagens'!$A$6:$A$205,0)),0))</x:f>
      </x:c>
      <x:c r="G151" s="67" t="str">
        <x:f>IF($A151="","",IFERROR(INDEX('Planejamento de Viagens'!$K$6:$K$205,MATCH($A151,'Planejamento de Viagens'!$A$6:$A$205,0)),""))</x:f>
      </x:c>
      <x:c r="H151" s="67" t="str">
        <x:f>IF($A151="","",TEXT(INDEX('Planejamento de Viagens'!$H$6:$H$205,MATCH($A151,'Planejamento de Viagens'!$A$6:$A$205,0)),"mmm/yyyy"))</x:f>
      </x:c>
      <x:c r="I151" s="67" t="str">
        <x:f>IF($A151="","",2026)</x:f>
      </x:c>
      <x:c r="J151" s="63" t="str">
        <x:f>IF($A151="","",INDEX('Planejamento de Viagens'!$N$6:$N$205,MATCH($A151,'Planejamento de Viagens'!$A$6:$A$205,0)))</x:f>
      </x:c>
      <x:c r="K151" s="63" t="str">
        <x:f>IF($A151="","",IFERROR($J151/$F151,0))</x:f>
      </x:c>
      <x:c r="L151" s="63" t="str">
        <x:f>IF($A151="","",$J151/2)</x:f>
      </x:c>
      <x:c r="M151" s="63" t="str">
        <x:f>IF($A151="","",INDEX('Planejamento de Viagens'!$O$6:$O$205,MATCH($A151,'Planejamento de Viagens'!$A$6:$A$205,0)))</x:f>
      </x:c>
      <x:c r="N151" s="61" t="str">
        <x:f>IF($A151="","",COUNTIF($J$6:$J$205,"&gt;"&amp;$J151)+1)</x:f>
      </x:c>
    </x:row>
    <x:row r="152">
      <x:c r="A152" s="36"/>
      <x:c r="B152" s="67" t="str">
        <x:f>IF($A152="","",IFERROR(INDEX('Planejamento de Viagens'!$B$6:$B$205,MATCH($A152,'Planejamento de Viagens'!$A$6:$A$205,0)),""))</x:f>
      </x:c>
      <x:c r="C152" s="67" t="str">
        <x:f>IF($A152="","",IFERROR(INDEX('Planejamento de Viagens'!$C$6:$C$205,MATCH($A152,'Planejamento de Viagens'!$A$6:$A$205,0)),""))</x:f>
      </x:c>
      <x:c r="D152" s="67" t="str">
        <x:f>IF($A152="","",IFERROR(INDEX('Planejamento de Viagens'!$F$6:$F$205,MATCH($A152,'Planejamento de Viagens'!$A$6:$A$205,0)),""))</x:f>
      </x:c>
      <x:c r="E152" s="67" t="str">
        <x:f>IF($A152="","",IFERROR(INDEX('Planejamento de Viagens'!$G$6:$G$205,MATCH($A152,'Planejamento de Viagens'!$A$6:$A$205,0)),""))</x:f>
      </x:c>
      <x:c r="F152" s="61" t="str">
        <x:f>IF($A152="","",IFERROR(INDEX('Planejamento de Viagens'!$J$6:$J$205,MATCH($A152,'Planejamento de Viagens'!$A$6:$A$205,0)),0))</x:f>
      </x:c>
      <x:c r="G152" s="67" t="str">
        <x:f>IF($A152="","",IFERROR(INDEX('Planejamento de Viagens'!$K$6:$K$205,MATCH($A152,'Planejamento de Viagens'!$A$6:$A$205,0)),""))</x:f>
      </x:c>
      <x:c r="H152" s="67" t="str">
        <x:f>IF($A152="","",TEXT(INDEX('Planejamento de Viagens'!$H$6:$H$205,MATCH($A152,'Planejamento de Viagens'!$A$6:$A$205,0)),"mmm/yyyy"))</x:f>
      </x:c>
      <x:c r="I152" s="67" t="str">
        <x:f>IF($A152="","",2026)</x:f>
      </x:c>
      <x:c r="J152" s="63" t="str">
        <x:f>IF($A152="","",INDEX('Planejamento de Viagens'!$N$6:$N$205,MATCH($A152,'Planejamento de Viagens'!$A$6:$A$205,0)))</x:f>
      </x:c>
      <x:c r="K152" s="63" t="str">
        <x:f>IF($A152="","",IFERROR($J152/$F152,0))</x:f>
      </x:c>
      <x:c r="L152" s="63" t="str">
        <x:f>IF($A152="","",$J152/2)</x:f>
      </x:c>
      <x:c r="M152" s="63" t="str">
        <x:f>IF($A152="","",INDEX('Planejamento de Viagens'!$O$6:$O$205,MATCH($A152,'Planejamento de Viagens'!$A$6:$A$205,0)))</x:f>
      </x:c>
      <x:c r="N152" s="61" t="str">
        <x:f>IF($A152="","",COUNTIF($J$6:$J$205,"&gt;"&amp;$J152)+1)</x:f>
      </x:c>
    </x:row>
    <x:row r="153">
      <x:c r="A153" s="36"/>
      <x:c r="B153" s="67" t="str">
        <x:f>IF($A153="","",IFERROR(INDEX('Planejamento de Viagens'!$B$6:$B$205,MATCH($A153,'Planejamento de Viagens'!$A$6:$A$205,0)),""))</x:f>
      </x:c>
      <x:c r="C153" s="67" t="str">
        <x:f>IF($A153="","",IFERROR(INDEX('Planejamento de Viagens'!$C$6:$C$205,MATCH($A153,'Planejamento de Viagens'!$A$6:$A$205,0)),""))</x:f>
      </x:c>
      <x:c r="D153" s="67" t="str">
        <x:f>IF($A153="","",IFERROR(INDEX('Planejamento de Viagens'!$F$6:$F$205,MATCH($A153,'Planejamento de Viagens'!$A$6:$A$205,0)),""))</x:f>
      </x:c>
      <x:c r="E153" s="67" t="str">
        <x:f>IF($A153="","",IFERROR(INDEX('Planejamento de Viagens'!$G$6:$G$205,MATCH($A153,'Planejamento de Viagens'!$A$6:$A$205,0)),""))</x:f>
      </x:c>
      <x:c r="F153" s="61" t="str">
        <x:f>IF($A153="","",IFERROR(INDEX('Planejamento de Viagens'!$J$6:$J$205,MATCH($A153,'Planejamento de Viagens'!$A$6:$A$205,0)),0))</x:f>
      </x:c>
      <x:c r="G153" s="67" t="str">
        <x:f>IF($A153="","",IFERROR(INDEX('Planejamento de Viagens'!$K$6:$K$205,MATCH($A153,'Planejamento de Viagens'!$A$6:$A$205,0)),""))</x:f>
      </x:c>
      <x:c r="H153" s="67" t="str">
        <x:f>IF($A153="","",TEXT(INDEX('Planejamento de Viagens'!$H$6:$H$205,MATCH($A153,'Planejamento de Viagens'!$A$6:$A$205,0)),"mmm/yyyy"))</x:f>
      </x:c>
      <x:c r="I153" s="67" t="str">
        <x:f>IF($A153="","",2026)</x:f>
      </x:c>
      <x:c r="J153" s="63" t="str">
        <x:f>IF($A153="","",INDEX('Planejamento de Viagens'!$N$6:$N$205,MATCH($A153,'Planejamento de Viagens'!$A$6:$A$205,0)))</x:f>
      </x:c>
      <x:c r="K153" s="63" t="str">
        <x:f>IF($A153="","",IFERROR($J153/$F153,0))</x:f>
      </x:c>
      <x:c r="L153" s="63" t="str">
        <x:f>IF($A153="","",$J153/2)</x:f>
      </x:c>
      <x:c r="M153" s="63" t="str">
        <x:f>IF($A153="","",INDEX('Planejamento de Viagens'!$O$6:$O$205,MATCH($A153,'Planejamento de Viagens'!$A$6:$A$205,0)))</x:f>
      </x:c>
      <x:c r="N153" s="61" t="str">
        <x:f>IF($A153="","",COUNTIF($J$6:$J$205,"&gt;"&amp;$J153)+1)</x:f>
      </x:c>
    </x:row>
    <x:row r="154">
      <x:c r="A154" s="36"/>
      <x:c r="B154" s="67" t="str">
        <x:f>IF($A154="","",IFERROR(INDEX('Planejamento de Viagens'!$B$6:$B$205,MATCH($A154,'Planejamento de Viagens'!$A$6:$A$205,0)),""))</x:f>
      </x:c>
      <x:c r="C154" s="67" t="str">
        <x:f>IF($A154="","",IFERROR(INDEX('Planejamento de Viagens'!$C$6:$C$205,MATCH($A154,'Planejamento de Viagens'!$A$6:$A$205,0)),""))</x:f>
      </x:c>
      <x:c r="D154" s="67" t="str">
        <x:f>IF($A154="","",IFERROR(INDEX('Planejamento de Viagens'!$F$6:$F$205,MATCH($A154,'Planejamento de Viagens'!$A$6:$A$205,0)),""))</x:f>
      </x:c>
      <x:c r="E154" s="67" t="str">
        <x:f>IF($A154="","",IFERROR(INDEX('Planejamento de Viagens'!$G$6:$G$205,MATCH($A154,'Planejamento de Viagens'!$A$6:$A$205,0)),""))</x:f>
      </x:c>
      <x:c r="F154" s="61" t="str">
        <x:f>IF($A154="","",IFERROR(INDEX('Planejamento de Viagens'!$J$6:$J$205,MATCH($A154,'Planejamento de Viagens'!$A$6:$A$205,0)),0))</x:f>
      </x:c>
      <x:c r="G154" s="67" t="str">
        <x:f>IF($A154="","",IFERROR(INDEX('Planejamento de Viagens'!$K$6:$K$205,MATCH($A154,'Planejamento de Viagens'!$A$6:$A$205,0)),""))</x:f>
      </x:c>
      <x:c r="H154" s="67" t="str">
        <x:f>IF($A154="","",TEXT(INDEX('Planejamento de Viagens'!$H$6:$H$205,MATCH($A154,'Planejamento de Viagens'!$A$6:$A$205,0)),"mmm/yyyy"))</x:f>
      </x:c>
      <x:c r="I154" s="67" t="str">
        <x:f>IF($A154="","",2026)</x:f>
      </x:c>
      <x:c r="J154" s="63" t="str">
        <x:f>IF($A154="","",INDEX('Planejamento de Viagens'!$N$6:$N$205,MATCH($A154,'Planejamento de Viagens'!$A$6:$A$205,0)))</x:f>
      </x:c>
      <x:c r="K154" s="63" t="str">
        <x:f>IF($A154="","",IFERROR($J154/$F154,0))</x:f>
      </x:c>
      <x:c r="L154" s="63" t="str">
        <x:f>IF($A154="","",$J154/2)</x:f>
      </x:c>
      <x:c r="M154" s="63" t="str">
        <x:f>IF($A154="","",INDEX('Planejamento de Viagens'!$O$6:$O$205,MATCH($A154,'Planejamento de Viagens'!$A$6:$A$205,0)))</x:f>
      </x:c>
      <x:c r="N154" s="61" t="str">
        <x:f>IF($A154="","",COUNTIF($J$6:$J$205,"&gt;"&amp;$J154)+1)</x:f>
      </x:c>
    </x:row>
    <x:row r="155">
      <x:c r="A155" s="36"/>
      <x:c r="B155" s="67" t="str">
        <x:f>IF($A155="","",IFERROR(INDEX('Planejamento de Viagens'!$B$6:$B$205,MATCH($A155,'Planejamento de Viagens'!$A$6:$A$205,0)),""))</x:f>
      </x:c>
      <x:c r="C155" s="67" t="str">
        <x:f>IF($A155="","",IFERROR(INDEX('Planejamento de Viagens'!$C$6:$C$205,MATCH($A155,'Planejamento de Viagens'!$A$6:$A$205,0)),""))</x:f>
      </x:c>
      <x:c r="D155" s="67" t="str">
        <x:f>IF($A155="","",IFERROR(INDEX('Planejamento de Viagens'!$F$6:$F$205,MATCH($A155,'Planejamento de Viagens'!$A$6:$A$205,0)),""))</x:f>
      </x:c>
      <x:c r="E155" s="67" t="str">
        <x:f>IF($A155="","",IFERROR(INDEX('Planejamento de Viagens'!$G$6:$G$205,MATCH($A155,'Planejamento de Viagens'!$A$6:$A$205,0)),""))</x:f>
      </x:c>
      <x:c r="F155" s="61" t="str">
        <x:f>IF($A155="","",IFERROR(INDEX('Planejamento de Viagens'!$J$6:$J$205,MATCH($A155,'Planejamento de Viagens'!$A$6:$A$205,0)),0))</x:f>
      </x:c>
      <x:c r="G155" s="67" t="str">
        <x:f>IF($A155="","",IFERROR(INDEX('Planejamento de Viagens'!$K$6:$K$205,MATCH($A155,'Planejamento de Viagens'!$A$6:$A$205,0)),""))</x:f>
      </x:c>
      <x:c r="H155" s="67" t="str">
        <x:f>IF($A155="","",TEXT(INDEX('Planejamento de Viagens'!$H$6:$H$205,MATCH($A155,'Planejamento de Viagens'!$A$6:$A$205,0)),"mmm/yyyy"))</x:f>
      </x:c>
      <x:c r="I155" s="67" t="str">
        <x:f>IF($A155="","",2026)</x:f>
      </x:c>
      <x:c r="J155" s="63" t="str">
        <x:f>IF($A155="","",INDEX('Planejamento de Viagens'!$N$6:$N$205,MATCH($A155,'Planejamento de Viagens'!$A$6:$A$205,0)))</x:f>
      </x:c>
      <x:c r="K155" s="63" t="str">
        <x:f>IF($A155="","",IFERROR($J155/$F155,0))</x:f>
      </x:c>
      <x:c r="L155" s="63" t="str">
        <x:f>IF($A155="","",$J155/2)</x:f>
      </x:c>
      <x:c r="M155" s="63" t="str">
        <x:f>IF($A155="","",INDEX('Planejamento de Viagens'!$O$6:$O$205,MATCH($A155,'Planejamento de Viagens'!$A$6:$A$205,0)))</x:f>
      </x:c>
      <x:c r="N155" s="61" t="str">
        <x:f>IF($A155="","",COUNTIF($J$6:$J$205,"&gt;"&amp;$J155)+1)</x:f>
      </x:c>
    </x:row>
    <x:row r="156">
      <x:c r="A156" s="36"/>
      <x:c r="B156" s="67" t="str">
        <x:f>IF($A156="","",IFERROR(INDEX('Planejamento de Viagens'!$B$6:$B$205,MATCH($A156,'Planejamento de Viagens'!$A$6:$A$205,0)),""))</x:f>
      </x:c>
      <x:c r="C156" s="67" t="str">
        <x:f>IF($A156="","",IFERROR(INDEX('Planejamento de Viagens'!$C$6:$C$205,MATCH($A156,'Planejamento de Viagens'!$A$6:$A$205,0)),""))</x:f>
      </x:c>
      <x:c r="D156" s="67" t="str">
        <x:f>IF($A156="","",IFERROR(INDEX('Planejamento de Viagens'!$F$6:$F$205,MATCH($A156,'Planejamento de Viagens'!$A$6:$A$205,0)),""))</x:f>
      </x:c>
      <x:c r="E156" s="67" t="str">
        <x:f>IF($A156="","",IFERROR(INDEX('Planejamento de Viagens'!$G$6:$G$205,MATCH($A156,'Planejamento de Viagens'!$A$6:$A$205,0)),""))</x:f>
      </x:c>
      <x:c r="F156" s="61" t="str">
        <x:f>IF($A156="","",IFERROR(INDEX('Planejamento de Viagens'!$J$6:$J$205,MATCH($A156,'Planejamento de Viagens'!$A$6:$A$205,0)),0))</x:f>
      </x:c>
      <x:c r="G156" s="67" t="str">
        <x:f>IF($A156="","",IFERROR(INDEX('Planejamento de Viagens'!$K$6:$K$205,MATCH($A156,'Planejamento de Viagens'!$A$6:$A$205,0)),""))</x:f>
      </x:c>
      <x:c r="H156" s="67" t="str">
        <x:f>IF($A156="","",TEXT(INDEX('Planejamento de Viagens'!$H$6:$H$205,MATCH($A156,'Planejamento de Viagens'!$A$6:$A$205,0)),"mmm/yyyy"))</x:f>
      </x:c>
      <x:c r="I156" s="67" t="str">
        <x:f>IF($A156="","",2026)</x:f>
      </x:c>
      <x:c r="J156" s="63" t="str">
        <x:f>IF($A156="","",INDEX('Planejamento de Viagens'!$N$6:$N$205,MATCH($A156,'Planejamento de Viagens'!$A$6:$A$205,0)))</x:f>
      </x:c>
      <x:c r="K156" s="63" t="str">
        <x:f>IF($A156="","",IFERROR($J156/$F156,0))</x:f>
      </x:c>
      <x:c r="L156" s="63" t="str">
        <x:f>IF($A156="","",$J156/2)</x:f>
      </x:c>
      <x:c r="M156" s="63" t="str">
        <x:f>IF($A156="","",INDEX('Planejamento de Viagens'!$O$6:$O$205,MATCH($A156,'Planejamento de Viagens'!$A$6:$A$205,0)))</x:f>
      </x:c>
      <x:c r="N156" s="61" t="str">
        <x:f>IF($A156="","",COUNTIF($J$6:$J$205,"&gt;"&amp;$J156)+1)</x:f>
      </x:c>
    </x:row>
    <x:row r="157">
      <x:c r="A157" s="36"/>
      <x:c r="B157" s="67" t="str">
        <x:f>IF($A157="","",IFERROR(INDEX('Planejamento de Viagens'!$B$6:$B$205,MATCH($A157,'Planejamento de Viagens'!$A$6:$A$205,0)),""))</x:f>
      </x:c>
      <x:c r="C157" s="67" t="str">
        <x:f>IF($A157="","",IFERROR(INDEX('Planejamento de Viagens'!$C$6:$C$205,MATCH($A157,'Planejamento de Viagens'!$A$6:$A$205,0)),""))</x:f>
      </x:c>
      <x:c r="D157" s="67" t="str">
        <x:f>IF($A157="","",IFERROR(INDEX('Planejamento de Viagens'!$F$6:$F$205,MATCH($A157,'Planejamento de Viagens'!$A$6:$A$205,0)),""))</x:f>
      </x:c>
      <x:c r="E157" s="67" t="str">
        <x:f>IF($A157="","",IFERROR(INDEX('Planejamento de Viagens'!$G$6:$G$205,MATCH($A157,'Planejamento de Viagens'!$A$6:$A$205,0)),""))</x:f>
      </x:c>
      <x:c r="F157" s="61" t="str">
        <x:f>IF($A157="","",IFERROR(INDEX('Planejamento de Viagens'!$J$6:$J$205,MATCH($A157,'Planejamento de Viagens'!$A$6:$A$205,0)),0))</x:f>
      </x:c>
      <x:c r="G157" s="67" t="str">
        <x:f>IF($A157="","",IFERROR(INDEX('Planejamento de Viagens'!$K$6:$K$205,MATCH($A157,'Planejamento de Viagens'!$A$6:$A$205,0)),""))</x:f>
      </x:c>
      <x:c r="H157" s="67" t="str">
        <x:f>IF($A157="","",TEXT(INDEX('Planejamento de Viagens'!$H$6:$H$205,MATCH($A157,'Planejamento de Viagens'!$A$6:$A$205,0)),"mmm/yyyy"))</x:f>
      </x:c>
      <x:c r="I157" s="67" t="str">
        <x:f>IF($A157="","",2026)</x:f>
      </x:c>
      <x:c r="J157" s="63" t="str">
        <x:f>IF($A157="","",INDEX('Planejamento de Viagens'!$N$6:$N$205,MATCH($A157,'Planejamento de Viagens'!$A$6:$A$205,0)))</x:f>
      </x:c>
      <x:c r="K157" s="63" t="str">
        <x:f>IF($A157="","",IFERROR($J157/$F157,0))</x:f>
      </x:c>
      <x:c r="L157" s="63" t="str">
        <x:f>IF($A157="","",$J157/2)</x:f>
      </x:c>
      <x:c r="M157" s="63" t="str">
        <x:f>IF($A157="","",INDEX('Planejamento de Viagens'!$O$6:$O$205,MATCH($A157,'Planejamento de Viagens'!$A$6:$A$205,0)))</x:f>
      </x:c>
      <x:c r="N157" s="61" t="str">
        <x:f>IF($A157="","",COUNTIF($J$6:$J$205,"&gt;"&amp;$J157)+1)</x:f>
      </x:c>
    </x:row>
    <x:row r="158">
      <x:c r="A158" s="36"/>
      <x:c r="B158" s="67" t="str">
        <x:f>IF($A158="","",IFERROR(INDEX('Planejamento de Viagens'!$B$6:$B$205,MATCH($A158,'Planejamento de Viagens'!$A$6:$A$205,0)),""))</x:f>
      </x:c>
      <x:c r="C158" s="67" t="str">
        <x:f>IF($A158="","",IFERROR(INDEX('Planejamento de Viagens'!$C$6:$C$205,MATCH($A158,'Planejamento de Viagens'!$A$6:$A$205,0)),""))</x:f>
      </x:c>
      <x:c r="D158" s="67" t="str">
        <x:f>IF($A158="","",IFERROR(INDEX('Planejamento de Viagens'!$F$6:$F$205,MATCH($A158,'Planejamento de Viagens'!$A$6:$A$205,0)),""))</x:f>
      </x:c>
      <x:c r="E158" s="67" t="str">
        <x:f>IF($A158="","",IFERROR(INDEX('Planejamento de Viagens'!$G$6:$G$205,MATCH($A158,'Planejamento de Viagens'!$A$6:$A$205,0)),""))</x:f>
      </x:c>
      <x:c r="F158" s="61" t="str">
        <x:f>IF($A158="","",IFERROR(INDEX('Planejamento de Viagens'!$J$6:$J$205,MATCH($A158,'Planejamento de Viagens'!$A$6:$A$205,0)),0))</x:f>
      </x:c>
      <x:c r="G158" s="67" t="str">
        <x:f>IF($A158="","",IFERROR(INDEX('Planejamento de Viagens'!$K$6:$K$205,MATCH($A158,'Planejamento de Viagens'!$A$6:$A$205,0)),""))</x:f>
      </x:c>
      <x:c r="H158" s="67" t="str">
        <x:f>IF($A158="","",TEXT(INDEX('Planejamento de Viagens'!$H$6:$H$205,MATCH($A158,'Planejamento de Viagens'!$A$6:$A$205,0)),"mmm/yyyy"))</x:f>
      </x:c>
      <x:c r="I158" s="67" t="str">
        <x:f>IF($A158="","",2026)</x:f>
      </x:c>
      <x:c r="J158" s="63" t="str">
        <x:f>IF($A158="","",INDEX('Planejamento de Viagens'!$N$6:$N$205,MATCH($A158,'Planejamento de Viagens'!$A$6:$A$205,0)))</x:f>
      </x:c>
      <x:c r="K158" s="63" t="str">
        <x:f>IF($A158="","",IFERROR($J158/$F158,0))</x:f>
      </x:c>
      <x:c r="L158" s="63" t="str">
        <x:f>IF($A158="","",$J158/2)</x:f>
      </x:c>
      <x:c r="M158" s="63" t="str">
        <x:f>IF($A158="","",INDEX('Planejamento de Viagens'!$O$6:$O$205,MATCH($A158,'Planejamento de Viagens'!$A$6:$A$205,0)))</x:f>
      </x:c>
      <x:c r="N158" s="61" t="str">
        <x:f>IF($A158="","",COUNTIF($J$6:$J$205,"&gt;"&amp;$J158)+1)</x:f>
      </x:c>
    </x:row>
    <x:row r="159">
      <x:c r="A159" s="36"/>
      <x:c r="B159" s="67" t="str">
        <x:f>IF($A159="","",IFERROR(INDEX('Planejamento de Viagens'!$B$6:$B$205,MATCH($A159,'Planejamento de Viagens'!$A$6:$A$205,0)),""))</x:f>
      </x:c>
      <x:c r="C159" s="67" t="str">
        <x:f>IF($A159="","",IFERROR(INDEX('Planejamento de Viagens'!$C$6:$C$205,MATCH($A159,'Planejamento de Viagens'!$A$6:$A$205,0)),""))</x:f>
      </x:c>
      <x:c r="D159" s="67" t="str">
        <x:f>IF($A159="","",IFERROR(INDEX('Planejamento de Viagens'!$F$6:$F$205,MATCH($A159,'Planejamento de Viagens'!$A$6:$A$205,0)),""))</x:f>
      </x:c>
      <x:c r="E159" s="67" t="str">
        <x:f>IF($A159="","",IFERROR(INDEX('Planejamento de Viagens'!$G$6:$G$205,MATCH($A159,'Planejamento de Viagens'!$A$6:$A$205,0)),""))</x:f>
      </x:c>
      <x:c r="F159" s="61" t="str">
        <x:f>IF($A159="","",IFERROR(INDEX('Planejamento de Viagens'!$J$6:$J$205,MATCH($A159,'Planejamento de Viagens'!$A$6:$A$205,0)),0))</x:f>
      </x:c>
      <x:c r="G159" s="67" t="str">
        <x:f>IF($A159="","",IFERROR(INDEX('Planejamento de Viagens'!$K$6:$K$205,MATCH($A159,'Planejamento de Viagens'!$A$6:$A$205,0)),""))</x:f>
      </x:c>
      <x:c r="H159" s="67" t="str">
        <x:f>IF($A159="","",TEXT(INDEX('Planejamento de Viagens'!$H$6:$H$205,MATCH($A159,'Planejamento de Viagens'!$A$6:$A$205,0)),"mmm/yyyy"))</x:f>
      </x:c>
      <x:c r="I159" s="67" t="str">
        <x:f>IF($A159="","",2026)</x:f>
      </x:c>
      <x:c r="J159" s="63" t="str">
        <x:f>IF($A159="","",INDEX('Planejamento de Viagens'!$N$6:$N$205,MATCH($A159,'Planejamento de Viagens'!$A$6:$A$205,0)))</x:f>
      </x:c>
      <x:c r="K159" s="63" t="str">
        <x:f>IF($A159="","",IFERROR($J159/$F159,0))</x:f>
      </x:c>
      <x:c r="L159" s="63" t="str">
        <x:f>IF($A159="","",$J159/2)</x:f>
      </x:c>
      <x:c r="M159" s="63" t="str">
        <x:f>IF($A159="","",INDEX('Planejamento de Viagens'!$O$6:$O$205,MATCH($A159,'Planejamento de Viagens'!$A$6:$A$205,0)))</x:f>
      </x:c>
      <x:c r="N159" s="61" t="str">
        <x:f>IF($A159="","",COUNTIF($J$6:$J$205,"&gt;"&amp;$J159)+1)</x:f>
      </x:c>
    </x:row>
    <x:row r="160">
      <x:c r="A160" s="36"/>
      <x:c r="B160" s="67" t="str">
        <x:f>IF($A160="","",IFERROR(INDEX('Planejamento de Viagens'!$B$6:$B$205,MATCH($A160,'Planejamento de Viagens'!$A$6:$A$205,0)),""))</x:f>
      </x:c>
      <x:c r="C160" s="67" t="str">
        <x:f>IF($A160="","",IFERROR(INDEX('Planejamento de Viagens'!$C$6:$C$205,MATCH($A160,'Planejamento de Viagens'!$A$6:$A$205,0)),""))</x:f>
      </x:c>
      <x:c r="D160" s="67" t="str">
        <x:f>IF($A160="","",IFERROR(INDEX('Planejamento de Viagens'!$F$6:$F$205,MATCH($A160,'Planejamento de Viagens'!$A$6:$A$205,0)),""))</x:f>
      </x:c>
      <x:c r="E160" s="67" t="str">
        <x:f>IF($A160="","",IFERROR(INDEX('Planejamento de Viagens'!$G$6:$G$205,MATCH($A160,'Planejamento de Viagens'!$A$6:$A$205,0)),""))</x:f>
      </x:c>
      <x:c r="F160" s="61" t="str">
        <x:f>IF($A160="","",IFERROR(INDEX('Planejamento de Viagens'!$J$6:$J$205,MATCH($A160,'Planejamento de Viagens'!$A$6:$A$205,0)),0))</x:f>
      </x:c>
      <x:c r="G160" s="67" t="str">
        <x:f>IF($A160="","",IFERROR(INDEX('Planejamento de Viagens'!$K$6:$K$205,MATCH($A160,'Planejamento de Viagens'!$A$6:$A$205,0)),""))</x:f>
      </x:c>
      <x:c r="H160" s="67" t="str">
        <x:f>IF($A160="","",TEXT(INDEX('Planejamento de Viagens'!$H$6:$H$205,MATCH($A160,'Planejamento de Viagens'!$A$6:$A$205,0)),"mmm/yyyy"))</x:f>
      </x:c>
      <x:c r="I160" s="67" t="str">
        <x:f>IF($A160="","",2026)</x:f>
      </x:c>
      <x:c r="J160" s="63" t="str">
        <x:f>IF($A160="","",INDEX('Planejamento de Viagens'!$N$6:$N$205,MATCH($A160,'Planejamento de Viagens'!$A$6:$A$205,0)))</x:f>
      </x:c>
      <x:c r="K160" s="63" t="str">
        <x:f>IF($A160="","",IFERROR($J160/$F160,0))</x:f>
      </x:c>
      <x:c r="L160" s="63" t="str">
        <x:f>IF($A160="","",$J160/2)</x:f>
      </x:c>
      <x:c r="M160" s="63" t="str">
        <x:f>IF($A160="","",INDEX('Planejamento de Viagens'!$O$6:$O$205,MATCH($A160,'Planejamento de Viagens'!$A$6:$A$205,0)))</x:f>
      </x:c>
      <x:c r="N160" s="61" t="str">
        <x:f>IF($A160="","",COUNTIF($J$6:$J$205,"&gt;"&amp;$J160)+1)</x:f>
      </x:c>
    </x:row>
    <x:row r="161">
      <x:c r="A161" s="36"/>
      <x:c r="B161" s="67" t="str">
        <x:f>IF($A161="","",IFERROR(INDEX('Planejamento de Viagens'!$B$6:$B$205,MATCH($A161,'Planejamento de Viagens'!$A$6:$A$205,0)),""))</x:f>
      </x:c>
      <x:c r="C161" s="67" t="str">
        <x:f>IF($A161="","",IFERROR(INDEX('Planejamento de Viagens'!$C$6:$C$205,MATCH($A161,'Planejamento de Viagens'!$A$6:$A$205,0)),""))</x:f>
      </x:c>
      <x:c r="D161" s="67" t="str">
        <x:f>IF($A161="","",IFERROR(INDEX('Planejamento de Viagens'!$F$6:$F$205,MATCH($A161,'Planejamento de Viagens'!$A$6:$A$205,0)),""))</x:f>
      </x:c>
      <x:c r="E161" s="67" t="str">
        <x:f>IF($A161="","",IFERROR(INDEX('Planejamento de Viagens'!$G$6:$G$205,MATCH($A161,'Planejamento de Viagens'!$A$6:$A$205,0)),""))</x:f>
      </x:c>
      <x:c r="F161" s="61" t="str">
        <x:f>IF($A161="","",IFERROR(INDEX('Planejamento de Viagens'!$J$6:$J$205,MATCH($A161,'Planejamento de Viagens'!$A$6:$A$205,0)),0))</x:f>
      </x:c>
      <x:c r="G161" s="67" t="str">
        <x:f>IF($A161="","",IFERROR(INDEX('Planejamento de Viagens'!$K$6:$K$205,MATCH($A161,'Planejamento de Viagens'!$A$6:$A$205,0)),""))</x:f>
      </x:c>
      <x:c r="H161" s="67" t="str">
        <x:f>IF($A161="","",TEXT(INDEX('Planejamento de Viagens'!$H$6:$H$205,MATCH($A161,'Planejamento de Viagens'!$A$6:$A$205,0)),"mmm/yyyy"))</x:f>
      </x:c>
      <x:c r="I161" s="67" t="str">
        <x:f>IF($A161="","",2026)</x:f>
      </x:c>
      <x:c r="J161" s="63" t="str">
        <x:f>IF($A161="","",INDEX('Planejamento de Viagens'!$N$6:$N$205,MATCH($A161,'Planejamento de Viagens'!$A$6:$A$205,0)))</x:f>
      </x:c>
      <x:c r="K161" s="63" t="str">
        <x:f>IF($A161="","",IFERROR($J161/$F161,0))</x:f>
      </x:c>
      <x:c r="L161" s="63" t="str">
        <x:f>IF($A161="","",$J161/2)</x:f>
      </x:c>
      <x:c r="M161" s="63" t="str">
        <x:f>IF($A161="","",INDEX('Planejamento de Viagens'!$O$6:$O$205,MATCH($A161,'Planejamento de Viagens'!$A$6:$A$205,0)))</x:f>
      </x:c>
      <x:c r="N161" s="61" t="str">
        <x:f>IF($A161="","",COUNTIF($J$6:$J$205,"&gt;"&amp;$J161)+1)</x:f>
      </x:c>
    </x:row>
    <x:row r="162">
      <x:c r="A162" s="36"/>
      <x:c r="B162" s="67" t="str">
        <x:f>IF($A162="","",IFERROR(INDEX('Planejamento de Viagens'!$B$6:$B$205,MATCH($A162,'Planejamento de Viagens'!$A$6:$A$205,0)),""))</x:f>
      </x:c>
      <x:c r="C162" s="67" t="str">
        <x:f>IF($A162="","",IFERROR(INDEX('Planejamento de Viagens'!$C$6:$C$205,MATCH($A162,'Planejamento de Viagens'!$A$6:$A$205,0)),""))</x:f>
      </x:c>
      <x:c r="D162" s="67" t="str">
        <x:f>IF($A162="","",IFERROR(INDEX('Planejamento de Viagens'!$F$6:$F$205,MATCH($A162,'Planejamento de Viagens'!$A$6:$A$205,0)),""))</x:f>
      </x:c>
      <x:c r="E162" s="67" t="str">
        <x:f>IF($A162="","",IFERROR(INDEX('Planejamento de Viagens'!$G$6:$G$205,MATCH($A162,'Planejamento de Viagens'!$A$6:$A$205,0)),""))</x:f>
      </x:c>
      <x:c r="F162" s="61" t="str">
        <x:f>IF($A162="","",IFERROR(INDEX('Planejamento de Viagens'!$J$6:$J$205,MATCH($A162,'Planejamento de Viagens'!$A$6:$A$205,0)),0))</x:f>
      </x:c>
      <x:c r="G162" s="67" t="str">
        <x:f>IF($A162="","",IFERROR(INDEX('Planejamento de Viagens'!$K$6:$K$205,MATCH($A162,'Planejamento de Viagens'!$A$6:$A$205,0)),""))</x:f>
      </x:c>
      <x:c r="H162" s="67" t="str">
        <x:f>IF($A162="","",TEXT(INDEX('Planejamento de Viagens'!$H$6:$H$205,MATCH($A162,'Planejamento de Viagens'!$A$6:$A$205,0)),"mmm/yyyy"))</x:f>
      </x:c>
      <x:c r="I162" s="67" t="str">
        <x:f>IF($A162="","",2026)</x:f>
      </x:c>
      <x:c r="J162" s="63" t="str">
        <x:f>IF($A162="","",INDEX('Planejamento de Viagens'!$N$6:$N$205,MATCH($A162,'Planejamento de Viagens'!$A$6:$A$205,0)))</x:f>
      </x:c>
      <x:c r="K162" s="63" t="str">
        <x:f>IF($A162="","",IFERROR($J162/$F162,0))</x:f>
      </x:c>
      <x:c r="L162" s="63" t="str">
        <x:f>IF($A162="","",$J162/2)</x:f>
      </x:c>
      <x:c r="M162" s="63" t="str">
        <x:f>IF($A162="","",INDEX('Planejamento de Viagens'!$O$6:$O$205,MATCH($A162,'Planejamento de Viagens'!$A$6:$A$205,0)))</x:f>
      </x:c>
      <x:c r="N162" s="61" t="str">
        <x:f>IF($A162="","",COUNTIF($J$6:$J$205,"&gt;"&amp;$J162)+1)</x:f>
      </x:c>
    </x:row>
    <x:row r="163">
      <x:c r="A163" s="36"/>
      <x:c r="B163" s="67" t="str">
        <x:f>IF($A163="","",IFERROR(INDEX('Planejamento de Viagens'!$B$6:$B$205,MATCH($A163,'Planejamento de Viagens'!$A$6:$A$205,0)),""))</x:f>
      </x:c>
      <x:c r="C163" s="67" t="str">
        <x:f>IF($A163="","",IFERROR(INDEX('Planejamento de Viagens'!$C$6:$C$205,MATCH($A163,'Planejamento de Viagens'!$A$6:$A$205,0)),""))</x:f>
      </x:c>
      <x:c r="D163" s="67" t="str">
        <x:f>IF($A163="","",IFERROR(INDEX('Planejamento de Viagens'!$F$6:$F$205,MATCH($A163,'Planejamento de Viagens'!$A$6:$A$205,0)),""))</x:f>
      </x:c>
      <x:c r="E163" s="67" t="str">
        <x:f>IF($A163="","",IFERROR(INDEX('Planejamento de Viagens'!$G$6:$G$205,MATCH($A163,'Planejamento de Viagens'!$A$6:$A$205,0)),""))</x:f>
      </x:c>
      <x:c r="F163" s="61" t="str">
        <x:f>IF($A163="","",IFERROR(INDEX('Planejamento de Viagens'!$J$6:$J$205,MATCH($A163,'Planejamento de Viagens'!$A$6:$A$205,0)),0))</x:f>
      </x:c>
      <x:c r="G163" s="67" t="str">
        <x:f>IF($A163="","",IFERROR(INDEX('Planejamento de Viagens'!$K$6:$K$205,MATCH($A163,'Planejamento de Viagens'!$A$6:$A$205,0)),""))</x:f>
      </x:c>
      <x:c r="H163" s="67" t="str">
        <x:f>IF($A163="","",TEXT(INDEX('Planejamento de Viagens'!$H$6:$H$205,MATCH($A163,'Planejamento de Viagens'!$A$6:$A$205,0)),"mmm/yyyy"))</x:f>
      </x:c>
      <x:c r="I163" s="67" t="str">
        <x:f>IF($A163="","",2026)</x:f>
      </x:c>
      <x:c r="J163" s="63" t="str">
        <x:f>IF($A163="","",INDEX('Planejamento de Viagens'!$N$6:$N$205,MATCH($A163,'Planejamento de Viagens'!$A$6:$A$205,0)))</x:f>
      </x:c>
      <x:c r="K163" s="63" t="str">
        <x:f>IF($A163="","",IFERROR($J163/$F163,0))</x:f>
      </x:c>
      <x:c r="L163" s="63" t="str">
        <x:f>IF($A163="","",$J163/2)</x:f>
      </x:c>
      <x:c r="M163" s="63" t="str">
        <x:f>IF($A163="","",INDEX('Planejamento de Viagens'!$O$6:$O$205,MATCH($A163,'Planejamento de Viagens'!$A$6:$A$205,0)))</x:f>
      </x:c>
      <x:c r="N163" s="61" t="str">
        <x:f>IF($A163="","",COUNTIF($J$6:$J$205,"&gt;"&amp;$J163)+1)</x:f>
      </x:c>
    </x:row>
    <x:row r="164">
      <x:c r="A164" s="36"/>
      <x:c r="B164" s="67" t="str">
        <x:f>IF($A164="","",IFERROR(INDEX('Planejamento de Viagens'!$B$6:$B$205,MATCH($A164,'Planejamento de Viagens'!$A$6:$A$205,0)),""))</x:f>
      </x:c>
      <x:c r="C164" s="67" t="str">
        <x:f>IF($A164="","",IFERROR(INDEX('Planejamento de Viagens'!$C$6:$C$205,MATCH($A164,'Planejamento de Viagens'!$A$6:$A$205,0)),""))</x:f>
      </x:c>
      <x:c r="D164" s="67" t="str">
        <x:f>IF($A164="","",IFERROR(INDEX('Planejamento de Viagens'!$F$6:$F$205,MATCH($A164,'Planejamento de Viagens'!$A$6:$A$205,0)),""))</x:f>
      </x:c>
      <x:c r="E164" s="67" t="str">
        <x:f>IF($A164="","",IFERROR(INDEX('Planejamento de Viagens'!$G$6:$G$205,MATCH($A164,'Planejamento de Viagens'!$A$6:$A$205,0)),""))</x:f>
      </x:c>
      <x:c r="F164" s="61" t="str">
        <x:f>IF($A164="","",IFERROR(INDEX('Planejamento de Viagens'!$J$6:$J$205,MATCH($A164,'Planejamento de Viagens'!$A$6:$A$205,0)),0))</x:f>
      </x:c>
      <x:c r="G164" s="67" t="str">
        <x:f>IF($A164="","",IFERROR(INDEX('Planejamento de Viagens'!$K$6:$K$205,MATCH($A164,'Planejamento de Viagens'!$A$6:$A$205,0)),""))</x:f>
      </x:c>
      <x:c r="H164" s="67" t="str">
        <x:f>IF($A164="","",TEXT(INDEX('Planejamento de Viagens'!$H$6:$H$205,MATCH($A164,'Planejamento de Viagens'!$A$6:$A$205,0)),"mmm/yyyy"))</x:f>
      </x:c>
      <x:c r="I164" s="67" t="str">
        <x:f>IF($A164="","",2026)</x:f>
      </x:c>
      <x:c r="J164" s="63" t="str">
        <x:f>IF($A164="","",INDEX('Planejamento de Viagens'!$N$6:$N$205,MATCH($A164,'Planejamento de Viagens'!$A$6:$A$205,0)))</x:f>
      </x:c>
      <x:c r="K164" s="63" t="str">
        <x:f>IF($A164="","",IFERROR($J164/$F164,0))</x:f>
      </x:c>
      <x:c r="L164" s="63" t="str">
        <x:f>IF($A164="","",$J164/2)</x:f>
      </x:c>
      <x:c r="M164" s="63" t="str">
        <x:f>IF($A164="","",INDEX('Planejamento de Viagens'!$O$6:$O$205,MATCH($A164,'Planejamento de Viagens'!$A$6:$A$205,0)))</x:f>
      </x:c>
      <x:c r="N164" s="61" t="str">
        <x:f>IF($A164="","",COUNTIF($J$6:$J$205,"&gt;"&amp;$J164)+1)</x:f>
      </x:c>
    </x:row>
    <x:row r="165">
      <x:c r="A165" s="36"/>
      <x:c r="B165" s="67" t="str">
        <x:f>IF($A165="","",IFERROR(INDEX('Planejamento de Viagens'!$B$6:$B$205,MATCH($A165,'Planejamento de Viagens'!$A$6:$A$205,0)),""))</x:f>
      </x:c>
      <x:c r="C165" s="67" t="str">
        <x:f>IF($A165="","",IFERROR(INDEX('Planejamento de Viagens'!$C$6:$C$205,MATCH($A165,'Planejamento de Viagens'!$A$6:$A$205,0)),""))</x:f>
      </x:c>
      <x:c r="D165" s="67" t="str">
        <x:f>IF($A165="","",IFERROR(INDEX('Planejamento de Viagens'!$F$6:$F$205,MATCH($A165,'Planejamento de Viagens'!$A$6:$A$205,0)),""))</x:f>
      </x:c>
      <x:c r="E165" s="67" t="str">
        <x:f>IF($A165="","",IFERROR(INDEX('Planejamento de Viagens'!$G$6:$G$205,MATCH($A165,'Planejamento de Viagens'!$A$6:$A$205,0)),""))</x:f>
      </x:c>
      <x:c r="F165" s="61" t="str">
        <x:f>IF($A165="","",IFERROR(INDEX('Planejamento de Viagens'!$J$6:$J$205,MATCH($A165,'Planejamento de Viagens'!$A$6:$A$205,0)),0))</x:f>
      </x:c>
      <x:c r="G165" s="67" t="str">
        <x:f>IF($A165="","",IFERROR(INDEX('Planejamento de Viagens'!$K$6:$K$205,MATCH($A165,'Planejamento de Viagens'!$A$6:$A$205,0)),""))</x:f>
      </x:c>
      <x:c r="H165" s="67" t="str">
        <x:f>IF($A165="","",TEXT(INDEX('Planejamento de Viagens'!$H$6:$H$205,MATCH($A165,'Planejamento de Viagens'!$A$6:$A$205,0)),"mmm/yyyy"))</x:f>
      </x:c>
      <x:c r="I165" s="67" t="str">
        <x:f>IF($A165="","",2026)</x:f>
      </x:c>
      <x:c r="J165" s="63" t="str">
        <x:f>IF($A165="","",INDEX('Planejamento de Viagens'!$N$6:$N$205,MATCH($A165,'Planejamento de Viagens'!$A$6:$A$205,0)))</x:f>
      </x:c>
      <x:c r="K165" s="63" t="str">
        <x:f>IF($A165="","",IFERROR($J165/$F165,0))</x:f>
      </x:c>
      <x:c r="L165" s="63" t="str">
        <x:f>IF($A165="","",$J165/2)</x:f>
      </x:c>
      <x:c r="M165" s="63" t="str">
        <x:f>IF($A165="","",INDEX('Planejamento de Viagens'!$O$6:$O$205,MATCH($A165,'Planejamento de Viagens'!$A$6:$A$205,0)))</x:f>
      </x:c>
      <x:c r="N165" s="61" t="str">
        <x:f>IF($A165="","",COUNTIF($J$6:$J$205,"&gt;"&amp;$J165)+1)</x:f>
      </x:c>
    </x:row>
    <x:row r="166">
      <x:c r="A166" s="36"/>
      <x:c r="B166" s="67" t="str">
        <x:f>IF($A166="","",IFERROR(INDEX('Planejamento de Viagens'!$B$6:$B$205,MATCH($A166,'Planejamento de Viagens'!$A$6:$A$205,0)),""))</x:f>
      </x:c>
      <x:c r="C166" s="67" t="str">
        <x:f>IF($A166="","",IFERROR(INDEX('Planejamento de Viagens'!$C$6:$C$205,MATCH($A166,'Planejamento de Viagens'!$A$6:$A$205,0)),""))</x:f>
      </x:c>
      <x:c r="D166" s="67" t="str">
        <x:f>IF($A166="","",IFERROR(INDEX('Planejamento de Viagens'!$F$6:$F$205,MATCH($A166,'Planejamento de Viagens'!$A$6:$A$205,0)),""))</x:f>
      </x:c>
      <x:c r="E166" s="67" t="str">
        <x:f>IF($A166="","",IFERROR(INDEX('Planejamento de Viagens'!$G$6:$G$205,MATCH($A166,'Planejamento de Viagens'!$A$6:$A$205,0)),""))</x:f>
      </x:c>
      <x:c r="F166" s="61" t="str">
        <x:f>IF($A166="","",IFERROR(INDEX('Planejamento de Viagens'!$J$6:$J$205,MATCH($A166,'Planejamento de Viagens'!$A$6:$A$205,0)),0))</x:f>
      </x:c>
      <x:c r="G166" s="67" t="str">
        <x:f>IF($A166="","",IFERROR(INDEX('Planejamento de Viagens'!$K$6:$K$205,MATCH($A166,'Planejamento de Viagens'!$A$6:$A$205,0)),""))</x:f>
      </x:c>
      <x:c r="H166" s="67" t="str">
        <x:f>IF($A166="","",TEXT(INDEX('Planejamento de Viagens'!$H$6:$H$205,MATCH($A166,'Planejamento de Viagens'!$A$6:$A$205,0)),"mmm/yyyy"))</x:f>
      </x:c>
      <x:c r="I166" s="67" t="str">
        <x:f>IF($A166="","",2026)</x:f>
      </x:c>
      <x:c r="J166" s="63" t="str">
        <x:f>IF($A166="","",INDEX('Planejamento de Viagens'!$N$6:$N$205,MATCH($A166,'Planejamento de Viagens'!$A$6:$A$205,0)))</x:f>
      </x:c>
      <x:c r="K166" s="63" t="str">
        <x:f>IF($A166="","",IFERROR($J166/$F166,0))</x:f>
      </x:c>
      <x:c r="L166" s="63" t="str">
        <x:f>IF($A166="","",$J166/2)</x:f>
      </x:c>
      <x:c r="M166" s="63" t="str">
        <x:f>IF($A166="","",INDEX('Planejamento de Viagens'!$O$6:$O$205,MATCH($A166,'Planejamento de Viagens'!$A$6:$A$205,0)))</x:f>
      </x:c>
      <x:c r="N166" s="61" t="str">
        <x:f>IF($A166="","",COUNTIF($J$6:$J$205,"&gt;"&amp;$J166)+1)</x:f>
      </x:c>
    </x:row>
    <x:row r="167">
      <x:c r="A167" s="36"/>
      <x:c r="B167" s="67" t="str">
        <x:f>IF($A167="","",IFERROR(INDEX('Planejamento de Viagens'!$B$6:$B$205,MATCH($A167,'Planejamento de Viagens'!$A$6:$A$205,0)),""))</x:f>
      </x:c>
      <x:c r="C167" s="67" t="str">
        <x:f>IF($A167="","",IFERROR(INDEX('Planejamento de Viagens'!$C$6:$C$205,MATCH($A167,'Planejamento de Viagens'!$A$6:$A$205,0)),""))</x:f>
      </x:c>
      <x:c r="D167" s="67" t="str">
        <x:f>IF($A167="","",IFERROR(INDEX('Planejamento de Viagens'!$F$6:$F$205,MATCH($A167,'Planejamento de Viagens'!$A$6:$A$205,0)),""))</x:f>
      </x:c>
      <x:c r="E167" s="67" t="str">
        <x:f>IF($A167="","",IFERROR(INDEX('Planejamento de Viagens'!$G$6:$G$205,MATCH($A167,'Planejamento de Viagens'!$A$6:$A$205,0)),""))</x:f>
      </x:c>
      <x:c r="F167" s="61" t="str">
        <x:f>IF($A167="","",IFERROR(INDEX('Planejamento de Viagens'!$J$6:$J$205,MATCH($A167,'Planejamento de Viagens'!$A$6:$A$205,0)),0))</x:f>
      </x:c>
      <x:c r="G167" s="67" t="str">
        <x:f>IF($A167="","",IFERROR(INDEX('Planejamento de Viagens'!$K$6:$K$205,MATCH($A167,'Planejamento de Viagens'!$A$6:$A$205,0)),""))</x:f>
      </x:c>
      <x:c r="H167" s="67" t="str">
        <x:f>IF($A167="","",TEXT(INDEX('Planejamento de Viagens'!$H$6:$H$205,MATCH($A167,'Planejamento de Viagens'!$A$6:$A$205,0)),"mmm/yyyy"))</x:f>
      </x:c>
      <x:c r="I167" s="67" t="str">
        <x:f>IF($A167="","",2026)</x:f>
      </x:c>
      <x:c r="J167" s="63" t="str">
        <x:f>IF($A167="","",INDEX('Planejamento de Viagens'!$N$6:$N$205,MATCH($A167,'Planejamento de Viagens'!$A$6:$A$205,0)))</x:f>
      </x:c>
      <x:c r="K167" s="63" t="str">
        <x:f>IF($A167="","",IFERROR($J167/$F167,0))</x:f>
      </x:c>
      <x:c r="L167" s="63" t="str">
        <x:f>IF($A167="","",$J167/2)</x:f>
      </x:c>
      <x:c r="M167" s="63" t="str">
        <x:f>IF($A167="","",INDEX('Planejamento de Viagens'!$O$6:$O$205,MATCH($A167,'Planejamento de Viagens'!$A$6:$A$205,0)))</x:f>
      </x:c>
      <x:c r="N167" s="61" t="str">
        <x:f>IF($A167="","",COUNTIF($J$6:$J$205,"&gt;"&amp;$J167)+1)</x:f>
      </x:c>
    </x:row>
    <x:row r="168">
      <x:c r="A168" s="36"/>
      <x:c r="B168" s="67" t="str">
        <x:f>IF($A168="","",IFERROR(INDEX('Planejamento de Viagens'!$B$6:$B$205,MATCH($A168,'Planejamento de Viagens'!$A$6:$A$205,0)),""))</x:f>
      </x:c>
      <x:c r="C168" s="67" t="str">
        <x:f>IF($A168="","",IFERROR(INDEX('Planejamento de Viagens'!$C$6:$C$205,MATCH($A168,'Planejamento de Viagens'!$A$6:$A$205,0)),""))</x:f>
      </x:c>
      <x:c r="D168" s="67" t="str">
        <x:f>IF($A168="","",IFERROR(INDEX('Planejamento de Viagens'!$F$6:$F$205,MATCH($A168,'Planejamento de Viagens'!$A$6:$A$205,0)),""))</x:f>
      </x:c>
      <x:c r="E168" s="67" t="str">
        <x:f>IF($A168="","",IFERROR(INDEX('Planejamento de Viagens'!$G$6:$G$205,MATCH($A168,'Planejamento de Viagens'!$A$6:$A$205,0)),""))</x:f>
      </x:c>
      <x:c r="F168" s="61" t="str">
        <x:f>IF($A168="","",IFERROR(INDEX('Planejamento de Viagens'!$J$6:$J$205,MATCH($A168,'Planejamento de Viagens'!$A$6:$A$205,0)),0))</x:f>
      </x:c>
      <x:c r="G168" s="67" t="str">
        <x:f>IF($A168="","",IFERROR(INDEX('Planejamento de Viagens'!$K$6:$K$205,MATCH($A168,'Planejamento de Viagens'!$A$6:$A$205,0)),""))</x:f>
      </x:c>
      <x:c r="H168" s="67" t="str">
        <x:f>IF($A168="","",TEXT(INDEX('Planejamento de Viagens'!$H$6:$H$205,MATCH($A168,'Planejamento de Viagens'!$A$6:$A$205,0)),"mmm/yyyy"))</x:f>
      </x:c>
      <x:c r="I168" s="67" t="str">
        <x:f>IF($A168="","",2026)</x:f>
      </x:c>
      <x:c r="J168" s="63" t="str">
        <x:f>IF($A168="","",INDEX('Planejamento de Viagens'!$N$6:$N$205,MATCH($A168,'Planejamento de Viagens'!$A$6:$A$205,0)))</x:f>
      </x:c>
      <x:c r="K168" s="63" t="str">
        <x:f>IF($A168="","",IFERROR($J168/$F168,0))</x:f>
      </x:c>
      <x:c r="L168" s="63" t="str">
        <x:f>IF($A168="","",$J168/2)</x:f>
      </x:c>
      <x:c r="M168" s="63" t="str">
        <x:f>IF($A168="","",INDEX('Planejamento de Viagens'!$O$6:$O$205,MATCH($A168,'Planejamento de Viagens'!$A$6:$A$205,0)))</x:f>
      </x:c>
      <x:c r="N168" s="61" t="str">
        <x:f>IF($A168="","",COUNTIF($J$6:$J$205,"&gt;"&amp;$J168)+1)</x:f>
      </x:c>
    </x:row>
    <x:row r="169">
      <x:c r="A169" s="36"/>
      <x:c r="B169" s="67" t="str">
        <x:f>IF($A169="","",IFERROR(INDEX('Planejamento de Viagens'!$B$6:$B$205,MATCH($A169,'Planejamento de Viagens'!$A$6:$A$205,0)),""))</x:f>
      </x:c>
      <x:c r="C169" s="67" t="str">
        <x:f>IF($A169="","",IFERROR(INDEX('Planejamento de Viagens'!$C$6:$C$205,MATCH($A169,'Planejamento de Viagens'!$A$6:$A$205,0)),""))</x:f>
      </x:c>
      <x:c r="D169" s="67" t="str">
        <x:f>IF($A169="","",IFERROR(INDEX('Planejamento de Viagens'!$F$6:$F$205,MATCH($A169,'Planejamento de Viagens'!$A$6:$A$205,0)),""))</x:f>
      </x:c>
      <x:c r="E169" s="67" t="str">
        <x:f>IF($A169="","",IFERROR(INDEX('Planejamento de Viagens'!$G$6:$G$205,MATCH($A169,'Planejamento de Viagens'!$A$6:$A$205,0)),""))</x:f>
      </x:c>
      <x:c r="F169" s="61" t="str">
        <x:f>IF($A169="","",IFERROR(INDEX('Planejamento de Viagens'!$J$6:$J$205,MATCH($A169,'Planejamento de Viagens'!$A$6:$A$205,0)),0))</x:f>
      </x:c>
      <x:c r="G169" s="67" t="str">
        <x:f>IF($A169="","",IFERROR(INDEX('Planejamento de Viagens'!$K$6:$K$205,MATCH($A169,'Planejamento de Viagens'!$A$6:$A$205,0)),""))</x:f>
      </x:c>
      <x:c r="H169" s="67" t="str">
        <x:f>IF($A169="","",TEXT(INDEX('Planejamento de Viagens'!$H$6:$H$205,MATCH($A169,'Planejamento de Viagens'!$A$6:$A$205,0)),"mmm/yyyy"))</x:f>
      </x:c>
      <x:c r="I169" s="67" t="str">
        <x:f>IF($A169="","",2026)</x:f>
      </x:c>
      <x:c r="J169" s="63" t="str">
        <x:f>IF($A169="","",INDEX('Planejamento de Viagens'!$N$6:$N$205,MATCH($A169,'Planejamento de Viagens'!$A$6:$A$205,0)))</x:f>
      </x:c>
      <x:c r="K169" s="63" t="str">
        <x:f>IF($A169="","",IFERROR($J169/$F169,0))</x:f>
      </x:c>
      <x:c r="L169" s="63" t="str">
        <x:f>IF($A169="","",$J169/2)</x:f>
      </x:c>
      <x:c r="M169" s="63" t="str">
        <x:f>IF($A169="","",INDEX('Planejamento de Viagens'!$O$6:$O$205,MATCH($A169,'Planejamento de Viagens'!$A$6:$A$205,0)))</x:f>
      </x:c>
      <x:c r="N169" s="61" t="str">
        <x:f>IF($A169="","",COUNTIF($J$6:$J$205,"&gt;"&amp;$J169)+1)</x:f>
      </x:c>
    </x:row>
    <x:row r="170">
      <x:c r="A170" s="36"/>
      <x:c r="B170" s="67" t="str">
        <x:f>IF($A170="","",IFERROR(INDEX('Planejamento de Viagens'!$B$6:$B$205,MATCH($A170,'Planejamento de Viagens'!$A$6:$A$205,0)),""))</x:f>
      </x:c>
      <x:c r="C170" s="67" t="str">
        <x:f>IF($A170="","",IFERROR(INDEX('Planejamento de Viagens'!$C$6:$C$205,MATCH($A170,'Planejamento de Viagens'!$A$6:$A$205,0)),""))</x:f>
      </x:c>
      <x:c r="D170" s="67" t="str">
        <x:f>IF($A170="","",IFERROR(INDEX('Planejamento de Viagens'!$F$6:$F$205,MATCH($A170,'Planejamento de Viagens'!$A$6:$A$205,0)),""))</x:f>
      </x:c>
      <x:c r="E170" s="67" t="str">
        <x:f>IF($A170="","",IFERROR(INDEX('Planejamento de Viagens'!$G$6:$G$205,MATCH($A170,'Planejamento de Viagens'!$A$6:$A$205,0)),""))</x:f>
      </x:c>
      <x:c r="F170" s="61" t="str">
        <x:f>IF($A170="","",IFERROR(INDEX('Planejamento de Viagens'!$J$6:$J$205,MATCH($A170,'Planejamento de Viagens'!$A$6:$A$205,0)),0))</x:f>
      </x:c>
      <x:c r="G170" s="67" t="str">
        <x:f>IF($A170="","",IFERROR(INDEX('Planejamento de Viagens'!$K$6:$K$205,MATCH($A170,'Planejamento de Viagens'!$A$6:$A$205,0)),""))</x:f>
      </x:c>
      <x:c r="H170" s="67" t="str">
        <x:f>IF($A170="","",TEXT(INDEX('Planejamento de Viagens'!$H$6:$H$205,MATCH($A170,'Planejamento de Viagens'!$A$6:$A$205,0)),"mmm/yyyy"))</x:f>
      </x:c>
      <x:c r="I170" s="67" t="str">
        <x:f>IF($A170="","",2026)</x:f>
      </x:c>
      <x:c r="J170" s="63" t="str">
        <x:f>IF($A170="","",INDEX('Planejamento de Viagens'!$N$6:$N$205,MATCH($A170,'Planejamento de Viagens'!$A$6:$A$205,0)))</x:f>
      </x:c>
      <x:c r="K170" s="63" t="str">
        <x:f>IF($A170="","",IFERROR($J170/$F170,0))</x:f>
      </x:c>
      <x:c r="L170" s="63" t="str">
        <x:f>IF($A170="","",$J170/2)</x:f>
      </x:c>
      <x:c r="M170" s="63" t="str">
        <x:f>IF($A170="","",INDEX('Planejamento de Viagens'!$O$6:$O$205,MATCH($A170,'Planejamento de Viagens'!$A$6:$A$205,0)))</x:f>
      </x:c>
      <x:c r="N170" s="61" t="str">
        <x:f>IF($A170="","",COUNTIF($J$6:$J$205,"&gt;"&amp;$J170)+1)</x:f>
      </x:c>
    </x:row>
    <x:row r="171">
      <x:c r="A171" s="36"/>
      <x:c r="B171" s="67" t="str">
        <x:f>IF($A171="","",IFERROR(INDEX('Planejamento de Viagens'!$B$6:$B$205,MATCH($A171,'Planejamento de Viagens'!$A$6:$A$205,0)),""))</x:f>
      </x:c>
      <x:c r="C171" s="67" t="str">
        <x:f>IF($A171="","",IFERROR(INDEX('Planejamento de Viagens'!$C$6:$C$205,MATCH($A171,'Planejamento de Viagens'!$A$6:$A$205,0)),""))</x:f>
      </x:c>
      <x:c r="D171" s="67" t="str">
        <x:f>IF($A171="","",IFERROR(INDEX('Planejamento de Viagens'!$F$6:$F$205,MATCH($A171,'Planejamento de Viagens'!$A$6:$A$205,0)),""))</x:f>
      </x:c>
      <x:c r="E171" s="67" t="str">
        <x:f>IF($A171="","",IFERROR(INDEX('Planejamento de Viagens'!$G$6:$G$205,MATCH($A171,'Planejamento de Viagens'!$A$6:$A$205,0)),""))</x:f>
      </x:c>
      <x:c r="F171" s="61" t="str">
        <x:f>IF($A171="","",IFERROR(INDEX('Planejamento de Viagens'!$J$6:$J$205,MATCH($A171,'Planejamento de Viagens'!$A$6:$A$205,0)),0))</x:f>
      </x:c>
      <x:c r="G171" s="67" t="str">
        <x:f>IF($A171="","",IFERROR(INDEX('Planejamento de Viagens'!$K$6:$K$205,MATCH($A171,'Planejamento de Viagens'!$A$6:$A$205,0)),""))</x:f>
      </x:c>
      <x:c r="H171" s="67" t="str">
        <x:f>IF($A171="","",TEXT(INDEX('Planejamento de Viagens'!$H$6:$H$205,MATCH($A171,'Planejamento de Viagens'!$A$6:$A$205,0)),"mmm/yyyy"))</x:f>
      </x:c>
      <x:c r="I171" s="67" t="str">
        <x:f>IF($A171="","",2026)</x:f>
      </x:c>
      <x:c r="J171" s="63" t="str">
        <x:f>IF($A171="","",INDEX('Planejamento de Viagens'!$N$6:$N$205,MATCH($A171,'Planejamento de Viagens'!$A$6:$A$205,0)))</x:f>
      </x:c>
      <x:c r="K171" s="63" t="str">
        <x:f>IF($A171="","",IFERROR($J171/$F171,0))</x:f>
      </x:c>
      <x:c r="L171" s="63" t="str">
        <x:f>IF($A171="","",$J171/2)</x:f>
      </x:c>
      <x:c r="M171" s="63" t="str">
        <x:f>IF($A171="","",INDEX('Planejamento de Viagens'!$O$6:$O$205,MATCH($A171,'Planejamento de Viagens'!$A$6:$A$205,0)))</x:f>
      </x:c>
      <x:c r="N171" s="61" t="str">
        <x:f>IF($A171="","",COUNTIF($J$6:$J$205,"&gt;"&amp;$J171)+1)</x:f>
      </x:c>
    </x:row>
    <x:row r="172">
      <x:c r="A172" s="36"/>
      <x:c r="B172" s="67" t="str">
        <x:f>IF($A172="","",IFERROR(INDEX('Planejamento de Viagens'!$B$6:$B$205,MATCH($A172,'Planejamento de Viagens'!$A$6:$A$205,0)),""))</x:f>
      </x:c>
      <x:c r="C172" s="67" t="str">
        <x:f>IF($A172="","",IFERROR(INDEX('Planejamento de Viagens'!$C$6:$C$205,MATCH($A172,'Planejamento de Viagens'!$A$6:$A$205,0)),""))</x:f>
      </x:c>
      <x:c r="D172" s="67" t="str">
        <x:f>IF($A172="","",IFERROR(INDEX('Planejamento de Viagens'!$F$6:$F$205,MATCH($A172,'Planejamento de Viagens'!$A$6:$A$205,0)),""))</x:f>
      </x:c>
      <x:c r="E172" s="67" t="str">
        <x:f>IF($A172="","",IFERROR(INDEX('Planejamento de Viagens'!$G$6:$G$205,MATCH($A172,'Planejamento de Viagens'!$A$6:$A$205,0)),""))</x:f>
      </x:c>
      <x:c r="F172" s="61" t="str">
        <x:f>IF($A172="","",IFERROR(INDEX('Planejamento de Viagens'!$J$6:$J$205,MATCH($A172,'Planejamento de Viagens'!$A$6:$A$205,0)),0))</x:f>
      </x:c>
      <x:c r="G172" s="67" t="str">
        <x:f>IF($A172="","",IFERROR(INDEX('Planejamento de Viagens'!$K$6:$K$205,MATCH($A172,'Planejamento de Viagens'!$A$6:$A$205,0)),""))</x:f>
      </x:c>
      <x:c r="H172" s="67" t="str">
        <x:f>IF($A172="","",TEXT(INDEX('Planejamento de Viagens'!$H$6:$H$205,MATCH($A172,'Planejamento de Viagens'!$A$6:$A$205,0)),"mmm/yyyy"))</x:f>
      </x:c>
      <x:c r="I172" s="67" t="str">
        <x:f>IF($A172="","",2026)</x:f>
      </x:c>
      <x:c r="J172" s="63" t="str">
        <x:f>IF($A172="","",INDEX('Planejamento de Viagens'!$N$6:$N$205,MATCH($A172,'Planejamento de Viagens'!$A$6:$A$205,0)))</x:f>
      </x:c>
      <x:c r="K172" s="63" t="str">
        <x:f>IF($A172="","",IFERROR($J172/$F172,0))</x:f>
      </x:c>
      <x:c r="L172" s="63" t="str">
        <x:f>IF($A172="","",$J172/2)</x:f>
      </x:c>
      <x:c r="M172" s="63" t="str">
        <x:f>IF($A172="","",INDEX('Planejamento de Viagens'!$O$6:$O$205,MATCH($A172,'Planejamento de Viagens'!$A$6:$A$205,0)))</x:f>
      </x:c>
      <x:c r="N172" s="61" t="str">
        <x:f>IF($A172="","",COUNTIF($J$6:$J$205,"&gt;"&amp;$J172)+1)</x:f>
      </x:c>
    </x:row>
    <x:row r="173">
      <x:c r="A173" s="36"/>
      <x:c r="B173" s="67" t="str">
        <x:f>IF($A173="","",IFERROR(INDEX('Planejamento de Viagens'!$B$6:$B$205,MATCH($A173,'Planejamento de Viagens'!$A$6:$A$205,0)),""))</x:f>
      </x:c>
      <x:c r="C173" s="67" t="str">
        <x:f>IF($A173="","",IFERROR(INDEX('Planejamento de Viagens'!$C$6:$C$205,MATCH($A173,'Planejamento de Viagens'!$A$6:$A$205,0)),""))</x:f>
      </x:c>
      <x:c r="D173" s="67" t="str">
        <x:f>IF($A173="","",IFERROR(INDEX('Planejamento de Viagens'!$F$6:$F$205,MATCH($A173,'Planejamento de Viagens'!$A$6:$A$205,0)),""))</x:f>
      </x:c>
      <x:c r="E173" s="67" t="str">
        <x:f>IF($A173="","",IFERROR(INDEX('Planejamento de Viagens'!$G$6:$G$205,MATCH($A173,'Planejamento de Viagens'!$A$6:$A$205,0)),""))</x:f>
      </x:c>
      <x:c r="F173" s="61" t="str">
        <x:f>IF($A173="","",IFERROR(INDEX('Planejamento de Viagens'!$J$6:$J$205,MATCH($A173,'Planejamento de Viagens'!$A$6:$A$205,0)),0))</x:f>
      </x:c>
      <x:c r="G173" s="67" t="str">
        <x:f>IF($A173="","",IFERROR(INDEX('Planejamento de Viagens'!$K$6:$K$205,MATCH($A173,'Planejamento de Viagens'!$A$6:$A$205,0)),""))</x:f>
      </x:c>
      <x:c r="H173" s="67" t="str">
        <x:f>IF($A173="","",TEXT(INDEX('Planejamento de Viagens'!$H$6:$H$205,MATCH($A173,'Planejamento de Viagens'!$A$6:$A$205,0)),"mmm/yyyy"))</x:f>
      </x:c>
      <x:c r="I173" s="67" t="str">
        <x:f>IF($A173="","",2026)</x:f>
      </x:c>
      <x:c r="J173" s="63" t="str">
        <x:f>IF($A173="","",INDEX('Planejamento de Viagens'!$N$6:$N$205,MATCH($A173,'Planejamento de Viagens'!$A$6:$A$205,0)))</x:f>
      </x:c>
      <x:c r="K173" s="63" t="str">
        <x:f>IF($A173="","",IFERROR($J173/$F173,0))</x:f>
      </x:c>
      <x:c r="L173" s="63" t="str">
        <x:f>IF($A173="","",$J173/2)</x:f>
      </x:c>
      <x:c r="M173" s="63" t="str">
        <x:f>IF($A173="","",INDEX('Planejamento de Viagens'!$O$6:$O$205,MATCH($A173,'Planejamento de Viagens'!$A$6:$A$205,0)))</x:f>
      </x:c>
      <x:c r="N173" s="61" t="str">
        <x:f>IF($A173="","",COUNTIF($J$6:$J$205,"&gt;"&amp;$J173)+1)</x:f>
      </x:c>
    </x:row>
    <x:row r="174">
      <x:c r="A174" s="36"/>
      <x:c r="B174" s="67" t="str">
        <x:f>IF($A174="","",IFERROR(INDEX('Planejamento de Viagens'!$B$6:$B$205,MATCH($A174,'Planejamento de Viagens'!$A$6:$A$205,0)),""))</x:f>
      </x:c>
      <x:c r="C174" s="67" t="str">
        <x:f>IF($A174="","",IFERROR(INDEX('Planejamento de Viagens'!$C$6:$C$205,MATCH($A174,'Planejamento de Viagens'!$A$6:$A$205,0)),""))</x:f>
      </x:c>
      <x:c r="D174" s="67" t="str">
        <x:f>IF($A174="","",IFERROR(INDEX('Planejamento de Viagens'!$F$6:$F$205,MATCH($A174,'Planejamento de Viagens'!$A$6:$A$205,0)),""))</x:f>
      </x:c>
      <x:c r="E174" s="67" t="str">
        <x:f>IF($A174="","",IFERROR(INDEX('Planejamento de Viagens'!$G$6:$G$205,MATCH($A174,'Planejamento de Viagens'!$A$6:$A$205,0)),""))</x:f>
      </x:c>
      <x:c r="F174" s="61" t="str">
        <x:f>IF($A174="","",IFERROR(INDEX('Planejamento de Viagens'!$J$6:$J$205,MATCH($A174,'Planejamento de Viagens'!$A$6:$A$205,0)),0))</x:f>
      </x:c>
      <x:c r="G174" s="67" t="str">
        <x:f>IF($A174="","",IFERROR(INDEX('Planejamento de Viagens'!$K$6:$K$205,MATCH($A174,'Planejamento de Viagens'!$A$6:$A$205,0)),""))</x:f>
      </x:c>
      <x:c r="H174" s="67" t="str">
        <x:f>IF($A174="","",TEXT(INDEX('Planejamento de Viagens'!$H$6:$H$205,MATCH($A174,'Planejamento de Viagens'!$A$6:$A$205,0)),"mmm/yyyy"))</x:f>
      </x:c>
      <x:c r="I174" s="67" t="str">
        <x:f>IF($A174="","",2026)</x:f>
      </x:c>
      <x:c r="J174" s="63" t="str">
        <x:f>IF($A174="","",INDEX('Planejamento de Viagens'!$N$6:$N$205,MATCH($A174,'Planejamento de Viagens'!$A$6:$A$205,0)))</x:f>
      </x:c>
      <x:c r="K174" s="63" t="str">
        <x:f>IF($A174="","",IFERROR($J174/$F174,0))</x:f>
      </x:c>
      <x:c r="L174" s="63" t="str">
        <x:f>IF($A174="","",$J174/2)</x:f>
      </x:c>
      <x:c r="M174" s="63" t="str">
        <x:f>IF($A174="","",INDEX('Planejamento de Viagens'!$O$6:$O$205,MATCH($A174,'Planejamento de Viagens'!$A$6:$A$205,0)))</x:f>
      </x:c>
      <x:c r="N174" s="61" t="str">
        <x:f>IF($A174="","",COUNTIF($J$6:$J$205,"&gt;"&amp;$J174)+1)</x:f>
      </x:c>
    </x:row>
    <x:row r="175">
      <x:c r="A175" s="36"/>
      <x:c r="B175" s="67" t="str">
        <x:f>IF($A175="","",IFERROR(INDEX('Planejamento de Viagens'!$B$6:$B$205,MATCH($A175,'Planejamento de Viagens'!$A$6:$A$205,0)),""))</x:f>
      </x:c>
      <x:c r="C175" s="67" t="str">
        <x:f>IF($A175="","",IFERROR(INDEX('Planejamento de Viagens'!$C$6:$C$205,MATCH($A175,'Planejamento de Viagens'!$A$6:$A$205,0)),""))</x:f>
      </x:c>
      <x:c r="D175" s="67" t="str">
        <x:f>IF($A175="","",IFERROR(INDEX('Planejamento de Viagens'!$F$6:$F$205,MATCH($A175,'Planejamento de Viagens'!$A$6:$A$205,0)),""))</x:f>
      </x:c>
      <x:c r="E175" s="67" t="str">
        <x:f>IF($A175="","",IFERROR(INDEX('Planejamento de Viagens'!$G$6:$G$205,MATCH($A175,'Planejamento de Viagens'!$A$6:$A$205,0)),""))</x:f>
      </x:c>
      <x:c r="F175" s="61" t="str">
        <x:f>IF($A175="","",IFERROR(INDEX('Planejamento de Viagens'!$J$6:$J$205,MATCH($A175,'Planejamento de Viagens'!$A$6:$A$205,0)),0))</x:f>
      </x:c>
      <x:c r="G175" s="67" t="str">
        <x:f>IF($A175="","",IFERROR(INDEX('Planejamento de Viagens'!$K$6:$K$205,MATCH($A175,'Planejamento de Viagens'!$A$6:$A$205,0)),""))</x:f>
      </x:c>
      <x:c r="H175" s="67" t="str">
        <x:f>IF($A175="","",TEXT(INDEX('Planejamento de Viagens'!$H$6:$H$205,MATCH($A175,'Planejamento de Viagens'!$A$6:$A$205,0)),"mmm/yyyy"))</x:f>
      </x:c>
      <x:c r="I175" s="67" t="str">
        <x:f>IF($A175="","",2026)</x:f>
      </x:c>
      <x:c r="J175" s="63" t="str">
        <x:f>IF($A175="","",INDEX('Planejamento de Viagens'!$N$6:$N$205,MATCH($A175,'Planejamento de Viagens'!$A$6:$A$205,0)))</x:f>
      </x:c>
      <x:c r="K175" s="63" t="str">
        <x:f>IF($A175="","",IFERROR($J175/$F175,0))</x:f>
      </x:c>
      <x:c r="L175" s="63" t="str">
        <x:f>IF($A175="","",$J175/2)</x:f>
      </x:c>
      <x:c r="M175" s="63" t="str">
        <x:f>IF($A175="","",INDEX('Planejamento de Viagens'!$O$6:$O$205,MATCH($A175,'Planejamento de Viagens'!$A$6:$A$205,0)))</x:f>
      </x:c>
      <x:c r="N175" s="61" t="str">
        <x:f>IF($A175="","",COUNTIF($J$6:$J$205,"&gt;"&amp;$J175)+1)</x:f>
      </x:c>
    </x:row>
    <x:row r="176">
      <x:c r="A176" s="36"/>
      <x:c r="B176" s="67" t="str">
        <x:f>IF($A176="","",IFERROR(INDEX('Planejamento de Viagens'!$B$6:$B$205,MATCH($A176,'Planejamento de Viagens'!$A$6:$A$205,0)),""))</x:f>
      </x:c>
      <x:c r="C176" s="67" t="str">
        <x:f>IF($A176="","",IFERROR(INDEX('Planejamento de Viagens'!$C$6:$C$205,MATCH($A176,'Planejamento de Viagens'!$A$6:$A$205,0)),""))</x:f>
      </x:c>
      <x:c r="D176" s="67" t="str">
        <x:f>IF($A176="","",IFERROR(INDEX('Planejamento de Viagens'!$F$6:$F$205,MATCH($A176,'Planejamento de Viagens'!$A$6:$A$205,0)),""))</x:f>
      </x:c>
      <x:c r="E176" s="67" t="str">
        <x:f>IF($A176="","",IFERROR(INDEX('Planejamento de Viagens'!$G$6:$G$205,MATCH($A176,'Planejamento de Viagens'!$A$6:$A$205,0)),""))</x:f>
      </x:c>
      <x:c r="F176" s="61" t="str">
        <x:f>IF($A176="","",IFERROR(INDEX('Planejamento de Viagens'!$J$6:$J$205,MATCH($A176,'Planejamento de Viagens'!$A$6:$A$205,0)),0))</x:f>
      </x:c>
      <x:c r="G176" s="67" t="str">
        <x:f>IF($A176="","",IFERROR(INDEX('Planejamento de Viagens'!$K$6:$K$205,MATCH($A176,'Planejamento de Viagens'!$A$6:$A$205,0)),""))</x:f>
      </x:c>
      <x:c r="H176" s="67" t="str">
        <x:f>IF($A176="","",TEXT(INDEX('Planejamento de Viagens'!$H$6:$H$205,MATCH($A176,'Planejamento de Viagens'!$A$6:$A$205,0)),"mmm/yyyy"))</x:f>
      </x:c>
      <x:c r="I176" s="67" t="str">
        <x:f>IF($A176="","",2026)</x:f>
      </x:c>
      <x:c r="J176" s="63" t="str">
        <x:f>IF($A176="","",INDEX('Planejamento de Viagens'!$N$6:$N$205,MATCH($A176,'Planejamento de Viagens'!$A$6:$A$205,0)))</x:f>
      </x:c>
      <x:c r="K176" s="63" t="str">
        <x:f>IF($A176="","",IFERROR($J176/$F176,0))</x:f>
      </x:c>
      <x:c r="L176" s="63" t="str">
        <x:f>IF($A176="","",$J176/2)</x:f>
      </x:c>
      <x:c r="M176" s="63" t="str">
        <x:f>IF($A176="","",INDEX('Planejamento de Viagens'!$O$6:$O$205,MATCH($A176,'Planejamento de Viagens'!$A$6:$A$205,0)))</x:f>
      </x:c>
      <x:c r="N176" s="61" t="str">
        <x:f>IF($A176="","",COUNTIF($J$6:$J$205,"&gt;"&amp;$J176)+1)</x:f>
      </x:c>
    </x:row>
    <x:row r="177">
      <x:c r="A177" s="36"/>
      <x:c r="B177" s="67" t="str">
        <x:f>IF($A177="","",IFERROR(INDEX('Planejamento de Viagens'!$B$6:$B$205,MATCH($A177,'Planejamento de Viagens'!$A$6:$A$205,0)),""))</x:f>
      </x:c>
      <x:c r="C177" s="67" t="str">
        <x:f>IF($A177="","",IFERROR(INDEX('Planejamento de Viagens'!$C$6:$C$205,MATCH($A177,'Planejamento de Viagens'!$A$6:$A$205,0)),""))</x:f>
      </x:c>
      <x:c r="D177" s="67" t="str">
        <x:f>IF($A177="","",IFERROR(INDEX('Planejamento de Viagens'!$F$6:$F$205,MATCH($A177,'Planejamento de Viagens'!$A$6:$A$205,0)),""))</x:f>
      </x:c>
      <x:c r="E177" s="67" t="str">
        <x:f>IF($A177="","",IFERROR(INDEX('Planejamento de Viagens'!$G$6:$G$205,MATCH($A177,'Planejamento de Viagens'!$A$6:$A$205,0)),""))</x:f>
      </x:c>
      <x:c r="F177" s="61" t="str">
        <x:f>IF($A177="","",IFERROR(INDEX('Planejamento de Viagens'!$J$6:$J$205,MATCH($A177,'Planejamento de Viagens'!$A$6:$A$205,0)),0))</x:f>
      </x:c>
      <x:c r="G177" s="67" t="str">
        <x:f>IF($A177="","",IFERROR(INDEX('Planejamento de Viagens'!$K$6:$K$205,MATCH($A177,'Planejamento de Viagens'!$A$6:$A$205,0)),""))</x:f>
      </x:c>
      <x:c r="H177" s="67" t="str">
        <x:f>IF($A177="","",TEXT(INDEX('Planejamento de Viagens'!$H$6:$H$205,MATCH($A177,'Planejamento de Viagens'!$A$6:$A$205,0)),"mmm/yyyy"))</x:f>
      </x:c>
      <x:c r="I177" s="67" t="str">
        <x:f>IF($A177="","",2026)</x:f>
      </x:c>
      <x:c r="J177" s="63" t="str">
        <x:f>IF($A177="","",INDEX('Planejamento de Viagens'!$N$6:$N$205,MATCH($A177,'Planejamento de Viagens'!$A$6:$A$205,0)))</x:f>
      </x:c>
      <x:c r="K177" s="63" t="str">
        <x:f>IF($A177="","",IFERROR($J177/$F177,0))</x:f>
      </x:c>
      <x:c r="L177" s="63" t="str">
        <x:f>IF($A177="","",$J177/2)</x:f>
      </x:c>
      <x:c r="M177" s="63" t="str">
        <x:f>IF($A177="","",INDEX('Planejamento de Viagens'!$O$6:$O$205,MATCH($A177,'Planejamento de Viagens'!$A$6:$A$205,0)))</x:f>
      </x:c>
      <x:c r="N177" s="61" t="str">
        <x:f>IF($A177="","",COUNTIF($J$6:$J$205,"&gt;"&amp;$J177)+1)</x:f>
      </x:c>
    </x:row>
    <x:row r="178">
      <x:c r="A178" s="36"/>
      <x:c r="B178" s="67" t="str">
        <x:f>IF($A178="","",IFERROR(INDEX('Planejamento de Viagens'!$B$6:$B$205,MATCH($A178,'Planejamento de Viagens'!$A$6:$A$205,0)),""))</x:f>
      </x:c>
      <x:c r="C178" s="67" t="str">
        <x:f>IF($A178="","",IFERROR(INDEX('Planejamento de Viagens'!$C$6:$C$205,MATCH($A178,'Planejamento de Viagens'!$A$6:$A$205,0)),""))</x:f>
      </x:c>
      <x:c r="D178" s="67" t="str">
        <x:f>IF($A178="","",IFERROR(INDEX('Planejamento de Viagens'!$F$6:$F$205,MATCH($A178,'Planejamento de Viagens'!$A$6:$A$205,0)),""))</x:f>
      </x:c>
      <x:c r="E178" s="67" t="str">
        <x:f>IF($A178="","",IFERROR(INDEX('Planejamento de Viagens'!$G$6:$G$205,MATCH($A178,'Planejamento de Viagens'!$A$6:$A$205,0)),""))</x:f>
      </x:c>
      <x:c r="F178" s="61" t="str">
        <x:f>IF($A178="","",IFERROR(INDEX('Planejamento de Viagens'!$J$6:$J$205,MATCH($A178,'Planejamento de Viagens'!$A$6:$A$205,0)),0))</x:f>
      </x:c>
      <x:c r="G178" s="67" t="str">
        <x:f>IF($A178="","",IFERROR(INDEX('Planejamento de Viagens'!$K$6:$K$205,MATCH($A178,'Planejamento de Viagens'!$A$6:$A$205,0)),""))</x:f>
      </x:c>
      <x:c r="H178" s="67" t="str">
        <x:f>IF($A178="","",TEXT(INDEX('Planejamento de Viagens'!$H$6:$H$205,MATCH($A178,'Planejamento de Viagens'!$A$6:$A$205,0)),"mmm/yyyy"))</x:f>
      </x:c>
      <x:c r="I178" s="67" t="str">
        <x:f>IF($A178="","",2026)</x:f>
      </x:c>
      <x:c r="J178" s="63" t="str">
        <x:f>IF($A178="","",INDEX('Planejamento de Viagens'!$N$6:$N$205,MATCH($A178,'Planejamento de Viagens'!$A$6:$A$205,0)))</x:f>
      </x:c>
      <x:c r="K178" s="63" t="str">
        <x:f>IF($A178="","",IFERROR($J178/$F178,0))</x:f>
      </x:c>
      <x:c r="L178" s="63" t="str">
        <x:f>IF($A178="","",$J178/2)</x:f>
      </x:c>
      <x:c r="M178" s="63" t="str">
        <x:f>IF($A178="","",INDEX('Planejamento de Viagens'!$O$6:$O$205,MATCH($A178,'Planejamento de Viagens'!$A$6:$A$205,0)))</x:f>
      </x:c>
      <x:c r="N178" s="61" t="str">
        <x:f>IF($A178="","",COUNTIF($J$6:$J$205,"&gt;"&amp;$J178)+1)</x:f>
      </x:c>
    </x:row>
    <x:row r="179">
      <x:c r="A179" s="36"/>
      <x:c r="B179" s="67" t="str">
        <x:f>IF($A179="","",IFERROR(INDEX('Planejamento de Viagens'!$B$6:$B$205,MATCH($A179,'Planejamento de Viagens'!$A$6:$A$205,0)),""))</x:f>
      </x:c>
      <x:c r="C179" s="67" t="str">
        <x:f>IF($A179="","",IFERROR(INDEX('Planejamento de Viagens'!$C$6:$C$205,MATCH($A179,'Planejamento de Viagens'!$A$6:$A$205,0)),""))</x:f>
      </x:c>
      <x:c r="D179" s="67" t="str">
        <x:f>IF($A179="","",IFERROR(INDEX('Planejamento de Viagens'!$F$6:$F$205,MATCH($A179,'Planejamento de Viagens'!$A$6:$A$205,0)),""))</x:f>
      </x:c>
      <x:c r="E179" s="67" t="str">
        <x:f>IF($A179="","",IFERROR(INDEX('Planejamento de Viagens'!$G$6:$G$205,MATCH($A179,'Planejamento de Viagens'!$A$6:$A$205,0)),""))</x:f>
      </x:c>
      <x:c r="F179" s="61" t="str">
        <x:f>IF($A179="","",IFERROR(INDEX('Planejamento de Viagens'!$J$6:$J$205,MATCH($A179,'Planejamento de Viagens'!$A$6:$A$205,0)),0))</x:f>
      </x:c>
      <x:c r="G179" s="67" t="str">
        <x:f>IF($A179="","",IFERROR(INDEX('Planejamento de Viagens'!$K$6:$K$205,MATCH($A179,'Planejamento de Viagens'!$A$6:$A$205,0)),""))</x:f>
      </x:c>
      <x:c r="H179" s="67" t="str">
        <x:f>IF($A179="","",TEXT(INDEX('Planejamento de Viagens'!$H$6:$H$205,MATCH($A179,'Planejamento de Viagens'!$A$6:$A$205,0)),"mmm/yyyy"))</x:f>
      </x:c>
      <x:c r="I179" s="67" t="str">
        <x:f>IF($A179="","",2026)</x:f>
      </x:c>
      <x:c r="J179" s="63" t="str">
        <x:f>IF($A179="","",INDEX('Planejamento de Viagens'!$N$6:$N$205,MATCH($A179,'Planejamento de Viagens'!$A$6:$A$205,0)))</x:f>
      </x:c>
      <x:c r="K179" s="63" t="str">
        <x:f>IF($A179="","",IFERROR($J179/$F179,0))</x:f>
      </x:c>
      <x:c r="L179" s="63" t="str">
        <x:f>IF($A179="","",$J179/2)</x:f>
      </x:c>
      <x:c r="M179" s="63" t="str">
        <x:f>IF($A179="","",INDEX('Planejamento de Viagens'!$O$6:$O$205,MATCH($A179,'Planejamento de Viagens'!$A$6:$A$205,0)))</x:f>
      </x:c>
      <x:c r="N179" s="61" t="str">
        <x:f>IF($A179="","",COUNTIF($J$6:$J$205,"&gt;"&amp;$J179)+1)</x:f>
      </x:c>
    </x:row>
    <x:row r="180">
      <x:c r="A180" s="36"/>
      <x:c r="B180" s="67" t="str">
        <x:f>IF($A180="","",IFERROR(INDEX('Planejamento de Viagens'!$B$6:$B$205,MATCH($A180,'Planejamento de Viagens'!$A$6:$A$205,0)),""))</x:f>
      </x:c>
      <x:c r="C180" s="67" t="str">
        <x:f>IF($A180="","",IFERROR(INDEX('Planejamento de Viagens'!$C$6:$C$205,MATCH($A180,'Planejamento de Viagens'!$A$6:$A$205,0)),""))</x:f>
      </x:c>
      <x:c r="D180" s="67" t="str">
        <x:f>IF($A180="","",IFERROR(INDEX('Planejamento de Viagens'!$F$6:$F$205,MATCH($A180,'Planejamento de Viagens'!$A$6:$A$205,0)),""))</x:f>
      </x:c>
      <x:c r="E180" s="67" t="str">
        <x:f>IF($A180="","",IFERROR(INDEX('Planejamento de Viagens'!$G$6:$G$205,MATCH($A180,'Planejamento de Viagens'!$A$6:$A$205,0)),""))</x:f>
      </x:c>
      <x:c r="F180" s="61" t="str">
        <x:f>IF($A180="","",IFERROR(INDEX('Planejamento de Viagens'!$J$6:$J$205,MATCH($A180,'Planejamento de Viagens'!$A$6:$A$205,0)),0))</x:f>
      </x:c>
      <x:c r="G180" s="67" t="str">
        <x:f>IF($A180="","",IFERROR(INDEX('Planejamento de Viagens'!$K$6:$K$205,MATCH($A180,'Planejamento de Viagens'!$A$6:$A$205,0)),""))</x:f>
      </x:c>
      <x:c r="H180" s="67" t="str">
        <x:f>IF($A180="","",TEXT(INDEX('Planejamento de Viagens'!$H$6:$H$205,MATCH($A180,'Planejamento de Viagens'!$A$6:$A$205,0)),"mmm/yyyy"))</x:f>
      </x:c>
      <x:c r="I180" s="67" t="str">
        <x:f>IF($A180="","",2026)</x:f>
      </x:c>
      <x:c r="J180" s="63" t="str">
        <x:f>IF($A180="","",INDEX('Planejamento de Viagens'!$N$6:$N$205,MATCH($A180,'Planejamento de Viagens'!$A$6:$A$205,0)))</x:f>
      </x:c>
      <x:c r="K180" s="63" t="str">
        <x:f>IF($A180="","",IFERROR($J180/$F180,0))</x:f>
      </x:c>
      <x:c r="L180" s="63" t="str">
        <x:f>IF($A180="","",$J180/2)</x:f>
      </x:c>
      <x:c r="M180" s="63" t="str">
        <x:f>IF($A180="","",INDEX('Planejamento de Viagens'!$O$6:$O$205,MATCH($A180,'Planejamento de Viagens'!$A$6:$A$205,0)))</x:f>
      </x:c>
      <x:c r="N180" s="61" t="str">
        <x:f>IF($A180="","",COUNTIF($J$6:$J$205,"&gt;"&amp;$J180)+1)</x:f>
      </x:c>
    </x:row>
    <x:row r="181">
      <x:c r="A181" s="36"/>
      <x:c r="B181" s="67" t="str">
        <x:f>IF($A181="","",IFERROR(INDEX('Planejamento de Viagens'!$B$6:$B$205,MATCH($A181,'Planejamento de Viagens'!$A$6:$A$205,0)),""))</x:f>
      </x:c>
      <x:c r="C181" s="67" t="str">
        <x:f>IF($A181="","",IFERROR(INDEX('Planejamento de Viagens'!$C$6:$C$205,MATCH($A181,'Planejamento de Viagens'!$A$6:$A$205,0)),""))</x:f>
      </x:c>
      <x:c r="D181" s="67" t="str">
        <x:f>IF($A181="","",IFERROR(INDEX('Planejamento de Viagens'!$F$6:$F$205,MATCH($A181,'Planejamento de Viagens'!$A$6:$A$205,0)),""))</x:f>
      </x:c>
      <x:c r="E181" s="67" t="str">
        <x:f>IF($A181="","",IFERROR(INDEX('Planejamento de Viagens'!$G$6:$G$205,MATCH($A181,'Planejamento de Viagens'!$A$6:$A$205,0)),""))</x:f>
      </x:c>
      <x:c r="F181" s="61" t="str">
        <x:f>IF($A181="","",IFERROR(INDEX('Planejamento de Viagens'!$J$6:$J$205,MATCH($A181,'Planejamento de Viagens'!$A$6:$A$205,0)),0))</x:f>
      </x:c>
      <x:c r="G181" s="67" t="str">
        <x:f>IF($A181="","",IFERROR(INDEX('Planejamento de Viagens'!$K$6:$K$205,MATCH($A181,'Planejamento de Viagens'!$A$6:$A$205,0)),""))</x:f>
      </x:c>
      <x:c r="H181" s="67" t="str">
        <x:f>IF($A181="","",TEXT(INDEX('Planejamento de Viagens'!$H$6:$H$205,MATCH($A181,'Planejamento de Viagens'!$A$6:$A$205,0)),"mmm/yyyy"))</x:f>
      </x:c>
      <x:c r="I181" s="67" t="str">
        <x:f>IF($A181="","",2026)</x:f>
      </x:c>
      <x:c r="J181" s="63" t="str">
        <x:f>IF($A181="","",INDEX('Planejamento de Viagens'!$N$6:$N$205,MATCH($A181,'Planejamento de Viagens'!$A$6:$A$205,0)))</x:f>
      </x:c>
      <x:c r="K181" s="63" t="str">
        <x:f>IF($A181="","",IFERROR($J181/$F181,0))</x:f>
      </x:c>
      <x:c r="L181" s="63" t="str">
        <x:f>IF($A181="","",$J181/2)</x:f>
      </x:c>
      <x:c r="M181" s="63" t="str">
        <x:f>IF($A181="","",INDEX('Planejamento de Viagens'!$O$6:$O$205,MATCH($A181,'Planejamento de Viagens'!$A$6:$A$205,0)))</x:f>
      </x:c>
      <x:c r="N181" s="61" t="str">
        <x:f>IF($A181="","",COUNTIF($J$6:$J$205,"&gt;"&amp;$J181)+1)</x:f>
      </x:c>
    </x:row>
    <x:row r="182">
      <x:c r="A182" s="36"/>
      <x:c r="B182" s="67" t="str">
        <x:f>IF($A182="","",IFERROR(INDEX('Planejamento de Viagens'!$B$6:$B$205,MATCH($A182,'Planejamento de Viagens'!$A$6:$A$205,0)),""))</x:f>
      </x:c>
      <x:c r="C182" s="67" t="str">
        <x:f>IF($A182="","",IFERROR(INDEX('Planejamento de Viagens'!$C$6:$C$205,MATCH($A182,'Planejamento de Viagens'!$A$6:$A$205,0)),""))</x:f>
      </x:c>
      <x:c r="D182" s="67" t="str">
        <x:f>IF($A182="","",IFERROR(INDEX('Planejamento de Viagens'!$F$6:$F$205,MATCH($A182,'Planejamento de Viagens'!$A$6:$A$205,0)),""))</x:f>
      </x:c>
      <x:c r="E182" s="67" t="str">
        <x:f>IF($A182="","",IFERROR(INDEX('Planejamento de Viagens'!$G$6:$G$205,MATCH($A182,'Planejamento de Viagens'!$A$6:$A$205,0)),""))</x:f>
      </x:c>
      <x:c r="F182" s="61" t="str">
        <x:f>IF($A182="","",IFERROR(INDEX('Planejamento de Viagens'!$J$6:$J$205,MATCH($A182,'Planejamento de Viagens'!$A$6:$A$205,0)),0))</x:f>
      </x:c>
      <x:c r="G182" s="67" t="str">
        <x:f>IF($A182="","",IFERROR(INDEX('Planejamento de Viagens'!$K$6:$K$205,MATCH($A182,'Planejamento de Viagens'!$A$6:$A$205,0)),""))</x:f>
      </x:c>
      <x:c r="H182" s="67" t="str">
        <x:f>IF($A182="","",TEXT(INDEX('Planejamento de Viagens'!$H$6:$H$205,MATCH($A182,'Planejamento de Viagens'!$A$6:$A$205,0)),"mmm/yyyy"))</x:f>
      </x:c>
      <x:c r="I182" s="67" t="str">
        <x:f>IF($A182="","",2026)</x:f>
      </x:c>
      <x:c r="J182" s="63" t="str">
        <x:f>IF($A182="","",INDEX('Planejamento de Viagens'!$N$6:$N$205,MATCH($A182,'Planejamento de Viagens'!$A$6:$A$205,0)))</x:f>
      </x:c>
      <x:c r="K182" s="63" t="str">
        <x:f>IF($A182="","",IFERROR($J182/$F182,0))</x:f>
      </x:c>
      <x:c r="L182" s="63" t="str">
        <x:f>IF($A182="","",$J182/2)</x:f>
      </x:c>
      <x:c r="M182" s="63" t="str">
        <x:f>IF($A182="","",INDEX('Planejamento de Viagens'!$O$6:$O$205,MATCH($A182,'Planejamento de Viagens'!$A$6:$A$205,0)))</x:f>
      </x:c>
      <x:c r="N182" s="61" t="str">
        <x:f>IF($A182="","",COUNTIF($J$6:$J$205,"&gt;"&amp;$J182)+1)</x:f>
      </x:c>
    </x:row>
    <x:row r="183">
      <x:c r="A183" s="36"/>
      <x:c r="B183" s="67" t="str">
        <x:f>IF($A183="","",IFERROR(INDEX('Planejamento de Viagens'!$B$6:$B$205,MATCH($A183,'Planejamento de Viagens'!$A$6:$A$205,0)),""))</x:f>
      </x:c>
      <x:c r="C183" s="67" t="str">
        <x:f>IF($A183="","",IFERROR(INDEX('Planejamento de Viagens'!$C$6:$C$205,MATCH($A183,'Planejamento de Viagens'!$A$6:$A$205,0)),""))</x:f>
      </x:c>
      <x:c r="D183" s="67" t="str">
        <x:f>IF($A183="","",IFERROR(INDEX('Planejamento de Viagens'!$F$6:$F$205,MATCH($A183,'Planejamento de Viagens'!$A$6:$A$205,0)),""))</x:f>
      </x:c>
      <x:c r="E183" s="67" t="str">
        <x:f>IF($A183="","",IFERROR(INDEX('Planejamento de Viagens'!$G$6:$G$205,MATCH($A183,'Planejamento de Viagens'!$A$6:$A$205,0)),""))</x:f>
      </x:c>
      <x:c r="F183" s="61" t="str">
        <x:f>IF($A183="","",IFERROR(INDEX('Planejamento de Viagens'!$J$6:$J$205,MATCH($A183,'Planejamento de Viagens'!$A$6:$A$205,0)),0))</x:f>
      </x:c>
      <x:c r="G183" s="67" t="str">
        <x:f>IF($A183="","",IFERROR(INDEX('Planejamento de Viagens'!$K$6:$K$205,MATCH($A183,'Planejamento de Viagens'!$A$6:$A$205,0)),""))</x:f>
      </x:c>
      <x:c r="H183" s="67" t="str">
        <x:f>IF($A183="","",TEXT(INDEX('Planejamento de Viagens'!$H$6:$H$205,MATCH($A183,'Planejamento de Viagens'!$A$6:$A$205,0)),"mmm/yyyy"))</x:f>
      </x:c>
      <x:c r="I183" s="67" t="str">
        <x:f>IF($A183="","",2026)</x:f>
      </x:c>
      <x:c r="J183" s="63" t="str">
        <x:f>IF($A183="","",INDEX('Planejamento de Viagens'!$N$6:$N$205,MATCH($A183,'Planejamento de Viagens'!$A$6:$A$205,0)))</x:f>
      </x:c>
      <x:c r="K183" s="63" t="str">
        <x:f>IF($A183="","",IFERROR($J183/$F183,0))</x:f>
      </x:c>
      <x:c r="L183" s="63" t="str">
        <x:f>IF($A183="","",$J183/2)</x:f>
      </x:c>
      <x:c r="M183" s="63" t="str">
        <x:f>IF($A183="","",INDEX('Planejamento de Viagens'!$O$6:$O$205,MATCH($A183,'Planejamento de Viagens'!$A$6:$A$205,0)))</x:f>
      </x:c>
      <x:c r="N183" s="61" t="str">
        <x:f>IF($A183="","",COUNTIF($J$6:$J$205,"&gt;"&amp;$J183)+1)</x:f>
      </x:c>
    </x:row>
    <x:row r="184">
      <x:c r="A184" s="36"/>
      <x:c r="B184" s="67" t="str">
        <x:f>IF($A184="","",IFERROR(INDEX('Planejamento de Viagens'!$B$6:$B$205,MATCH($A184,'Planejamento de Viagens'!$A$6:$A$205,0)),""))</x:f>
      </x:c>
      <x:c r="C184" s="67" t="str">
        <x:f>IF($A184="","",IFERROR(INDEX('Planejamento de Viagens'!$C$6:$C$205,MATCH($A184,'Planejamento de Viagens'!$A$6:$A$205,0)),""))</x:f>
      </x:c>
      <x:c r="D184" s="67" t="str">
        <x:f>IF($A184="","",IFERROR(INDEX('Planejamento de Viagens'!$F$6:$F$205,MATCH($A184,'Planejamento de Viagens'!$A$6:$A$205,0)),""))</x:f>
      </x:c>
      <x:c r="E184" s="67" t="str">
        <x:f>IF($A184="","",IFERROR(INDEX('Planejamento de Viagens'!$G$6:$G$205,MATCH($A184,'Planejamento de Viagens'!$A$6:$A$205,0)),""))</x:f>
      </x:c>
      <x:c r="F184" s="61" t="str">
        <x:f>IF($A184="","",IFERROR(INDEX('Planejamento de Viagens'!$J$6:$J$205,MATCH($A184,'Planejamento de Viagens'!$A$6:$A$205,0)),0))</x:f>
      </x:c>
      <x:c r="G184" s="67" t="str">
        <x:f>IF($A184="","",IFERROR(INDEX('Planejamento de Viagens'!$K$6:$K$205,MATCH($A184,'Planejamento de Viagens'!$A$6:$A$205,0)),""))</x:f>
      </x:c>
      <x:c r="H184" s="67" t="str">
        <x:f>IF($A184="","",TEXT(INDEX('Planejamento de Viagens'!$H$6:$H$205,MATCH($A184,'Planejamento de Viagens'!$A$6:$A$205,0)),"mmm/yyyy"))</x:f>
      </x:c>
      <x:c r="I184" s="67" t="str">
        <x:f>IF($A184="","",2026)</x:f>
      </x:c>
      <x:c r="J184" s="63" t="str">
        <x:f>IF($A184="","",INDEX('Planejamento de Viagens'!$N$6:$N$205,MATCH($A184,'Planejamento de Viagens'!$A$6:$A$205,0)))</x:f>
      </x:c>
      <x:c r="K184" s="63" t="str">
        <x:f>IF($A184="","",IFERROR($J184/$F184,0))</x:f>
      </x:c>
      <x:c r="L184" s="63" t="str">
        <x:f>IF($A184="","",$J184/2)</x:f>
      </x:c>
      <x:c r="M184" s="63" t="str">
        <x:f>IF($A184="","",INDEX('Planejamento de Viagens'!$O$6:$O$205,MATCH($A184,'Planejamento de Viagens'!$A$6:$A$205,0)))</x:f>
      </x:c>
      <x:c r="N184" s="61" t="str">
        <x:f>IF($A184="","",COUNTIF($J$6:$J$205,"&gt;"&amp;$J184)+1)</x:f>
      </x:c>
    </x:row>
    <x:row r="185">
      <x:c r="A185" s="36"/>
      <x:c r="B185" s="67" t="str">
        <x:f>IF($A185="","",IFERROR(INDEX('Planejamento de Viagens'!$B$6:$B$205,MATCH($A185,'Planejamento de Viagens'!$A$6:$A$205,0)),""))</x:f>
      </x:c>
      <x:c r="C185" s="67" t="str">
        <x:f>IF($A185="","",IFERROR(INDEX('Planejamento de Viagens'!$C$6:$C$205,MATCH($A185,'Planejamento de Viagens'!$A$6:$A$205,0)),""))</x:f>
      </x:c>
      <x:c r="D185" s="67" t="str">
        <x:f>IF($A185="","",IFERROR(INDEX('Planejamento de Viagens'!$F$6:$F$205,MATCH($A185,'Planejamento de Viagens'!$A$6:$A$205,0)),""))</x:f>
      </x:c>
      <x:c r="E185" s="67" t="str">
        <x:f>IF($A185="","",IFERROR(INDEX('Planejamento de Viagens'!$G$6:$G$205,MATCH($A185,'Planejamento de Viagens'!$A$6:$A$205,0)),""))</x:f>
      </x:c>
      <x:c r="F185" s="61" t="str">
        <x:f>IF($A185="","",IFERROR(INDEX('Planejamento de Viagens'!$J$6:$J$205,MATCH($A185,'Planejamento de Viagens'!$A$6:$A$205,0)),0))</x:f>
      </x:c>
      <x:c r="G185" s="67" t="str">
        <x:f>IF($A185="","",IFERROR(INDEX('Planejamento de Viagens'!$K$6:$K$205,MATCH($A185,'Planejamento de Viagens'!$A$6:$A$205,0)),""))</x:f>
      </x:c>
      <x:c r="H185" s="67" t="str">
        <x:f>IF($A185="","",TEXT(INDEX('Planejamento de Viagens'!$H$6:$H$205,MATCH($A185,'Planejamento de Viagens'!$A$6:$A$205,0)),"mmm/yyyy"))</x:f>
      </x:c>
      <x:c r="I185" s="67" t="str">
        <x:f>IF($A185="","",2026)</x:f>
      </x:c>
      <x:c r="J185" s="63" t="str">
        <x:f>IF($A185="","",INDEX('Planejamento de Viagens'!$N$6:$N$205,MATCH($A185,'Planejamento de Viagens'!$A$6:$A$205,0)))</x:f>
      </x:c>
      <x:c r="K185" s="63" t="str">
        <x:f>IF($A185="","",IFERROR($J185/$F185,0))</x:f>
      </x:c>
      <x:c r="L185" s="63" t="str">
        <x:f>IF($A185="","",$J185/2)</x:f>
      </x:c>
      <x:c r="M185" s="63" t="str">
        <x:f>IF($A185="","",INDEX('Planejamento de Viagens'!$O$6:$O$205,MATCH($A185,'Planejamento de Viagens'!$A$6:$A$205,0)))</x:f>
      </x:c>
      <x:c r="N185" s="61" t="str">
        <x:f>IF($A185="","",COUNTIF($J$6:$J$205,"&gt;"&amp;$J185)+1)</x:f>
      </x:c>
    </x:row>
    <x:row r="186">
      <x:c r="A186" s="36"/>
      <x:c r="B186" s="67" t="str">
        <x:f>IF($A186="","",IFERROR(INDEX('Planejamento de Viagens'!$B$6:$B$205,MATCH($A186,'Planejamento de Viagens'!$A$6:$A$205,0)),""))</x:f>
      </x:c>
      <x:c r="C186" s="67" t="str">
        <x:f>IF($A186="","",IFERROR(INDEX('Planejamento de Viagens'!$C$6:$C$205,MATCH($A186,'Planejamento de Viagens'!$A$6:$A$205,0)),""))</x:f>
      </x:c>
      <x:c r="D186" s="67" t="str">
        <x:f>IF($A186="","",IFERROR(INDEX('Planejamento de Viagens'!$F$6:$F$205,MATCH($A186,'Planejamento de Viagens'!$A$6:$A$205,0)),""))</x:f>
      </x:c>
      <x:c r="E186" s="67" t="str">
        <x:f>IF($A186="","",IFERROR(INDEX('Planejamento de Viagens'!$G$6:$G$205,MATCH($A186,'Planejamento de Viagens'!$A$6:$A$205,0)),""))</x:f>
      </x:c>
      <x:c r="F186" s="61" t="str">
        <x:f>IF($A186="","",IFERROR(INDEX('Planejamento de Viagens'!$J$6:$J$205,MATCH($A186,'Planejamento de Viagens'!$A$6:$A$205,0)),0))</x:f>
      </x:c>
      <x:c r="G186" s="67" t="str">
        <x:f>IF($A186="","",IFERROR(INDEX('Planejamento de Viagens'!$K$6:$K$205,MATCH($A186,'Planejamento de Viagens'!$A$6:$A$205,0)),""))</x:f>
      </x:c>
      <x:c r="H186" s="67" t="str">
        <x:f>IF($A186="","",TEXT(INDEX('Planejamento de Viagens'!$H$6:$H$205,MATCH($A186,'Planejamento de Viagens'!$A$6:$A$205,0)),"mmm/yyyy"))</x:f>
      </x:c>
      <x:c r="I186" s="67" t="str">
        <x:f>IF($A186="","",2026)</x:f>
      </x:c>
      <x:c r="J186" s="63" t="str">
        <x:f>IF($A186="","",INDEX('Planejamento de Viagens'!$N$6:$N$205,MATCH($A186,'Planejamento de Viagens'!$A$6:$A$205,0)))</x:f>
      </x:c>
      <x:c r="K186" s="63" t="str">
        <x:f>IF($A186="","",IFERROR($J186/$F186,0))</x:f>
      </x:c>
      <x:c r="L186" s="63" t="str">
        <x:f>IF($A186="","",$J186/2)</x:f>
      </x:c>
      <x:c r="M186" s="63" t="str">
        <x:f>IF($A186="","",INDEX('Planejamento de Viagens'!$O$6:$O$205,MATCH($A186,'Planejamento de Viagens'!$A$6:$A$205,0)))</x:f>
      </x:c>
      <x:c r="N186" s="61" t="str">
        <x:f>IF($A186="","",COUNTIF($J$6:$J$205,"&gt;"&amp;$J186)+1)</x:f>
      </x:c>
    </x:row>
    <x:row r="187">
      <x:c r="A187" s="36"/>
      <x:c r="B187" s="67" t="str">
        <x:f>IF($A187="","",IFERROR(INDEX('Planejamento de Viagens'!$B$6:$B$205,MATCH($A187,'Planejamento de Viagens'!$A$6:$A$205,0)),""))</x:f>
      </x:c>
      <x:c r="C187" s="67" t="str">
        <x:f>IF($A187="","",IFERROR(INDEX('Planejamento de Viagens'!$C$6:$C$205,MATCH($A187,'Planejamento de Viagens'!$A$6:$A$205,0)),""))</x:f>
      </x:c>
      <x:c r="D187" s="67" t="str">
        <x:f>IF($A187="","",IFERROR(INDEX('Planejamento de Viagens'!$F$6:$F$205,MATCH($A187,'Planejamento de Viagens'!$A$6:$A$205,0)),""))</x:f>
      </x:c>
      <x:c r="E187" s="67" t="str">
        <x:f>IF($A187="","",IFERROR(INDEX('Planejamento de Viagens'!$G$6:$G$205,MATCH($A187,'Planejamento de Viagens'!$A$6:$A$205,0)),""))</x:f>
      </x:c>
      <x:c r="F187" s="61" t="str">
        <x:f>IF($A187="","",IFERROR(INDEX('Planejamento de Viagens'!$J$6:$J$205,MATCH($A187,'Planejamento de Viagens'!$A$6:$A$205,0)),0))</x:f>
      </x:c>
      <x:c r="G187" s="67" t="str">
        <x:f>IF($A187="","",IFERROR(INDEX('Planejamento de Viagens'!$K$6:$K$205,MATCH($A187,'Planejamento de Viagens'!$A$6:$A$205,0)),""))</x:f>
      </x:c>
      <x:c r="H187" s="67" t="str">
        <x:f>IF($A187="","",TEXT(INDEX('Planejamento de Viagens'!$H$6:$H$205,MATCH($A187,'Planejamento de Viagens'!$A$6:$A$205,0)),"mmm/yyyy"))</x:f>
      </x:c>
      <x:c r="I187" s="67" t="str">
        <x:f>IF($A187="","",2026)</x:f>
      </x:c>
      <x:c r="J187" s="63" t="str">
        <x:f>IF($A187="","",INDEX('Planejamento de Viagens'!$N$6:$N$205,MATCH($A187,'Planejamento de Viagens'!$A$6:$A$205,0)))</x:f>
      </x:c>
      <x:c r="K187" s="63" t="str">
        <x:f>IF($A187="","",IFERROR($J187/$F187,0))</x:f>
      </x:c>
      <x:c r="L187" s="63" t="str">
        <x:f>IF($A187="","",$J187/2)</x:f>
      </x:c>
      <x:c r="M187" s="63" t="str">
        <x:f>IF($A187="","",INDEX('Planejamento de Viagens'!$O$6:$O$205,MATCH($A187,'Planejamento de Viagens'!$A$6:$A$205,0)))</x:f>
      </x:c>
      <x:c r="N187" s="61" t="str">
        <x:f>IF($A187="","",COUNTIF($J$6:$J$205,"&gt;"&amp;$J187)+1)</x:f>
      </x:c>
    </x:row>
    <x:row r="188">
      <x:c r="A188" s="36"/>
      <x:c r="B188" s="67" t="str">
        <x:f>IF($A188="","",IFERROR(INDEX('Planejamento de Viagens'!$B$6:$B$205,MATCH($A188,'Planejamento de Viagens'!$A$6:$A$205,0)),""))</x:f>
      </x:c>
      <x:c r="C188" s="67" t="str">
        <x:f>IF($A188="","",IFERROR(INDEX('Planejamento de Viagens'!$C$6:$C$205,MATCH($A188,'Planejamento de Viagens'!$A$6:$A$205,0)),""))</x:f>
      </x:c>
      <x:c r="D188" s="67" t="str">
        <x:f>IF($A188="","",IFERROR(INDEX('Planejamento de Viagens'!$F$6:$F$205,MATCH($A188,'Planejamento de Viagens'!$A$6:$A$205,0)),""))</x:f>
      </x:c>
      <x:c r="E188" s="67" t="str">
        <x:f>IF($A188="","",IFERROR(INDEX('Planejamento de Viagens'!$G$6:$G$205,MATCH($A188,'Planejamento de Viagens'!$A$6:$A$205,0)),""))</x:f>
      </x:c>
      <x:c r="F188" s="61" t="str">
        <x:f>IF($A188="","",IFERROR(INDEX('Planejamento de Viagens'!$J$6:$J$205,MATCH($A188,'Planejamento de Viagens'!$A$6:$A$205,0)),0))</x:f>
      </x:c>
      <x:c r="G188" s="67" t="str">
        <x:f>IF($A188="","",IFERROR(INDEX('Planejamento de Viagens'!$K$6:$K$205,MATCH($A188,'Planejamento de Viagens'!$A$6:$A$205,0)),""))</x:f>
      </x:c>
      <x:c r="H188" s="67" t="str">
        <x:f>IF($A188="","",TEXT(INDEX('Planejamento de Viagens'!$H$6:$H$205,MATCH($A188,'Planejamento de Viagens'!$A$6:$A$205,0)),"mmm/yyyy"))</x:f>
      </x:c>
      <x:c r="I188" s="67" t="str">
        <x:f>IF($A188="","",2026)</x:f>
      </x:c>
      <x:c r="J188" s="63" t="str">
        <x:f>IF($A188="","",INDEX('Planejamento de Viagens'!$N$6:$N$205,MATCH($A188,'Planejamento de Viagens'!$A$6:$A$205,0)))</x:f>
      </x:c>
      <x:c r="K188" s="63" t="str">
        <x:f>IF($A188="","",IFERROR($J188/$F188,0))</x:f>
      </x:c>
      <x:c r="L188" s="63" t="str">
        <x:f>IF($A188="","",$J188/2)</x:f>
      </x:c>
      <x:c r="M188" s="63" t="str">
        <x:f>IF($A188="","",INDEX('Planejamento de Viagens'!$O$6:$O$205,MATCH($A188,'Planejamento de Viagens'!$A$6:$A$205,0)))</x:f>
      </x:c>
      <x:c r="N188" s="61" t="str">
        <x:f>IF($A188="","",COUNTIF($J$6:$J$205,"&gt;"&amp;$J188)+1)</x:f>
      </x:c>
    </x:row>
    <x:row r="189">
      <x:c r="A189" s="36"/>
      <x:c r="B189" s="67" t="str">
        <x:f>IF($A189="","",IFERROR(INDEX('Planejamento de Viagens'!$B$6:$B$205,MATCH($A189,'Planejamento de Viagens'!$A$6:$A$205,0)),""))</x:f>
      </x:c>
      <x:c r="C189" s="67" t="str">
        <x:f>IF($A189="","",IFERROR(INDEX('Planejamento de Viagens'!$C$6:$C$205,MATCH($A189,'Planejamento de Viagens'!$A$6:$A$205,0)),""))</x:f>
      </x:c>
      <x:c r="D189" s="67" t="str">
        <x:f>IF($A189="","",IFERROR(INDEX('Planejamento de Viagens'!$F$6:$F$205,MATCH($A189,'Planejamento de Viagens'!$A$6:$A$205,0)),""))</x:f>
      </x:c>
      <x:c r="E189" s="67" t="str">
        <x:f>IF($A189="","",IFERROR(INDEX('Planejamento de Viagens'!$G$6:$G$205,MATCH($A189,'Planejamento de Viagens'!$A$6:$A$205,0)),""))</x:f>
      </x:c>
      <x:c r="F189" s="61" t="str">
        <x:f>IF($A189="","",IFERROR(INDEX('Planejamento de Viagens'!$J$6:$J$205,MATCH($A189,'Planejamento de Viagens'!$A$6:$A$205,0)),0))</x:f>
      </x:c>
      <x:c r="G189" s="67" t="str">
        <x:f>IF($A189="","",IFERROR(INDEX('Planejamento de Viagens'!$K$6:$K$205,MATCH($A189,'Planejamento de Viagens'!$A$6:$A$205,0)),""))</x:f>
      </x:c>
      <x:c r="H189" s="67" t="str">
        <x:f>IF($A189="","",TEXT(INDEX('Planejamento de Viagens'!$H$6:$H$205,MATCH($A189,'Planejamento de Viagens'!$A$6:$A$205,0)),"mmm/yyyy"))</x:f>
      </x:c>
      <x:c r="I189" s="67" t="str">
        <x:f>IF($A189="","",2026)</x:f>
      </x:c>
      <x:c r="J189" s="63" t="str">
        <x:f>IF($A189="","",INDEX('Planejamento de Viagens'!$N$6:$N$205,MATCH($A189,'Planejamento de Viagens'!$A$6:$A$205,0)))</x:f>
      </x:c>
      <x:c r="K189" s="63" t="str">
        <x:f>IF($A189="","",IFERROR($J189/$F189,0))</x:f>
      </x:c>
      <x:c r="L189" s="63" t="str">
        <x:f>IF($A189="","",$J189/2)</x:f>
      </x:c>
      <x:c r="M189" s="63" t="str">
        <x:f>IF($A189="","",INDEX('Planejamento de Viagens'!$O$6:$O$205,MATCH($A189,'Planejamento de Viagens'!$A$6:$A$205,0)))</x:f>
      </x:c>
      <x:c r="N189" s="61" t="str">
        <x:f>IF($A189="","",COUNTIF($J$6:$J$205,"&gt;"&amp;$J189)+1)</x:f>
      </x:c>
    </x:row>
    <x:row r="190">
      <x:c r="A190" s="36"/>
      <x:c r="B190" s="67" t="str">
        <x:f>IF($A190="","",IFERROR(INDEX('Planejamento de Viagens'!$B$6:$B$205,MATCH($A190,'Planejamento de Viagens'!$A$6:$A$205,0)),""))</x:f>
      </x:c>
      <x:c r="C190" s="67" t="str">
        <x:f>IF($A190="","",IFERROR(INDEX('Planejamento de Viagens'!$C$6:$C$205,MATCH($A190,'Planejamento de Viagens'!$A$6:$A$205,0)),""))</x:f>
      </x:c>
      <x:c r="D190" s="67" t="str">
        <x:f>IF($A190="","",IFERROR(INDEX('Planejamento de Viagens'!$F$6:$F$205,MATCH($A190,'Planejamento de Viagens'!$A$6:$A$205,0)),""))</x:f>
      </x:c>
      <x:c r="E190" s="67" t="str">
        <x:f>IF($A190="","",IFERROR(INDEX('Planejamento de Viagens'!$G$6:$G$205,MATCH($A190,'Planejamento de Viagens'!$A$6:$A$205,0)),""))</x:f>
      </x:c>
      <x:c r="F190" s="61" t="str">
        <x:f>IF($A190="","",IFERROR(INDEX('Planejamento de Viagens'!$J$6:$J$205,MATCH($A190,'Planejamento de Viagens'!$A$6:$A$205,0)),0))</x:f>
      </x:c>
      <x:c r="G190" s="67" t="str">
        <x:f>IF($A190="","",IFERROR(INDEX('Planejamento de Viagens'!$K$6:$K$205,MATCH($A190,'Planejamento de Viagens'!$A$6:$A$205,0)),""))</x:f>
      </x:c>
      <x:c r="H190" s="67" t="str">
        <x:f>IF($A190="","",TEXT(INDEX('Planejamento de Viagens'!$H$6:$H$205,MATCH($A190,'Planejamento de Viagens'!$A$6:$A$205,0)),"mmm/yyyy"))</x:f>
      </x:c>
      <x:c r="I190" s="67" t="str">
        <x:f>IF($A190="","",2026)</x:f>
      </x:c>
      <x:c r="J190" s="63" t="str">
        <x:f>IF($A190="","",INDEX('Planejamento de Viagens'!$N$6:$N$205,MATCH($A190,'Planejamento de Viagens'!$A$6:$A$205,0)))</x:f>
      </x:c>
      <x:c r="K190" s="63" t="str">
        <x:f>IF($A190="","",IFERROR($J190/$F190,0))</x:f>
      </x:c>
      <x:c r="L190" s="63" t="str">
        <x:f>IF($A190="","",$J190/2)</x:f>
      </x:c>
      <x:c r="M190" s="63" t="str">
        <x:f>IF($A190="","",INDEX('Planejamento de Viagens'!$O$6:$O$205,MATCH($A190,'Planejamento de Viagens'!$A$6:$A$205,0)))</x:f>
      </x:c>
      <x:c r="N190" s="61" t="str">
        <x:f>IF($A190="","",COUNTIF($J$6:$J$205,"&gt;"&amp;$J190)+1)</x:f>
      </x:c>
    </x:row>
    <x:row r="191">
      <x:c r="A191" s="36"/>
      <x:c r="B191" s="67" t="str">
        <x:f>IF($A191="","",IFERROR(INDEX('Planejamento de Viagens'!$B$6:$B$205,MATCH($A191,'Planejamento de Viagens'!$A$6:$A$205,0)),""))</x:f>
      </x:c>
      <x:c r="C191" s="67" t="str">
        <x:f>IF($A191="","",IFERROR(INDEX('Planejamento de Viagens'!$C$6:$C$205,MATCH($A191,'Planejamento de Viagens'!$A$6:$A$205,0)),""))</x:f>
      </x:c>
      <x:c r="D191" s="67" t="str">
        <x:f>IF($A191="","",IFERROR(INDEX('Planejamento de Viagens'!$F$6:$F$205,MATCH($A191,'Planejamento de Viagens'!$A$6:$A$205,0)),""))</x:f>
      </x:c>
      <x:c r="E191" s="67" t="str">
        <x:f>IF($A191="","",IFERROR(INDEX('Planejamento de Viagens'!$G$6:$G$205,MATCH($A191,'Planejamento de Viagens'!$A$6:$A$205,0)),""))</x:f>
      </x:c>
      <x:c r="F191" s="61" t="str">
        <x:f>IF($A191="","",IFERROR(INDEX('Planejamento de Viagens'!$J$6:$J$205,MATCH($A191,'Planejamento de Viagens'!$A$6:$A$205,0)),0))</x:f>
      </x:c>
      <x:c r="G191" s="67" t="str">
        <x:f>IF($A191="","",IFERROR(INDEX('Planejamento de Viagens'!$K$6:$K$205,MATCH($A191,'Planejamento de Viagens'!$A$6:$A$205,0)),""))</x:f>
      </x:c>
      <x:c r="H191" s="67" t="str">
        <x:f>IF($A191="","",TEXT(INDEX('Planejamento de Viagens'!$H$6:$H$205,MATCH($A191,'Planejamento de Viagens'!$A$6:$A$205,0)),"mmm/yyyy"))</x:f>
      </x:c>
      <x:c r="I191" s="67" t="str">
        <x:f>IF($A191="","",2026)</x:f>
      </x:c>
      <x:c r="J191" s="63" t="str">
        <x:f>IF($A191="","",INDEX('Planejamento de Viagens'!$N$6:$N$205,MATCH($A191,'Planejamento de Viagens'!$A$6:$A$205,0)))</x:f>
      </x:c>
      <x:c r="K191" s="63" t="str">
        <x:f>IF($A191="","",IFERROR($J191/$F191,0))</x:f>
      </x:c>
      <x:c r="L191" s="63" t="str">
        <x:f>IF($A191="","",$J191/2)</x:f>
      </x:c>
      <x:c r="M191" s="63" t="str">
        <x:f>IF($A191="","",INDEX('Planejamento de Viagens'!$O$6:$O$205,MATCH($A191,'Planejamento de Viagens'!$A$6:$A$205,0)))</x:f>
      </x:c>
      <x:c r="N191" s="61" t="str">
        <x:f>IF($A191="","",COUNTIF($J$6:$J$205,"&gt;"&amp;$J191)+1)</x:f>
      </x:c>
    </x:row>
    <x:row r="192">
      <x:c r="A192" s="36"/>
      <x:c r="B192" s="67" t="str">
        <x:f>IF($A192="","",IFERROR(INDEX('Planejamento de Viagens'!$B$6:$B$205,MATCH($A192,'Planejamento de Viagens'!$A$6:$A$205,0)),""))</x:f>
      </x:c>
      <x:c r="C192" s="67" t="str">
        <x:f>IF($A192="","",IFERROR(INDEX('Planejamento de Viagens'!$C$6:$C$205,MATCH($A192,'Planejamento de Viagens'!$A$6:$A$205,0)),""))</x:f>
      </x:c>
      <x:c r="D192" s="67" t="str">
        <x:f>IF($A192="","",IFERROR(INDEX('Planejamento de Viagens'!$F$6:$F$205,MATCH($A192,'Planejamento de Viagens'!$A$6:$A$205,0)),""))</x:f>
      </x:c>
      <x:c r="E192" s="67" t="str">
        <x:f>IF($A192="","",IFERROR(INDEX('Planejamento de Viagens'!$G$6:$G$205,MATCH($A192,'Planejamento de Viagens'!$A$6:$A$205,0)),""))</x:f>
      </x:c>
      <x:c r="F192" s="61" t="str">
        <x:f>IF($A192="","",IFERROR(INDEX('Planejamento de Viagens'!$J$6:$J$205,MATCH($A192,'Planejamento de Viagens'!$A$6:$A$205,0)),0))</x:f>
      </x:c>
      <x:c r="G192" s="67" t="str">
        <x:f>IF($A192="","",IFERROR(INDEX('Planejamento de Viagens'!$K$6:$K$205,MATCH($A192,'Planejamento de Viagens'!$A$6:$A$205,0)),""))</x:f>
      </x:c>
      <x:c r="H192" s="67" t="str">
        <x:f>IF($A192="","",TEXT(INDEX('Planejamento de Viagens'!$H$6:$H$205,MATCH($A192,'Planejamento de Viagens'!$A$6:$A$205,0)),"mmm/yyyy"))</x:f>
      </x:c>
      <x:c r="I192" s="67" t="str">
        <x:f>IF($A192="","",2026)</x:f>
      </x:c>
      <x:c r="J192" s="63" t="str">
        <x:f>IF($A192="","",INDEX('Planejamento de Viagens'!$N$6:$N$205,MATCH($A192,'Planejamento de Viagens'!$A$6:$A$205,0)))</x:f>
      </x:c>
      <x:c r="K192" s="63" t="str">
        <x:f>IF($A192="","",IFERROR($J192/$F192,0))</x:f>
      </x:c>
      <x:c r="L192" s="63" t="str">
        <x:f>IF($A192="","",$J192/2)</x:f>
      </x:c>
      <x:c r="M192" s="63" t="str">
        <x:f>IF($A192="","",INDEX('Planejamento de Viagens'!$O$6:$O$205,MATCH($A192,'Planejamento de Viagens'!$A$6:$A$205,0)))</x:f>
      </x:c>
      <x:c r="N192" s="61" t="str">
        <x:f>IF($A192="","",COUNTIF($J$6:$J$205,"&gt;"&amp;$J192)+1)</x:f>
      </x:c>
    </x:row>
    <x:row r="193">
      <x:c r="A193" s="36"/>
      <x:c r="B193" s="67" t="str">
        <x:f>IF($A193="","",IFERROR(INDEX('Planejamento de Viagens'!$B$6:$B$205,MATCH($A193,'Planejamento de Viagens'!$A$6:$A$205,0)),""))</x:f>
      </x:c>
      <x:c r="C193" s="67" t="str">
        <x:f>IF($A193="","",IFERROR(INDEX('Planejamento de Viagens'!$C$6:$C$205,MATCH($A193,'Planejamento de Viagens'!$A$6:$A$205,0)),""))</x:f>
      </x:c>
      <x:c r="D193" s="67" t="str">
        <x:f>IF($A193="","",IFERROR(INDEX('Planejamento de Viagens'!$F$6:$F$205,MATCH($A193,'Planejamento de Viagens'!$A$6:$A$205,0)),""))</x:f>
      </x:c>
      <x:c r="E193" s="67" t="str">
        <x:f>IF($A193="","",IFERROR(INDEX('Planejamento de Viagens'!$G$6:$G$205,MATCH($A193,'Planejamento de Viagens'!$A$6:$A$205,0)),""))</x:f>
      </x:c>
      <x:c r="F193" s="61" t="str">
        <x:f>IF($A193="","",IFERROR(INDEX('Planejamento de Viagens'!$J$6:$J$205,MATCH($A193,'Planejamento de Viagens'!$A$6:$A$205,0)),0))</x:f>
      </x:c>
      <x:c r="G193" s="67" t="str">
        <x:f>IF($A193="","",IFERROR(INDEX('Planejamento de Viagens'!$K$6:$K$205,MATCH($A193,'Planejamento de Viagens'!$A$6:$A$205,0)),""))</x:f>
      </x:c>
      <x:c r="H193" s="67" t="str">
        <x:f>IF($A193="","",TEXT(INDEX('Planejamento de Viagens'!$H$6:$H$205,MATCH($A193,'Planejamento de Viagens'!$A$6:$A$205,0)),"mmm/yyyy"))</x:f>
      </x:c>
      <x:c r="I193" s="67" t="str">
        <x:f>IF($A193="","",2026)</x:f>
      </x:c>
      <x:c r="J193" s="63" t="str">
        <x:f>IF($A193="","",INDEX('Planejamento de Viagens'!$N$6:$N$205,MATCH($A193,'Planejamento de Viagens'!$A$6:$A$205,0)))</x:f>
      </x:c>
      <x:c r="K193" s="63" t="str">
        <x:f>IF($A193="","",IFERROR($J193/$F193,0))</x:f>
      </x:c>
      <x:c r="L193" s="63" t="str">
        <x:f>IF($A193="","",$J193/2)</x:f>
      </x:c>
      <x:c r="M193" s="63" t="str">
        <x:f>IF($A193="","",INDEX('Planejamento de Viagens'!$O$6:$O$205,MATCH($A193,'Planejamento de Viagens'!$A$6:$A$205,0)))</x:f>
      </x:c>
      <x:c r="N193" s="61" t="str">
        <x:f>IF($A193="","",COUNTIF($J$6:$J$205,"&gt;"&amp;$J193)+1)</x:f>
      </x:c>
    </x:row>
    <x:row r="194">
      <x:c r="A194" s="36"/>
      <x:c r="B194" s="67" t="str">
        <x:f>IF($A194="","",IFERROR(INDEX('Planejamento de Viagens'!$B$6:$B$205,MATCH($A194,'Planejamento de Viagens'!$A$6:$A$205,0)),""))</x:f>
      </x:c>
      <x:c r="C194" s="67" t="str">
        <x:f>IF($A194="","",IFERROR(INDEX('Planejamento de Viagens'!$C$6:$C$205,MATCH($A194,'Planejamento de Viagens'!$A$6:$A$205,0)),""))</x:f>
      </x:c>
      <x:c r="D194" s="67" t="str">
        <x:f>IF($A194="","",IFERROR(INDEX('Planejamento de Viagens'!$F$6:$F$205,MATCH($A194,'Planejamento de Viagens'!$A$6:$A$205,0)),""))</x:f>
      </x:c>
      <x:c r="E194" s="67" t="str">
        <x:f>IF($A194="","",IFERROR(INDEX('Planejamento de Viagens'!$G$6:$G$205,MATCH($A194,'Planejamento de Viagens'!$A$6:$A$205,0)),""))</x:f>
      </x:c>
      <x:c r="F194" s="61" t="str">
        <x:f>IF($A194="","",IFERROR(INDEX('Planejamento de Viagens'!$J$6:$J$205,MATCH($A194,'Planejamento de Viagens'!$A$6:$A$205,0)),0))</x:f>
      </x:c>
      <x:c r="G194" s="67" t="str">
        <x:f>IF($A194="","",IFERROR(INDEX('Planejamento de Viagens'!$K$6:$K$205,MATCH($A194,'Planejamento de Viagens'!$A$6:$A$205,0)),""))</x:f>
      </x:c>
      <x:c r="H194" s="67" t="str">
        <x:f>IF($A194="","",TEXT(INDEX('Planejamento de Viagens'!$H$6:$H$205,MATCH($A194,'Planejamento de Viagens'!$A$6:$A$205,0)),"mmm/yyyy"))</x:f>
      </x:c>
      <x:c r="I194" s="67" t="str">
        <x:f>IF($A194="","",2026)</x:f>
      </x:c>
      <x:c r="J194" s="63" t="str">
        <x:f>IF($A194="","",INDEX('Planejamento de Viagens'!$N$6:$N$205,MATCH($A194,'Planejamento de Viagens'!$A$6:$A$205,0)))</x:f>
      </x:c>
      <x:c r="K194" s="63" t="str">
        <x:f>IF($A194="","",IFERROR($J194/$F194,0))</x:f>
      </x:c>
      <x:c r="L194" s="63" t="str">
        <x:f>IF($A194="","",$J194/2)</x:f>
      </x:c>
      <x:c r="M194" s="63" t="str">
        <x:f>IF($A194="","",INDEX('Planejamento de Viagens'!$O$6:$O$205,MATCH($A194,'Planejamento de Viagens'!$A$6:$A$205,0)))</x:f>
      </x:c>
      <x:c r="N194" s="61" t="str">
        <x:f>IF($A194="","",COUNTIF($J$6:$J$205,"&gt;"&amp;$J194)+1)</x:f>
      </x:c>
    </x:row>
    <x:row r="195">
      <x:c r="A195" s="36"/>
      <x:c r="B195" s="67" t="str">
        <x:f>IF($A195="","",IFERROR(INDEX('Planejamento de Viagens'!$B$6:$B$205,MATCH($A195,'Planejamento de Viagens'!$A$6:$A$205,0)),""))</x:f>
      </x:c>
      <x:c r="C195" s="67" t="str">
        <x:f>IF($A195="","",IFERROR(INDEX('Planejamento de Viagens'!$C$6:$C$205,MATCH($A195,'Planejamento de Viagens'!$A$6:$A$205,0)),""))</x:f>
      </x:c>
      <x:c r="D195" s="67" t="str">
        <x:f>IF($A195="","",IFERROR(INDEX('Planejamento de Viagens'!$F$6:$F$205,MATCH($A195,'Planejamento de Viagens'!$A$6:$A$205,0)),""))</x:f>
      </x:c>
      <x:c r="E195" s="67" t="str">
        <x:f>IF($A195="","",IFERROR(INDEX('Planejamento de Viagens'!$G$6:$G$205,MATCH($A195,'Planejamento de Viagens'!$A$6:$A$205,0)),""))</x:f>
      </x:c>
      <x:c r="F195" s="61" t="str">
        <x:f>IF($A195="","",IFERROR(INDEX('Planejamento de Viagens'!$J$6:$J$205,MATCH($A195,'Planejamento de Viagens'!$A$6:$A$205,0)),0))</x:f>
      </x:c>
      <x:c r="G195" s="67" t="str">
        <x:f>IF($A195="","",IFERROR(INDEX('Planejamento de Viagens'!$K$6:$K$205,MATCH($A195,'Planejamento de Viagens'!$A$6:$A$205,0)),""))</x:f>
      </x:c>
      <x:c r="H195" s="67" t="str">
        <x:f>IF($A195="","",TEXT(INDEX('Planejamento de Viagens'!$H$6:$H$205,MATCH($A195,'Planejamento de Viagens'!$A$6:$A$205,0)),"mmm/yyyy"))</x:f>
      </x:c>
      <x:c r="I195" s="67" t="str">
        <x:f>IF($A195="","",2026)</x:f>
      </x:c>
      <x:c r="J195" s="63" t="str">
        <x:f>IF($A195="","",INDEX('Planejamento de Viagens'!$N$6:$N$205,MATCH($A195,'Planejamento de Viagens'!$A$6:$A$205,0)))</x:f>
      </x:c>
      <x:c r="K195" s="63" t="str">
        <x:f>IF($A195="","",IFERROR($J195/$F195,0))</x:f>
      </x:c>
      <x:c r="L195" s="63" t="str">
        <x:f>IF($A195="","",$J195/2)</x:f>
      </x:c>
      <x:c r="M195" s="63" t="str">
        <x:f>IF($A195="","",INDEX('Planejamento de Viagens'!$O$6:$O$205,MATCH($A195,'Planejamento de Viagens'!$A$6:$A$205,0)))</x:f>
      </x:c>
      <x:c r="N195" s="61" t="str">
        <x:f>IF($A195="","",COUNTIF($J$6:$J$205,"&gt;"&amp;$J195)+1)</x:f>
      </x:c>
    </x:row>
    <x:row r="196">
      <x:c r="A196" s="36"/>
      <x:c r="B196" s="67" t="str">
        <x:f>IF($A196="","",IFERROR(INDEX('Planejamento de Viagens'!$B$6:$B$205,MATCH($A196,'Planejamento de Viagens'!$A$6:$A$205,0)),""))</x:f>
      </x:c>
      <x:c r="C196" s="67" t="str">
        <x:f>IF($A196="","",IFERROR(INDEX('Planejamento de Viagens'!$C$6:$C$205,MATCH($A196,'Planejamento de Viagens'!$A$6:$A$205,0)),""))</x:f>
      </x:c>
      <x:c r="D196" s="67" t="str">
        <x:f>IF($A196="","",IFERROR(INDEX('Planejamento de Viagens'!$F$6:$F$205,MATCH($A196,'Planejamento de Viagens'!$A$6:$A$205,0)),""))</x:f>
      </x:c>
      <x:c r="E196" s="67" t="str">
        <x:f>IF($A196="","",IFERROR(INDEX('Planejamento de Viagens'!$G$6:$G$205,MATCH($A196,'Planejamento de Viagens'!$A$6:$A$205,0)),""))</x:f>
      </x:c>
      <x:c r="F196" s="61" t="str">
        <x:f>IF($A196="","",IFERROR(INDEX('Planejamento de Viagens'!$J$6:$J$205,MATCH($A196,'Planejamento de Viagens'!$A$6:$A$205,0)),0))</x:f>
      </x:c>
      <x:c r="G196" s="67" t="str">
        <x:f>IF($A196="","",IFERROR(INDEX('Planejamento de Viagens'!$K$6:$K$205,MATCH($A196,'Planejamento de Viagens'!$A$6:$A$205,0)),""))</x:f>
      </x:c>
      <x:c r="H196" s="67" t="str">
        <x:f>IF($A196="","",TEXT(INDEX('Planejamento de Viagens'!$H$6:$H$205,MATCH($A196,'Planejamento de Viagens'!$A$6:$A$205,0)),"mmm/yyyy"))</x:f>
      </x:c>
      <x:c r="I196" s="67" t="str">
        <x:f>IF($A196="","",2026)</x:f>
      </x:c>
      <x:c r="J196" s="63" t="str">
        <x:f>IF($A196="","",INDEX('Planejamento de Viagens'!$N$6:$N$205,MATCH($A196,'Planejamento de Viagens'!$A$6:$A$205,0)))</x:f>
      </x:c>
      <x:c r="K196" s="63" t="str">
        <x:f>IF($A196="","",IFERROR($J196/$F196,0))</x:f>
      </x:c>
      <x:c r="L196" s="63" t="str">
        <x:f>IF($A196="","",$J196/2)</x:f>
      </x:c>
      <x:c r="M196" s="63" t="str">
        <x:f>IF($A196="","",INDEX('Planejamento de Viagens'!$O$6:$O$205,MATCH($A196,'Planejamento de Viagens'!$A$6:$A$205,0)))</x:f>
      </x:c>
      <x:c r="N196" s="61" t="str">
        <x:f>IF($A196="","",COUNTIF($J$6:$J$205,"&gt;"&amp;$J196)+1)</x:f>
      </x:c>
    </x:row>
    <x:row r="197">
      <x:c r="A197" s="36"/>
      <x:c r="B197" s="67" t="str">
        <x:f>IF($A197="","",IFERROR(INDEX('Planejamento de Viagens'!$B$6:$B$205,MATCH($A197,'Planejamento de Viagens'!$A$6:$A$205,0)),""))</x:f>
      </x:c>
      <x:c r="C197" s="67" t="str">
        <x:f>IF($A197="","",IFERROR(INDEX('Planejamento de Viagens'!$C$6:$C$205,MATCH($A197,'Planejamento de Viagens'!$A$6:$A$205,0)),""))</x:f>
      </x:c>
      <x:c r="D197" s="67" t="str">
        <x:f>IF($A197="","",IFERROR(INDEX('Planejamento de Viagens'!$F$6:$F$205,MATCH($A197,'Planejamento de Viagens'!$A$6:$A$205,0)),""))</x:f>
      </x:c>
      <x:c r="E197" s="67" t="str">
        <x:f>IF($A197="","",IFERROR(INDEX('Planejamento de Viagens'!$G$6:$G$205,MATCH($A197,'Planejamento de Viagens'!$A$6:$A$205,0)),""))</x:f>
      </x:c>
      <x:c r="F197" s="61" t="str">
        <x:f>IF($A197="","",IFERROR(INDEX('Planejamento de Viagens'!$J$6:$J$205,MATCH($A197,'Planejamento de Viagens'!$A$6:$A$205,0)),0))</x:f>
      </x:c>
      <x:c r="G197" s="67" t="str">
        <x:f>IF($A197="","",IFERROR(INDEX('Planejamento de Viagens'!$K$6:$K$205,MATCH($A197,'Planejamento de Viagens'!$A$6:$A$205,0)),""))</x:f>
      </x:c>
      <x:c r="H197" s="67" t="str">
        <x:f>IF($A197="","",TEXT(INDEX('Planejamento de Viagens'!$H$6:$H$205,MATCH($A197,'Planejamento de Viagens'!$A$6:$A$205,0)),"mmm/yyyy"))</x:f>
      </x:c>
      <x:c r="I197" s="67" t="str">
        <x:f>IF($A197="","",2026)</x:f>
      </x:c>
      <x:c r="J197" s="63" t="str">
        <x:f>IF($A197="","",INDEX('Planejamento de Viagens'!$N$6:$N$205,MATCH($A197,'Planejamento de Viagens'!$A$6:$A$205,0)))</x:f>
      </x:c>
      <x:c r="K197" s="63" t="str">
        <x:f>IF($A197="","",IFERROR($J197/$F197,0))</x:f>
      </x:c>
      <x:c r="L197" s="63" t="str">
        <x:f>IF($A197="","",$J197/2)</x:f>
      </x:c>
      <x:c r="M197" s="63" t="str">
        <x:f>IF($A197="","",INDEX('Planejamento de Viagens'!$O$6:$O$205,MATCH($A197,'Planejamento de Viagens'!$A$6:$A$205,0)))</x:f>
      </x:c>
      <x:c r="N197" s="61" t="str">
        <x:f>IF($A197="","",COUNTIF($J$6:$J$205,"&gt;"&amp;$J197)+1)</x:f>
      </x:c>
    </x:row>
    <x:row r="198">
      <x:c r="A198" s="36"/>
      <x:c r="B198" s="67" t="str">
        <x:f>IF($A198="","",IFERROR(INDEX('Planejamento de Viagens'!$B$6:$B$205,MATCH($A198,'Planejamento de Viagens'!$A$6:$A$205,0)),""))</x:f>
      </x:c>
      <x:c r="C198" s="67" t="str">
        <x:f>IF($A198="","",IFERROR(INDEX('Planejamento de Viagens'!$C$6:$C$205,MATCH($A198,'Planejamento de Viagens'!$A$6:$A$205,0)),""))</x:f>
      </x:c>
      <x:c r="D198" s="67" t="str">
        <x:f>IF($A198="","",IFERROR(INDEX('Planejamento de Viagens'!$F$6:$F$205,MATCH($A198,'Planejamento de Viagens'!$A$6:$A$205,0)),""))</x:f>
      </x:c>
      <x:c r="E198" s="67" t="str">
        <x:f>IF($A198="","",IFERROR(INDEX('Planejamento de Viagens'!$G$6:$G$205,MATCH($A198,'Planejamento de Viagens'!$A$6:$A$205,0)),""))</x:f>
      </x:c>
      <x:c r="F198" s="61" t="str">
        <x:f>IF($A198="","",IFERROR(INDEX('Planejamento de Viagens'!$J$6:$J$205,MATCH($A198,'Planejamento de Viagens'!$A$6:$A$205,0)),0))</x:f>
      </x:c>
      <x:c r="G198" s="67" t="str">
        <x:f>IF($A198="","",IFERROR(INDEX('Planejamento de Viagens'!$K$6:$K$205,MATCH($A198,'Planejamento de Viagens'!$A$6:$A$205,0)),""))</x:f>
      </x:c>
      <x:c r="H198" s="67" t="str">
        <x:f>IF($A198="","",TEXT(INDEX('Planejamento de Viagens'!$H$6:$H$205,MATCH($A198,'Planejamento de Viagens'!$A$6:$A$205,0)),"mmm/yyyy"))</x:f>
      </x:c>
      <x:c r="I198" s="67" t="str">
        <x:f>IF($A198="","",2026)</x:f>
      </x:c>
      <x:c r="J198" s="63" t="str">
        <x:f>IF($A198="","",INDEX('Planejamento de Viagens'!$N$6:$N$205,MATCH($A198,'Planejamento de Viagens'!$A$6:$A$205,0)))</x:f>
      </x:c>
      <x:c r="K198" s="63" t="str">
        <x:f>IF($A198="","",IFERROR($J198/$F198,0))</x:f>
      </x:c>
      <x:c r="L198" s="63" t="str">
        <x:f>IF($A198="","",$J198/2)</x:f>
      </x:c>
      <x:c r="M198" s="63" t="str">
        <x:f>IF($A198="","",INDEX('Planejamento de Viagens'!$O$6:$O$205,MATCH($A198,'Planejamento de Viagens'!$A$6:$A$205,0)))</x:f>
      </x:c>
      <x:c r="N198" s="61" t="str">
        <x:f>IF($A198="","",COUNTIF($J$6:$J$205,"&gt;"&amp;$J198)+1)</x:f>
      </x:c>
    </x:row>
    <x:row r="199">
      <x:c r="A199" s="36"/>
      <x:c r="B199" s="67" t="str">
        <x:f>IF($A199="","",IFERROR(INDEX('Planejamento de Viagens'!$B$6:$B$205,MATCH($A199,'Planejamento de Viagens'!$A$6:$A$205,0)),""))</x:f>
      </x:c>
      <x:c r="C199" s="67" t="str">
        <x:f>IF($A199="","",IFERROR(INDEX('Planejamento de Viagens'!$C$6:$C$205,MATCH($A199,'Planejamento de Viagens'!$A$6:$A$205,0)),""))</x:f>
      </x:c>
      <x:c r="D199" s="67" t="str">
        <x:f>IF($A199="","",IFERROR(INDEX('Planejamento de Viagens'!$F$6:$F$205,MATCH($A199,'Planejamento de Viagens'!$A$6:$A$205,0)),""))</x:f>
      </x:c>
      <x:c r="E199" s="67" t="str">
        <x:f>IF($A199="","",IFERROR(INDEX('Planejamento de Viagens'!$G$6:$G$205,MATCH($A199,'Planejamento de Viagens'!$A$6:$A$205,0)),""))</x:f>
      </x:c>
      <x:c r="F199" s="61" t="str">
        <x:f>IF($A199="","",IFERROR(INDEX('Planejamento de Viagens'!$J$6:$J$205,MATCH($A199,'Planejamento de Viagens'!$A$6:$A$205,0)),0))</x:f>
      </x:c>
      <x:c r="G199" s="67" t="str">
        <x:f>IF($A199="","",IFERROR(INDEX('Planejamento de Viagens'!$K$6:$K$205,MATCH($A199,'Planejamento de Viagens'!$A$6:$A$205,0)),""))</x:f>
      </x:c>
      <x:c r="H199" s="67" t="str">
        <x:f>IF($A199="","",TEXT(INDEX('Planejamento de Viagens'!$H$6:$H$205,MATCH($A199,'Planejamento de Viagens'!$A$6:$A$205,0)),"mmm/yyyy"))</x:f>
      </x:c>
      <x:c r="I199" s="67" t="str">
        <x:f>IF($A199="","",2026)</x:f>
      </x:c>
      <x:c r="J199" s="63" t="str">
        <x:f>IF($A199="","",INDEX('Planejamento de Viagens'!$N$6:$N$205,MATCH($A199,'Planejamento de Viagens'!$A$6:$A$205,0)))</x:f>
      </x:c>
      <x:c r="K199" s="63" t="str">
        <x:f>IF($A199="","",IFERROR($J199/$F199,0))</x:f>
      </x:c>
      <x:c r="L199" s="63" t="str">
        <x:f>IF($A199="","",$J199/2)</x:f>
      </x:c>
      <x:c r="M199" s="63" t="str">
        <x:f>IF($A199="","",INDEX('Planejamento de Viagens'!$O$6:$O$205,MATCH($A199,'Planejamento de Viagens'!$A$6:$A$205,0)))</x:f>
      </x:c>
      <x:c r="N199" s="61" t="str">
        <x:f>IF($A199="","",COUNTIF($J$6:$J$205,"&gt;"&amp;$J199)+1)</x:f>
      </x:c>
    </x:row>
    <x:row r="200">
      <x:c r="A200" s="36"/>
      <x:c r="B200" s="67" t="str">
        <x:f>IF($A200="","",IFERROR(INDEX('Planejamento de Viagens'!$B$6:$B$205,MATCH($A200,'Planejamento de Viagens'!$A$6:$A$205,0)),""))</x:f>
      </x:c>
      <x:c r="C200" s="67" t="str">
        <x:f>IF($A200="","",IFERROR(INDEX('Planejamento de Viagens'!$C$6:$C$205,MATCH($A200,'Planejamento de Viagens'!$A$6:$A$205,0)),""))</x:f>
      </x:c>
      <x:c r="D200" s="67" t="str">
        <x:f>IF($A200="","",IFERROR(INDEX('Planejamento de Viagens'!$F$6:$F$205,MATCH($A200,'Planejamento de Viagens'!$A$6:$A$205,0)),""))</x:f>
      </x:c>
      <x:c r="E200" s="67" t="str">
        <x:f>IF($A200="","",IFERROR(INDEX('Planejamento de Viagens'!$G$6:$G$205,MATCH($A200,'Planejamento de Viagens'!$A$6:$A$205,0)),""))</x:f>
      </x:c>
      <x:c r="F200" s="61" t="str">
        <x:f>IF($A200="","",IFERROR(INDEX('Planejamento de Viagens'!$J$6:$J$205,MATCH($A200,'Planejamento de Viagens'!$A$6:$A$205,0)),0))</x:f>
      </x:c>
      <x:c r="G200" s="67" t="str">
        <x:f>IF($A200="","",IFERROR(INDEX('Planejamento de Viagens'!$K$6:$K$205,MATCH($A200,'Planejamento de Viagens'!$A$6:$A$205,0)),""))</x:f>
      </x:c>
      <x:c r="H200" s="67" t="str">
        <x:f>IF($A200="","",TEXT(INDEX('Planejamento de Viagens'!$H$6:$H$205,MATCH($A200,'Planejamento de Viagens'!$A$6:$A$205,0)),"mmm/yyyy"))</x:f>
      </x:c>
      <x:c r="I200" s="67" t="str">
        <x:f>IF($A200="","",2026)</x:f>
      </x:c>
      <x:c r="J200" s="63" t="str">
        <x:f>IF($A200="","",INDEX('Planejamento de Viagens'!$N$6:$N$205,MATCH($A200,'Planejamento de Viagens'!$A$6:$A$205,0)))</x:f>
      </x:c>
      <x:c r="K200" s="63" t="str">
        <x:f>IF($A200="","",IFERROR($J200/$F200,0))</x:f>
      </x:c>
      <x:c r="L200" s="63" t="str">
        <x:f>IF($A200="","",$J200/2)</x:f>
      </x:c>
      <x:c r="M200" s="63" t="str">
        <x:f>IF($A200="","",INDEX('Planejamento de Viagens'!$O$6:$O$205,MATCH($A200,'Planejamento de Viagens'!$A$6:$A$205,0)))</x:f>
      </x:c>
      <x:c r="N200" s="61" t="str">
        <x:f>IF($A200="","",COUNTIF($J$6:$J$205,"&gt;"&amp;$J200)+1)</x:f>
      </x:c>
    </x:row>
    <x:row r="201">
      <x:c r="A201" s="36"/>
      <x:c r="B201" s="67" t="str">
        <x:f>IF($A201="","",IFERROR(INDEX('Planejamento de Viagens'!$B$6:$B$205,MATCH($A201,'Planejamento de Viagens'!$A$6:$A$205,0)),""))</x:f>
      </x:c>
      <x:c r="C201" s="67" t="str">
        <x:f>IF($A201="","",IFERROR(INDEX('Planejamento de Viagens'!$C$6:$C$205,MATCH($A201,'Planejamento de Viagens'!$A$6:$A$205,0)),""))</x:f>
      </x:c>
      <x:c r="D201" s="67" t="str">
        <x:f>IF($A201="","",IFERROR(INDEX('Planejamento de Viagens'!$F$6:$F$205,MATCH($A201,'Planejamento de Viagens'!$A$6:$A$205,0)),""))</x:f>
      </x:c>
      <x:c r="E201" s="67" t="str">
        <x:f>IF($A201="","",IFERROR(INDEX('Planejamento de Viagens'!$G$6:$G$205,MATCH($A201,'Planejamento de Viagens'!$A$6:$A$205,0)),""))</x:f>
      </x:c>
      <x:c r="F201" s="61" t="str">
        <x:f>IF($A201="","",IFERROR(INDEX('Planejamento de Viagens'!$J$6:$J$205,MATCH($A201,'Planejamento de Viagens'!$A$6:$A$205,0)),0))</x:f>
      </x:c>
      <x:c r="G201" s="67" t="str">
        <x:f>IF($A201="","",IFERROR(INDEX('Planejamento de Viagens'!$K$6:$K$205,MATCH($A201,'Planejamento de Viagens'!$A$6:$A$205,0)),""))</x:f>
      </x:c>
      <x:c r="H201" s="67" t="str">
        <x:f>IF($A201="","",TEXT(INDEX('Planejamento de Viagens'!$H$6:$H$205,MATCH($A201,'Planejamento de Viagens'!$A$6:$A$205,0)),"mmm/yyyy"))</x:f>
      </x:c>
      <x:c r="I201" s="67" t="str">
        <x:f>IF($A201="","",2026)</x:f>
      </x:c>
      <x:c r="J201" s="63" t="str">
        <x:f>IF($A201="","",INDEX('Planejamento de Viagens'!$N$6:$N$205,MATCH($A201,'Planejamento de Viagens'!$A$6:$A$205,0)))</x:f>
      </x:c>
      <x:c r="K201" s="63" t="str">
        <x:f>IF($A201="","",IFERROR($J201/$F201,0))</x:f>
      </x:c>
      <x:c r="L201" s="63" t="str">
        <x:f>IF($A201="","",$J201/2)</x:f>
      </x:c>
      <x:c r="M201" s="63" t="str">
        <x:f>IF($A201="","",INDEX('Planejamento de Viagens'!$O$6:$O$205,MATCH($A201,'Planejamento de Viagens'!$A$6:$A$205,0)))</x:f>
      </x:c>
      <x:c r="N201" s="61" t="str">
        <x:f>IF($A201="","",COUNTIF($J$6:$J$205,"&gt;"&amp;$J201)+1)</x:f>
      </x:c>
    </x:row>
    <x:row r="202">
      <x:c r="A202" s="36"/>
      <x:c r="B202" s="67" t="str">
        <x:f>IF($A202="","",IFERROR(INDEX('Planejamento de Viagens'!$B$6:$B$205,MATCH($A202,'Planejamento de Viagens'!$A$6:$A$205,0)),""))</x:f>
      </x:c>
      <x:c r="C202" s="67" t="str">
        <x:f>IF($A202="","",IFERROR(INDEX('Planejamento de Viagens'!$C$6:$C$205,MATCH($A202,'Planejamento de Viagens'!$A$6:$A$205,0)),""))</x:f>
      </x:c>
      <x:c r="D202" s="67" t="str">
        <x:f>IF($A202="","",IFERROR(INDEX('Planejamento de Viagens'!$F$6:$F$205,MATCH($A202,'Planejamento de Viagens'!$A$6:$A$205,0)),""))</x:f>
      </x:c>
      <x:c r="E202" s="67" t="str">
        <x:f>IF($A202="","",IFERROR(INDEX('Planejamento de Viagens'!$G$6:$G$205,MATCH($A202,'Planejamento de Viagens'!$A$6:$A$205,0)),""))</x:f>
      </x:c>
      <x:c r="F202" s="61" t="str">
        <x:f>IF($A202="","",IFERROR(INDEX('Planejamento de Viagens'!$J$6:$J$205,MATCH($A202,'Planejamento de Viagens'!$A$6:$A$205,0)),0))</x:f>
      </x:c>
      <x:c r="G202" s="67" t="str">
        <x:f>IF($A202="","",IFERROR(INDEX('Planejamento de Viagens'!$K$6:$K$205,MATCH($A202,'Planejamento de Viagens'!$A$6:$A$205,0)),""))</x:f>
      </x:c>
      <x:c r="H202" s="67" t="str">
        <x:f>IF($A202="","",TEXT(INDEX('Planejamento de Viagens'!$H$6:$H$205,MATCH($A202,'Planejamento de Viagens'!$A$6:$A$205,0)),"mmm/yyyy"))</x:f>
      </x:c>
      <x:c r="I202" s="67" t="str">
        <x:f>IF($A202="","",2026)</x:f>
      </x:c>
      <x:c r="J202" s="63" t="str">
        <x:f>IF($A202="","",INDEX('Planejamento de Viagens'!$N$6:$N$205,MATCH($A202,'Planejamento de Viagens'!$A$6:$A$205,0)))</x:f>
      </x:c>
      <x:c r="K202" s="63" t="str">
        <x:f>IF($A202="","",IFERROR($J202/$F202,0))</x:f>
      </x:c>
      <x:c r="L202" s="63" t="str">
        <x:f>IF($A202="","",$J202/2)</x:f>
      </x:c>
      <x:c r="M202" s="63" t="str">
        <x:f>IF($A202="","",INDEX('Planejamento de Viagens'!$O$6:$O$205,MATCH($A202,'Planejamento de Viagens'!$A$6:$A$205,0)))</x:f>
      </x:c>
      <x:c r="N202" s="61" t="str">
        <x:f>IF($A202="","",COUNTIF($J$6:$J$205,"&gt;"&amp;$J202)+1)</x:f>
      </x:c>
    </x:row>
    <x:row r="203">
      <x:c r="A203" s="36"/>
      <x:c r="B203" s="67" t="str">
        <x:f>IF($A203="","",IFERROR(INDEX('Planejamento de Viagens'!$B$6:$B$205,MATCH($A203,'Planejamento de Viagens'!$A$6:$A$205,0)),""))</x:f>
      </x:c>
      <x:c r="C203" s="67" t="str">
        <x:f>IF($A203="","",IFERROR(INDEX('Planejamento de Viagens'!$C$6:$C$205,MATCH($A203,'Planejamento de Viagens'!$A$6:$A$205,0)),""))</x:f>
      </x:c>
      <x:c r="D203" s="67" t="str">
        <x:f>IF($A203="","",IFERROR(INDEX('Planejamento de Viagens'!$F$6:$F$205,MATCH($A203,'Planejamento de Viagens'!$A$6:$A$205,0)),""))</x:f>
      </x:c>
      <x:c r="E203" s="67" t="str">
        <x:f>IF($A203="","",IFERROR(INDEX('Planejamento de Viagens'!$G$6:$G$205,MATCH($A203,'Planejamento de Viagens'!$A$6:$A$205,0)),""))</x:f>
      </x:c>
      <x:c r="F203" s="61" t="str">
        <x:f>IF($A203="","",IFERROR(INDEX('Planejamento de Viagens'!$J$6:$J$205,MATCH($A203,'Planejamento de Viagens'!$A$6:$A$205,0)),0))</x:f>
      </x:c>
      <x:c r="G203" s="67" t="str">
        <x:f>IF($A203="","",IFERROR(INDEX('Planejamento de Viagens'!$K$6:$K$205,MATCH($A203,'Planejamento de Viagens'!$A$6:$A$205,0)),""))</x:f>
      </x:c>
      <x:c r="H203" s="67" t="str">
        <x:f>IF($A203="","",TEXT(INDEX('Planejamento de Viagens'!$H$6:$H$205,MATCH($A203,'Planejamento de Viagens'!$A$6:$A$205,0)),"mmm/yyyy"))</x:f>
      </x:c>
      <x:c r="I203" s="67" t="str">
        <x:f>IF($A203="","",2026)</x:f>
      </x:c>
      <x:c r="J203" s="63" t="str">
        <x:f>IF($A203="","",INDEX('Planejamento de Viagens'!$N$6:$N$205,MATCH($A203,'Planejamento de Viagens'!$A$6:$A$205,0)))</x:f>
      </x:c>
      <x:c r="K203" s="63" t="str">
        <x:f>IF($A203="","",IFERROR($J203/$F203,0))</x:f>
      </x:c>
      <x:c r="L203" s="63" t="str">
        <x:f>IF($A203="","",$J203/2)</x:f>
      </x:c>
      <x:c r="M203" s="63" t="str">
        <x:f>IF($A203="","",INDEX('Planejamento de Viagens'!$O$6:$O$205,MATCH($A203,'Planejamento de Viagens'!$A$6:$A$205,0)))</x:f>
      </x:c>
      <x:c r="N203" s="61" t="str">
        <x:f>IF($A203="","",COUNTIF($J$6:$J$205,"&gt;"&amp;$J203)+1)</x:f>
      </x:c>
    </x:row>
    <x:row r="204">
      <x:c r="A204" s="36"/>
      <x:c r="B204" s="67" t="str">
        <x:f>IF($A204="","",IFERROR(INDEX('Planejamento de Viagens'!$B$6:$B$205,MATCH($A204,'Planejamento de Viagens'!$A$6:$A$205,0)),""))</x:f>
      </x:c>
      <x:c r="C204" s="67" t="str">
        <x:f>IF($A204="","",IFERROR(INDEX('Planejamento de Viagens'!$C$6:$C$205,MATCH($A204,'Planejamento de Viagens'!$A$6:$A$205,0)),""))</x:f>
      </x:c>
      <x:c r="D204" s="67" t="str">
        <x:f>IF($A204="","",IFERROR(INDEX('Planejamento de Viagens'!$F$6:$F$205,MATCH($A204,'Planejamento de Viagens'!$A$6:$A$205,0)),""))</x:f>
      </x:c>
      <x:c r="E204" s="67" t="str">
        <x:f>IF($A204="","",IFERROR(INDEX('Planejamento de Viagens'!$G$6:$G$205,MATCH($A204,'Planejamento de Viagens'!$A$6:$A$205,0)),""))</x:f>
      </x:c>
      <x:c r="F204" s="61" t="str">
        <x:f>IF($A204="","",IFERROR(INDEX('Planejamento de Viagens'!$J$6:$J$205,MATCH($A204,'Planejamento de Viagens'!$A$6:$A$205,0)),0))</x:f>
      </x:c>
      <x:c r="G204" s="67" t="str">
        <x:f>IF($A204="","",IFERROR(INDEX('Planejamento de Viagens'!$K$6:$K$205,MATCH($A204,'Planejamento de Viagens'!$A$6:$A$205,0)),""))</x:f>
      </x:c>
      <x:c r="H204" s="67" t="str">
        <x:f>IF($A204="","",TEXT(INDEX('Planejamento de Viagens'!$H$6:$H$205,MATCH($A204,'Planejamento de Viagens'!$A$6:$A$205,0)),"mmm/yyyy"))</x:f>
      </x:c>
      <x:c r="I204" s="67" t="str">
        <x:f>IF($A204="","",2026)</x:f>
      </x:c>
      <x:c r="J204" s="63" t="str">
        <x:f>IF($A204="","",INDEX('Planejamento de Viagens'!$N$6:$N$205,MATCH($A204,'Planejamento de Viagens'!$A$6:$A$205,0)))</x:f>
      </x:c>
      <x:c r="K204" s="63" t="str">
        <x:f>IF($A204="","",IFERROR($J204/$F204,0))</x:f>
      </x:c>
      <x:c r="L204" s="63" t="str">
        <x:f>IF($A204="","",$J204/2)</x:f>
      </x:c>
      <x:c r="M204" s="63" t="str">
        <x:f>IF($A204="","",INDEX('Planejamento de Viagens'!$O$6:$O$205,MATCH($A204,'Planejamento de Viagens'!$A$6:$A$205,0)))</x:f>
      </x:c>
      <x:c r="N204" s="61" t="str">
        <x:f>IF($A204="","",COUNTIF($J$6:$J$205,"&gt;"&amp;$J204)+1)</x:f>
      </x:c>
    </x:row>
    <x:row r="205">
      <x:c r="A205" s="36"/>
      <x:c r="B205" s="67" t="str">
        <x:f>IF($A205="","",IFERROR(INDEX('Planejamento de Viagens'!$B$6:$B$205,MATCH($A205,'Planejamento de Viagens'!$A$6:$A$205,0)),""))</x:f>
      </x:c>
      <x:c r="C205" s="67" t="str">
        <x:f>IF($A205="","",IFERROR(INDEX('Planejamento de Viagens'!$C$6:$C$205,MATCH($A205,'Planejamento de Viagens'!$A$6:$A$205,0)),""))</x:f>
      </x:c>
      <x:c r="D205" s="67" t="str">
        <x:f>IF($A205="","",IFERROR(INDEX('Planejamento de Viagens'!$F$6:$F$205,MATCH($A205,'Planejamento de Viagens'!$A$6:$A$205,0)),""))</x:f>
      </x:c>
      <x:c r="E205" s="67" t="str">
        <x:f>IF($A205="","",IFERROR(INDEX('Planejamento de Viagens'!$G$6:$G$205,MATCH($A205,'Planejamento de Viagens'!$A$6:$A$205,0)),""))</x:f>
      </x:c>
      <x:c r="F205" s="61" t="str">
        <x:f>IF($A205="","",IFERROR(INDEX('Planejamento de Viagens'!$J$6:$J$205,MATCH($A205,'Planejamento de Viagens'!$A$6:$A$205,0)),0))</x:f>
      </x:c>
      <x:c r="G205" s="67" t="str">
        <x:f>IF($A205="","",IFERROR(INDEX('Planejamento de Viagens'!$K$6:$K$205,MATCH($A205,'Planejamento de Viagens'!$A$6:$A$205,0)),""))</x:f>
      </x:c>
      <x:c r="H205" s="67" t="str">
        <x:f>IF($A205="","",TEXT(INDEX('Planejamento de Viagens'!$H$6:$H$205,MATCH($A205,'Planejamento de Viagens'!$A$6:$A$205,0)),"mmm/yyyy"))</x:f>
      </x:c>
      <x:c r="I205" s="67" t="str">
        <x:f>IF($A205="","",2026)</x:f>
      </x:c>
      <x:c r="J205" s="63" t="str">
        <x:f>IF($A205="","",INDEX('Planejamento de Viagens'!$N$6:$N$205,MATCH($A205,'Planejamento de Viagens'!$A$6:$A$205,0)))</x:f>
      </x:c>
      <x:c r="K205" s="63" t="str">
        <x:f>IF($A205="","",IFERROR($J205/$F205,0))</x:f>
      </x:c>
      <x:c r="L205" s="63" t="str">
        <x:f>IF($A205="","",$J205/2)</x:f>
      </x:c>
      <x:c r="M205" s="63" t="str">
        <x:f>IF($A205="","",INDEX('Planejamento de Viagens'!$O$6:$O$205,MATCH($A205,'Planejamento de Viagens'!$A$6:$A$205,0)))</x:f>
      </x:c>
      <x:c r="N205" s="61" t="str">
        <x:f>IF($A205="","",COUNTIF($J$6:$J$205,"&gt;"&amp;$J205)+1)</x:f>
      </x:c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4c75e95cadf749cf"/>
  <x:tableParts count="1">
    <x:tablePart xmlns:r="http://schemas.openxmlformats.org/officeDocument/2006/relationships" r:id="Re11d35066d364c92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1.25" hidden="0" customWidth="1"/>
    <x:col min="3" max="3" width="28.75" hidden="0" customWidth="1"/>
    <x:col min="4" max="4" width="20" hidden="0" customWidth="1"/>
    <x:col min="5" max="5" width="17.5" hidden="0" customWidth="1"/>
    <x:col min="6" max="6" width="17.5" hidden="0" customWidth="1"/>
    <x:col min="7" max="7" width="17.5" hidden="0" customWidth="1"/>
    <x:col min="8" max="8" width="12.5" hidden="0" customWidth="1"/>
    <x:col min="9" max="9" width="16.25" hidden="0" customWidth="1"/>
    <x:col min="10" max="10" width="18.75" hidden="0" customWidth="1"/>
    <x:col min="11" max="11" width="18.75" hidden="0" customWidth="1"/>
    <x:col min="12" max="12" width="23.75" hidden="0" customWidth="1"/>
    <x:col min="13" max="13" width="11.25" hidden="0" customWidth="1"/>
    <x:col min="14" max="14" width="18.75" hidden="0" customWidth="1"/>
    <x:col min="15" max="15" width="18.75" hidden="0" customWidth="1"/>
    <x:col min="16" max="16" width="23.75" hidden="0" customWidth="1"/>
  </x:cols>
  <x:sheetData>
    <x:row r="1" ht="25.5" customHeight="1">
      <x:c r="A1" s="4" t="str">
        <x:v>Base de Categorias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1" customHeight="1">
      <x:c r="A2" s="9" t="str">
        <x:v>Listas técnicas que alimentam os menus suspensos e mantêm a planilha padronizada.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</x:row>
    <x:row r="4">
      <x:c r="A4" s="14" t="str">
        <x:v>Pessoas</x:v>
      </x:c>
      <x:c r="B4" s="14" t="str">
        <x:v>Categorias</x:v>
      </x:c>
      <x:c r="C4" s="14" t="str">
        <x:v>Subcategorias</x:v>
      </x:c>
      <x:c r="D4" s="14" t="str">
        <x:v>Formas de pagamento</x:v>
      </x:c>
      <x:c r="E4" s="14" t="str">
        <x:v>Status de viagem</x:v>
      </x:c>
      <x:c r="F4" s="14" t="str">
        <x:v>Status de tarefa</x:v>
      </x:c>
      <x:c r="G4" s="14" t="str">
        <x:v>Status de acerto</x:v>
      </x:c>
      <x:c r="H4" s="14" t="str">
        <x:v>Prioridades</x:v>
      </x:c>
      <x:c r="I4" s="14" t="str">
        <x:v>Tipos de custo</x:v>
      </x:c>
      <x:c r="J4" s="14" t="str">
        <x:v>Tipos de hospedagem</x:v>
      </x:c>
      <x:c r="K4" s="14" t="str">
        <x:v>Tipos de transporte</x:v>
      </x:c>
      <x:c r="L4" s="14" t="str">
        <x:v>Políticas de divisão</x:v>
      </x:c>
      <x:c r="M4" s="14" t="str">
        <x:v>Sim/Não</x:v>
      </x:c>
      <x:c r="N4" s="14" t="str">
        <x:v>Status do planejamento</x:v>
      </x:c>
      <x:c r="O4" s="14" t="str">
        <x:v>Cidades frequentes</x:v>
      </x:c>
      <x:c r="P4" s="14" t="str">
        <x:v>Categoria da subcategoria</x:v>
      </x:c>
    </x:row>
    <x:row r="5">
      <x:c r="A5" s="19" t="str">
        <x:v>Pedro Américo Paletot</x:v>
      </x:c>
      <x:c r="B5" s="19" t="str">
        <x:v>Transporte principal</x:v>
      </x:c>
      <x:c r="C5" s="19" t="str">
        <x:v>Passagem aérea</x:v>
      </x:c>
      <x:c r="D5" s="19" t="str">
        <x:v>Pix</x:v>
      </x:c>
      <x:c r="E5" s="19" t="str">
        <x:v>Planejada</x:v>
      </x:c>
      <x:c r="F5" s="19" t="str">
        <x:v>Pendente</x:v>
      </x:c>
      <x:c r="G5" s="19" t="str">
        <x:v>Pendente</x:v>
      </x:c>
      <x:c r="H5" s="19" t="str">
        <x:v>Alta</x:v>
      </x:c>
      <x:c r="I5" s="19" t="str">
        <x:v>Fixo</x:v>
      </x:c>
      <x:c r="J5" s="19" t="str">
        <x:v>Airbnb</x:v>
      </x:c>
      <x:c r="K5" s="19" t="str">
        <x:v>Avião</x:v>
      </x:c>
      <x:c r="L5" s="19" t="str">
        <x:v>50/50</x:v>
      </x:c>
      <x:c r="M5" s="19" t="str">
        <x:v>Sim</x:v>
      </x:c>
      <x:c r="N5" s="19" t="str">
        <x:v>Ideia</x:v>
      </x:c>
      <x:c r="O5" s="19" t="str">
        <x:v>João Pessoa</x:v>
      </x:c>
      <x:c r="P5" s="19" t="str">
        <x:v>Transporte principal</x:v>
      </x:c>
    </x:row>
    <x:row r="6">
      <x:c r="A6" s="19" t="str">
        <x:v>Camilly Queiroz</x:v>
      </x:c>
      <x:c r="B6" s="19" t="str">
        <x:v>Transporte local</x:v>
      </x:c>
      <x:c r="C6" s="19" t="str">
        <x:v>Passagem de ônibus</x:v>
      </x:c>
      <x:c r="D6" s="19" t="str">
        <x:v>Dinheiro</x:v>
      </x:c>
      <x:c r="E6" s="19" t="str">
        <x:v>Em andamento</x:v>
      </x:c>
      <x:c r="F6" s="19" t="str">
        <x:v>Em andamento</x:v>
      </x:c>
      <x:c r="G6" s="19" t="str">
        <x:v>Parcial</x:v>
      </x:c>
      <x:c r="H6" s="19" t="str">
        <x:v>Média</x:v>
      </x:c>
      <x:c r="I6" s="19" t="str">
        <x:v>Variável</x:v>
      </x:c>
      <x:c r="J6" s="19" t="str">
        <x:v>Hotel</x:v>
      </x:c>
      <x:c r="K6" s="19" t="str">
        <x:v>Ônibus</x:v>
      </x:c>
      <x:c r="L6" s="19" t="str">
        <x:v>Pedro 60% / Camilly 40%</x:v>
      </x:c>
      <x:c r="M6" s="19" t="str">
        <x:v>Não</x:v>
      </x:c>
      <x:c r="N6" s="19" t="str">
        <x:v>Orçado</x:v>
      </x:c>
      <x:c r="O6" s="19" t="str">
        <x:v>Cuiabá</x:v>
      </x:c>
      <x:c r="P6" s="19" t="str">
        <x:v>Transporte principal</x:v>
      </x:c>
    </x:row>
    <x:row r="7">
      <x:c r="A7" s="19" t="str">
        <x:v>Ambos</x:v>
      </x:c>
      <x:c r="B7" s="19" t="str">
        <x:v>Hospedagem</x:v>
      </x:c>
      <x:c r="C7" s="19" t="str">
        <x:v>Passagem de trem</x:v>
      </x:c>
      <x:c r="D7" s="19" t="str">
        <x:v>Cartão de crédito</x:v>
      </x:c>
      <x:c r="E7" s="19" t="str">
        <x:v>Concluída</x:v>
      </x:c>
      <x:c r="F7" s="19" t="str">
        <x:v>Concluído</x:v>
      </x:c>
      <x:c r="G7" s="19" t="str">
        <x:v>Concluído</x:v>
      </x:c>
      <x:c r="H7" s="19" t="str">
        <x:v>Baixa</x:v>
      </x:c>
      <x:c r="I7" s="19" t="str">
        <x:v>Emergencial</x:v>
      </x:c>
      <x:c r="J7" s="19" t="str">
        <x:v>Pousada</x:v>
      </x:c>
      <x:c r="K7" s="19" t="str">
        <x:v>Carro</x:v>
      </x:c>
      <x:c r="L7" s="19" t="str">
        <x:v>Pedro 40% / Camilly 60%</x:v>
      </x:c>
      <x:c r="M7" s="19"/>
      <x:c r="N7" s="19" t="str">
        <x:v>Reservado</x:v>
      </x:c>
      <x:c r="O7" s="19" t="str">
        <x:v>Campina Grande</x:v>
      </x:c>
      <x:c r="P7" s="19" t="str">
        <x:v>Transporte principal</x:v>
      </x:c>
    </x:row>
    <x:row r="8">
      <x:c r="A8" s="19"/>
      <x:c r="B8" s="19" t="str">
        <x:v>Alimentação</x:v>
      </x:c>
      <x:c r="C8" s="19" t="str">
        <x:v>Combustível</x:v>
      </x:c>
      <x:c r="D8" s="19" t="str">
        <x:v>Cartão de débito</x:v>
      </x:c>
      <x:c r="E8" s="19" t="str">
        <x:v>Cancelada</x:v>
      </x:c>
      <x:c r="F8" s="19" t="str">
        <x:v>Atrasado</x:v>
      </x:c>
      <x:c r="G8" s="19" t="str">
        <x:v>Cancelado</x:v>
      </x:c>
      <x:c r="H8" s="19"/>
      <x:c r="I8" s="19" t="str">
        <x:v>Opcional</x:v>
      </x:c>
      <x:c r="J8" s="19" t="str">
        <x:v>Hostel</x:v>
      </x:c>
      <x:c r="K8" s="19" t="str">
        <x:v>Trem</x:v>
      </x:c>
      <x:c r="L8" s="19" t="str">
        <x:v>Quem pagou assume</x:v>
      </x:c>
      <x:c r="M8" s="19"/>
      <x:c r="N8" s="19" t="str">
        <x:v>Comprado</x:v>
      </x:c>
      <x:c r="O8" s="19" t="str">
        <x:v>Recife</x:v>
      </x:c>
      <x:c r="P8" s="19" t="str">
        <x:v>Transporte principal</x:v>
      </x:c>
    </x:row>
    <x:row r="9">
      <x:c r="A9" s="19"/>
      <x:c r="B9" s="19" t="str">
        <x:v>Lazer e encontros</x:v>
      </x:c>
      <x:c r="C9" s="19" t="str">
        <x:v>Pedágio</x:v>
      </x:c>
      <x:c r="D9" s="19" t="str">
        <x:v>Transferência</x:v>
      </x:c>
      <x:c r="E9" s="19" t="str">
        <x:v>Adiada</x:v>
      </x:c>
      <x:c r="F9" s="19" t="str">
        <x:v>Cancelado</x:v>
      </x:c>
      <x:c r="G9" s="19"/>
      <x:c r="H9" s="19"/>
      <x:c r="I9" s="19"/>
      <x:c r="J9" s="19" t="str">
        <x:v>Casa de família</x:v>
      </x:c>
      <x:c r="K9" s="19" t="str">
        <x:v>Transporte local</x:v>
      </x:c>
      <x:c r="L9" s="19" t="str">
        <x:v>Personalizada</x:v>
      </x:c>
      <x:c r="M9" s="19"/>
      <x:c r="N9" s="19" t="str">
        <x:v>Cancelado</x:v>
      </x:c>
      <x:c r="O9" s="19" t="str">
        <x:v>São Paulo</x:v>
      </x:c>
      <x:c r="P9" s="19" t="str">
        <x:v>Transporte principal</x:v>
      </x:c>
    </x:row>
    <x:row r="10">
      <x:c r="A10" s="19"/>
      <x:c r="B10" s="19" t="str">
        <x:v>Casa e estadia</x:v>
      </x:c>
      <x:c r="C10" s="19" t="str">
        <x:v>Estacionamento</x:v>
      </x:c>
      <x:c r="D10" s="19" t="str">
        <x:v>Boleto</x:v>
      </x:c>
      <x:c r="E10" s="19"/>
      <x:c r="F10" s="19"/>
      <x:c r="G10" s="19"/>
      <x:c r="H10" s="19"/>
      <x:c r="I10" s="19"/>
      <x:c r="J10" s="19" t="str">
        <x:v>Sem hospedagem</x:v>
      </x:c>
      <x:c r="K10" s="19" t="str">
        <x:v>Misto</x:v>
      </x:c>
      <x:c r="L10" s="19"/>
      <x:c r="M10" s="19"/>
      <x:c r="N10" s="19"/>
      <x:c r="O10" s="19" t="str">
        <x:v>Brasília</x:v>
      </x:c>
      <x:c r="P10" s="19" t="str">
        <x:v>Transporte principal</x:v>
      </x:c>
    </x:row>
    <x:row r="11">
      <x:c r="A11" s="19"/>
      <x:c r="B11" s="19" t="str">
        <x:v>Comunicação e internet</x:v>
      </x:c>
      <x:c r="C11" s="19" t="str">
        <x:v>Bagagem despachada</x:v>
      </x:c>
      <x:c r="D11" s="19" t="str">
        <x:v>Carteira digital</x:v>
      </x:c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 t="str">
        <x:v>Natal</x:v>
      </x:c>
      <x:c r="P11" s="19" t="str">
        <x:v>Transporte principal</x:v>
      </x:c>
    </x:row>
    <x:row r="12">
      <x:c r="A12" s="19"/>
      <x:c r="B12" s="19" t="str">
        <x:v>Saúde e segurança</x:v>
      </x:c>
      <x:c r="C12" s="19" t="str">
        <x:v>Bagagem de mão extra</x:v>
      </x:c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 t="str">
        <x:v>Rio de Janeiro</x:v>
      </x:c>
      <x:c r="P12" s="19" t="str">
        <x:v>Transporte principal</x:v>
      </x:c>
    </x:row>
    <x:row r="13">
      <x:c r="A13" s="19"/>
      <x:c r="B13" s="19" t="str">
        <x:v>Documentos e taxas</x:v>
      </x:c>
      <x:c r="C13" s="19" t="str">
        <x:v>Marcação de assento</x:v>
      </x:c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 t="str">
        <x:v>Transporte principal</x:v>
      </x:c>
    </x:row>
    <x:row r="14">
      <x:c r="A14" s="19"/>
      <x:c r="B14" s="19" t="str">
        <x:v>Presentes e relacionamento</x:v>
      </x:c>
      <x:c r="C14" s="19" t="str">
        <x:v>Taxa de embarque</x:v>
      </x:c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 t="str">
        <x:v>Transporte principal</x:v>
      </x:c>
    </x:row>
    <x:row r="15">
      <x:c r="A15" s="19"/>
      <x:c r="B15" s="19" t="str">
        <x:v>Beleza e autocuidado</x:v>
      </x:c>
      <x:c r="C15" s="19" t="str">
        <x:v>Seguro viagem</x:v>
      </x:c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 t="str">
        <x:v>Transporte principal</x:v>
      </x:c>
    </x:row>
    <x:row r="16">
      <x:c r="A16" s="19"/>
      <x:c r="B16" s="19" t="str">
        <x:v>Trabalho e estudo</x:v>
      </x:c>
      <x:c r="C16" s="19" t="str">
        <x:v>Transporte até aeroporto</x:v>
      </x:c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 t="str">
        <x:v>Transporte principal</x:v>
      </x:c>
    </x:row>
    <x:row r="17">
      <x:c r="A17" s="19"/>
      <x:c r="B17" s="19" t="str">
        <x:v>Pets, família e casa</x:v>
      </x:c>
      <x:c r="C17" s="19" t="str">
        <x:v>Transporte até rodoviária</x:v>
      </x:c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 t="str">
        <x:v>Transporte principal</x:v>
      </x:c>
    </x:row>
    <x:row r="18">
      <x:c r="A18" s="19"/>
      <x:c r="B18" s="19" t="str">
        <x:v>Imprevistos</x:v>
      </x:c>
      <x:c r="C18" s="19" t="str">
        <x:v>Transporte saindo do aeroporto</x:v>
      </x:c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 t="str">
        <x:v>Transporte principal</x:v>
      </x:c>
    </x:row>
    <x:row r="19">
      <x:c r="A19" s="19"/>
      <x:c r="B19" s="19"/>
      <x:c r="C19" s="19" t="str">
        <x:v>Transporte saindo da rodoviária</x:v>
      </x:c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 t="str">
        <x:v>Transporte principal</x:v>
      </x:c>
    </x:row>
    <x:row r="20">
      <x:c r="A20" s="19"/>
      <x:c r="B20" s="19"/>
      <x:c r="C20" s="19" t="str">
        <x:v>Remarcação de passagem</x:v>
      </x:c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 t="str">
        <x:v>Transporte principal</x:v>
      </x:c>
    </x:row>
    <x:row r="21">
      <x:c r="A21" s="19"/>
      <x:c r="B21" s="19"/>
      <x:c r="C21" s="19" t="str">
        <x:v>Cancelamento de passagem</x:v>
      </x:c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 t="str">
        <x:v>Transporte principal</x:v>
      </x:c>
    </x:row>
    <x:row r="22">
      <x:c r="A22" s="19"/>
      <x:c r="B22" s="19"/>
      <x:c r="C22" s="19" t="str">
        <x:v>Uber</x:v>
      </x:c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 t="str">
        <x:v>Transporte local</x:v>
      </x:c>
    </x:row>
    <x:row r="23">
      <x:c r="A23" s="19"/>
      <x:c r="B23" s="19"/>
      <x:c r="C23" s="19" t="str">
        <x:v>99</x:v>
      </x:c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 t="str">
        <x:v>Transporte local</x:v>
      </x:c>
    </x:row>
    <x:row r="24">
      <x:c r="A24" s="19"/>
      <x:c r="B24" s="19"/>
      <x:c r="C24" s="19" t="str">
        <x:v>Táxi</x:v>
      </x:c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 t="str">
        <x:v>Transporte local</x:v>
      </x:c>
    </x:row>
    <x:row r="25">
      <x:c r="A25" s="19"/>
      <x:c r="B25" s="19"/>
      <x:c r="C25" s="19" t="str">
        <x:v>Metrô</x:v>
      </x:c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 t="str">
        <x:v>Transporte local</x:v>
      </x:c>
    </x:row>
    <x:row r="26">
      <x:c r="A26" s="19"/>
      <x:c r="B26" s="19"/>
      <x:c r="C26" s="19" t="str">
        <x:v>Ônibus local</x:v>
      </x:c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 t="str">
        <x:v>Transporte local</x:v>
      </x:c>
    </x:row>
    <x:row r="27">
      <x:c r="A27" s="19"/>
      <x:c r="B27" s="19"/>
      <x:c r="C27" s="19" t="str">
        <x:v>Aluguel de carro</x:v>
      </x:c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  <x:c r="P27" s="19" t="str">
        <x:v>Transporte local</x:v>
      </x:c>
    </x:row>
    <x:row r="28">
      <x:c r="A28" s="19"/>
      <x:c r="B28" s="19"/>
      <x:c r="C28" s="19" t="str">
        <x:v>Bicicleta</x:v>
      </x:c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 t="str">
        <x:v>Transporte local</x:v>
      </x:c>
    </x:row>
    <x:row r="29">
      <x:c r="A29" s="19"/>
      <x:c r="B29" s="19"/>
      <x:c r="C29" s="19" t="str">
        <x:v>Patinete</x:v>
      </x:c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 t="str">
        <x:v>Transporte local</x:v>
      </x:c>
    </x:row>
    <x:row r="30">
      <x:c r="A30" s="19"/>
      <x:c r="B30" s="19"/>
      <x:c r="C30" s="19" t="str">
        <x:v>Estacionamento local</x:v>
      </x:c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 t="str">
        <x:v>Transporte local</x:v>
      </x:c>
    </x:row>
    <x:row r="31">
      <x:c r="A31" s="19"/>
      <x:c r="B31" s="19"/>
      <x:c r="C31" s="19" t="str">
        <x:v>Transporte noturno</x:v>
      </x:c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 t="str">
        <x:v>Transporte local</x:v>
      </x:c>
    </x:row>
    <x:row r="32">
      <x:c r="A32" s="19"/>
      <x:c r="B32" s="19"/>
      <x:c r="C32" s="19" t="str">
        <x:v>Transporte emergencial</x:v>
      </x:c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 t="str">
        <x:v>Transporte local</x:v>
      </x:c>
    </x:row>
    <x:row r="33">
      <x:c r="A33" s="19"/>
      <x:c r="B33" s="19"/>
      <x:c r="C33" s="19" t="str">
        <x:v>Airbnb</x:v>
      </x:c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  <x:c r="P33" s="19" t="str">
        <x:v>Hospedagem</x:v>
      </x:c>
    </x:row>
    <x:row r="34">
      <x:c r="A34" s="19"/>
      <x:c r="B34" s="19"/>
      <x:c r="C34" s="19" t="str">
        <x:v>Hotel</x:v>
      </x:c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 t="str">
        <x:v>Hospedagem</x:v>
      </x:c>
    </x:row>
    <x:row r="35">
      <x:c r="A35" s="19"/>
      <x:c r="B35" s="19"/>
      <x:c r="C35" s="19" t="str">
        <x:v>Pousada</x:v>
      </x:c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  <x:c r="P35" s="19" t="str">
        <x:v>Hospedagem</x:v>
      </x:c>
    </x:row>
    <x:row r="36">
      <x:c r="A36" s="19"/>
      <x:c r="B36" s="19"/>
      <x:c r="C36" s="19" t="str">
        <x:v>Hostel</x:v>
      </x:c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 t="str">
        <x:v>Hospedagem</x:v>
      </x:c>
    </x:row>
    <x:row r="37">
      <x:c r="A37" s="19"/>
      <x:c r="B37" s="19"/>
      <x:c r="C37" s="19" t="str">
        <x:v>Taxa de limpeza</x:v>
      </x:c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  <x:c r="P37" s="19" t="str">
        <x:v>Hospedagem</x:v>
      </x:c>
    </x:row>
    <x:row r="38">
      <x:c r="A38" s="19"/>
      <x:c r="B38" s="19"/>
      <x:c r="C38" s="19" t="str">
        <x:v>Taxa de serviço</x:v>
      </x:c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 t="str">
        <x:v>Hospedagem</x:v>
      </x:c>
    </x:row>
    <x:row r="39">
      <x:c r="A39" s="19"/>
      <x:c r="B39" s="19"/>
      <x:c r="C39" s="19" t="str">
        <x:v>Caução</x:v>
      </x:c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  <x:c r="P39" s="19" t="str">
        <x:v>Hospedagem</x:v>
      </x:c>
    </x:row>
    <x:row r="40">
      <x:c r="A40" s="19"/>
      <x:c r="B40" s="19"/>
      <x:c r="C40" s="19" t="str">
        <x:v>Early check-in</x:v>
      </x:c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 t="str">
        <x:v>Hospedagem</x:v>
      </x:c>
    </x:row>
    <x:row r="41">
      <x:c r="A41" s="19"/>
      <x:c r="B41" s="19"/>
      <x:c r="C41" s="19" t="str">
        <x:v>Late check-out</x:v>
      </x:c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  <x:c r="P41" s="19" t="str">
        <x:v>Hospedagem</x:v>
      </x:c>
    </x:row>
    <x:row r="42">
      <x:c r="A42" s="19"/>
      <x:c r="B42" s="19"/>
      <x:c r="C42" s="19" t="str">
        <x:v>Diária extra</x:v>
      </x:c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 t="str">
        <x:v>Hospedagem</x:v>
      </x:c>
    </x:row>
    <x:row r="43">
      <x:c r="A43" s="19"/>
      <x:c r="B43" s="19"/>
      <x:c r="C43" s="19" t="str">
        <x:v>Hospedagem emergencial</x:v>
      </x:c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  <x:c r="P43" s="19" t="str">
        <x:v>Hospedagem</x:v>
      </x:c>
    </x:row>
    <x:row r="44">
      <x:c r="A44" s="19"/>
      <x:c r="B44" s="19"/>
      <x:c r="C44" s="19" t="str">
        <x:v>Café da manhã</x:v>
      </x:c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 t="str">
        <x:v>Alimentação</x:v>
      </x:c>
    </x:row>
    <x:row r="45">
      <x:c r="A45" s="19"/>
      <x:c r="B45" s="19"/>
      <x:c r="C45" s="19" t="str">
        <x:v>Almoço</x:v>
      </x:c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  <x:c r="P45" s="19" t="str">
        <x:v>Alimentação</x:v>
      </x:c>
    </x:row>
    <x:row r="46">
      <x:c r="A46" s="19"/>
      <x:c r="B46" s="19"/>
      <x:c r="C46" s="19" t="str">
        <x:v>Jantar</x:v>
      </x:c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 t="str">
        <x:v>Alimentação</x:v>
      </x:c>
    </x:row>
    <x:row r="47">
      <x:c r="A47" s="19"/>
      <x:c r="B47" s="19"/>
      <x:c r="C47" s="19" t="str">
        <x:v>Lanches</x:v>
      </x:c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  <x:c r="P47" s="19" t="str">
        <x:v>Alimentação</x:v>
      </x:c>
    </x:row>
    <x:row r="48">
      <x:c r="A48" s="19"/>
      <x:c r="B48" s="19"/>
      <x:c r="C48" s="19" t="str">
        <x:v>Delivery</x:v>
      </x:c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 t="str">
        <x:v>Alimentação</x:v>
      </x:c>
    </x:row>
    <x:row r="49">
      <x:c r="A49" s="19"/>
      <x:c r="B49" s="19"/>
      <x:c r="C49" s="19" t="str">
        <x:v>Mercado</x:v>
      </x:c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  <x:c r="P49" s="19" t="str">
        <x:v>Alimentação</x:v>
      </x:c>
    </x:row>
    <x:row r="50">
      <x:c r="A50" s="19"/>
      <x:c r="B50" s="19"/>
      <x:c r="C50" s="19" t="str">
        <x:v>Bebidas</x:v>
      </x:c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 t="str">
        <x:v>Alimentação</x:v>
      </x:c>
    </x:row>
    <x:row r="51">
      <x:c r="A51" s="19"/>
      <x:c r="B51" s="19"/>
      <x:c r="C51" s="19" t="str">
        <x:v>Cafeteria</x:v>
      </x:c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  <x:c r="P51" s="19" t="str">
        <x:v>Alimentação</x:v>
      </x:c>
    </x:row>
    <x:row r="52">
      <x:c r="A52" s="19"/>
      <x:c r="B52" s="19"/>
      <x:c r="C52" s="19" t="str">
        <x:v>Restaurante especial</x:v>
      </x:c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 t="str">
        <x:v>Alimentação</x:v>
      </x:c>
    </x:row>
    <x:row r="53">
      <x:c r="A53" s="19"/>
      <x:c r="B53" s="19"/>
      <x:c r="C53" s="19" t="str">
        <x:v>Comida no aeroporto</x:v>
      </x:c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  <x:c r="P53" s="19" t="str">
        <x:v>Alimentação</x:v>
      </x:c>
    </x:row>
    <x:row r="54">
      <x:c r="A54" s="19"/>
      <x:c r="B54" s="19"/>
      <x:c r="C54" s="19" t="str">
        <x:v>Comida na rodoviária</x:v>
      </x:c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 t="str">
        <x:v>Alimentação</x:v>
      </x:c>
    </x:row>
    <x:row r="55">
      <x:c r="A55" s="19"/>
      <x:c r="B55" s="19"/>
      <x:c r="C55" s="19" t="str">
        <x:v>Sobremesas</x:v>
      </x:c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  <x:c r="P55" s="19" t="str">
        <x:v>Alimentação</x:v>
      </x:c>
    </x:row>
    <x:row r="56">
      <x:c r="A56" s="19"/>
      <x:c r="B56" s="19"/>
      <x:c r="C56" s="19" t="str">
        <x:v>Comida para casa</x:v>
      </x:c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 t="str">
        <x:v>Alimentação</x:v>
      </x:c>
    </x:row>
    <x:row r="57">
      <x:c r="A57" s="19"/>
      <x:c r="B57" s="19"/>
      <x:c r="C57" s="19" t="str">
        <x:v>Cinema</x:v>
      </x:c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  <x:c r="P57" s="19" t="str">
        <x:v>Lazer e encontros</x:v>
      </x:c>
    </x:row>
    <x:row r="58">
      <x:c r="A58" s="19"/>
      <x:c r="B58" s="19"/>
      <x:c r="C58" s="19" t="str">
        <x:v>Shows</x:v>
      </x:c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 t="str">
        <x:v>Lazer e encontros</x:v>
      </x:c>
    </x:row>
    <x:row r="59">
      <x:c r="A59" s="19"/>
      <x:c r="B59" s="19"/>
      <x:c r="C59" s="19" t="str">
        <x:v>Passeios</x:v>
      </x:c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  <x:c r="P59" s="19" t="str">
        <x:v>Lazer e encontros</x:v>
      </x:c>
    </x:row>
    <x:row r="60">
      <x:c r="A60" s="19"/>
      <x:c r="B60" s="19"/>
      <x:c r="C60" s="19" t="str">
        <x:v>Restaurantes especiais</x:v>
      </x:c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 t="str">
        <x:v>Lazer e encontros</x:v>
      </x:c>
    </x:row>
    <x:row r="61">
      <x:c r="A61" s="19"/>
      <x:c r="B61" s="19"/>
      <x:c r="C61" s="19" t="str">
        <x:v>Experiências românticas</x:v>
      </x:c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 t="str">
        <x:v>Lazer e encontros</x:v>
      </x:c>
    </x:row>
    <x:row r="62">
      <x:c r="A62" s="19"/>
      <x:c r="B62" s="19"/>
      <x:c r="C62" s="19" t="str">
        <x:v>Fotos</x:v>
      </x:c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 t="str">
        <x:v>Lazer e encontros</x:v>
      </x:c>
    </x:row>
    <x:row r="63">
      <x:c r="A63" s="19"/>
      <x:c r="B63" s="19"/>
      <x:c r="C63" s="19" t="str">
        <x:v>Eventos</x:v>
      </x:c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  <x:c r="P63" s="19" t="str">
        <x:v>Lazer e encontros</x:v>
      </x:c>
    </x:row>
    <x:row r="64">
      <x:c r="A64" s="19"/>
      <x:c r="B64" s="19"/>
      <x:c r="C64" s="19" t="str">
        <x:v>Museus</x:v>
      </x:c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 t="str">
        <x:v>Lazer e encontros</x:v>
      </x:c>
    </x:row>
    <x:row r="65">
      <x:c r="A65" s="19"/>
      <x:c r="B65" s="19"/>
      <x:c r="C65" s="19" t="str">
        <x:v>Parques</x:v>
      </x:c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  <x:c r="P65" s="19" t="str">
        <x:v>Lazer e encontros</x:v>
      </x:c>
    </x:row>
    <x:row r="66">
      <x:c r="A66" s="19"/>
      <x:c r="B66" s="19"/>
      <x:c r="C66" s="19" t="str">
        <x:v>Praia</x:v>
      </x:c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 t="str">
        <x:v>Lazer e encontros</x:v>
      </x:c>
    </x:row>
    <x:row r="67">
      <x:c r="A67" s="19"/>
      <x:c r="B67" s="19"/>
      <x:c r="C67" s="19" t="str">
        <x:v>Baladas</x:v>
      </x:c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 t="str">
        <x:v>Lazer e encontros</x:v>
      </x:c>
    </x:row>
    <x:row r="68">
      <x:c r="A68" s="19"/>
      <x:c r="B68" s="19"/>
      <x:c r="C68" s="19" t="str">
        <x:v>Jogos</x:v>
      </x:c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 t="str">
        <x:v>Lazer e encontros</x:v>
      </x:c>
    </x:row>
    <x:row r="69">
      <x:c r="A69" s="19"/>
      <x:c r="B69" s="19"/>
      <x:c r="C69" s="19" t="str">
        <x:v>Atividades gratuitas</x:v>
      </x:c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  <x:c r="P69" s="19" t="str">
        <x:v>Lazer e encontros</x:v>
      </x:c>
    </x:row>
    <x:row r="70">
      <x:c r="A70" s="19"/>
      <x:c r="B70" s="19"/>
      <x:c r="C70" s="19" t="str">
        <x:v>Atividades pagas</x:v>
      </x:c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 t="str">
        <x:v>Lazer e encontros</x:v>
      </x:c>
    </x:row>
    <x:row r="71">
      <x:c r="A71" s="19"/>
      <x:c r="B71" s="19"/>
      <x:c r="C71" s="19" t="str">
        <x:v>Mercado para casa</x:v>
      </x:c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  <x:c r="P71" s="19" t="str">
        <x:v>Casa e estadia</x:v>
      </x:c>
    </x:row>
    <x:row r="72">
      <x:c r="A72" s="19"/>
      <x:c r="B72" s="19"/>
      <x:c r="C72" s="19" t="str">
        <x:v>Produtos de higiene</x:v>
      </x:c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 t="str">
        <x:v>Casa e estadia</x:v>
      </x:c>
    </x:row>
    <x:row r="73">
      <x:c r="A73" s="19"/>
      <x:c r="B73" s="19"/>
      <x:c r="C73" s="19" t="str">
        <x:v>Produtos de limpeza</x:v>
      </x:c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  <x:c r="P73" s="19" t="str">
        <x:v>Casa e estadia</x:v>
      </x:c>
    </x:row>
    <x:row r="74">
      <x:c r="A74" s="19"/>
      <x:c r="B74" s="19"/>
      <x:c r="C74" s="19" t="str">
        <x:v>Lavanderia</x:v>
      </x:c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 t="str">
        <x:v>Casa e estadia</x:v>
      </x:c>
    </x:row>
    <x:row r="75">
      <x:c r="A75" s="19"/>
      <x:c r="B75" s="19"/>
      <x:c r="C75" s="19" t="str">
        <x:v>Itens emergenciais</x:v>
      </x:c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  <x:c r="P75" s="19" t="str">
        <x:v>Casa e estadia</x:v>
      </x:c>
    </x:row>
    <x:row r="76">
      <x:c r="A76" s="19"/>
      <x:c r="B76" s="19"/>
      <x:c r="C76" s="19" t="str">
        <x:v>Água</x:v>
      </x:c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 t="str">
        <x:v>Casa e estadia</x:v>
      </x:c>
    </x:row>
    <x:row r="77">
      <x:c r="A77" s="19"/>
      <x:c r="B77" s="19"/>
      <x:c r="C77" s="19" t="str">
        <x:v>Gás proporcional</x:v>
      </x:c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  <x:c r="P77" s="19" t="str">
        <x:v>Casa e estadia</x:v>
      </x:c>
    </x:row>
    <x:row r="78">
      <x:c r="A78" s="19"/>
      <x:c r="B78" s="19"/>
      <x:c r="C78" s="19" t="str">
        <x:v>Luz proporcional</x:v>
      </x:c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 t="str">
        <x:v>Casa e estadia</x:v>
      </x:c>
    </x:row>
    <x:row r="79">
      <x:c r="A79" s="19"/>
      <x:c r="B79" s="19"/>
      <x:c r="C79" s="19" t="str">
        <x:v>Internet proporcional</x:v>
      </x:c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  <x:c r="P79" s="19" t="str">
        <x:v>Casa e estadia</x:v>
      </x:c>
    </x:row>
    <x:row r="80">
      <x:c r="A80" s="19"/>
      <x:c r="B80" s="19"/>
      <x:c r="C80" s="19" t="str">
        <x:v>Pequenos reparos</x:v>
      </x:c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 t="str">
        <x:v>Casa e estadia</x:v>
      </x:c>
    </x:row>
    <x:row r="81">
      <x:c r="A81" s="19"/>
      <x:c r="B81" s="19"/>
      <x:c r="C81" s="19" t="str">
        <x:v>Itens esquecidos</x:v>
      </x:c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  <x:c r="P81" s="19" t="str">
        <x:v>Casa e estadia</x:v>
      </x:c>
    </x:row>
    <x:row r="82">
      <x:c r="A82" s="19"/>
      <x:c r="B82" s="19"/>
      <x:c r="C82" s="19" t="str">
        <x:v>Chip temporário</x:v>
      </x:c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 t="str">
        <x:v>Comunicação e internet</x:v>
      </x:c>
    </x:row>
    <x:row r="83">
      <x:c r="A83" s="19"/>
      <x:c r="B83" s="19"/>
      <x:c r="C83" s="19" t="str">
        <x:v>Pacote de dados</x:v>
      </x:c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  <x:c r="P83" s="19" t="str">
        <x:v>Comunicação e internet</x:v>
      </x:c>
    </x:row>
    <x:row r="84">
      <x:c r="A84" s="19"/>
      <x:c r="B84" s="19"/>
      <x:c r="C84" s="19" t="str">
        <x:v>Wi-Fi</x:v>
      </x:c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 t="str">
        <x:v>Comunicação e internet</x:v>
      </x:c>
    </x:row>
    <x:row r="85">
      <x:c r="A85" s="19"/>
      <x:c r="B85" s="19"/>
      <x:c r="C85" s="19" t="str">
        <x:v>Recarga de celular</x:v>
      </x:c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 t="str">
        <x:v>Comunicação e internet</x:v>
      </x:c>
    </x:row>
    <x:row r="86">
      <x:c r="A86" s="19"/>
      <x:c r="B86" s="19"/>
      <x:c r="C86" s="19" t="str">
        <x:v>Ligações</x:v>
      </x:c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  <x:c r="P86" s="19" t="str">
        <x:v>Comunicação e internet</x:v>
      </x:c>
    </x:row>
    <x:row r="87">
      <x:c r="A87" s="19"/>
      <x:c r="B87" s="19"/>
      <x:c r="C87" s="19" t="str">
        <x:v>Apps pagos</x:v>
      </x:c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  <x:c r="P87" s="19" t="str">
        <x:v>Comunicação e internet</x:v>
      </x:c>
    </x:row>
    <x:row r="88">
      <x:c r="A88" s="19"/>
      <x:c r="B88" s="19"/>
      <x:c r="C88" s="19" t="str">
        <x:v>Farmácia</x:v>
      </x:c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  <x:c r="P88" s="19" t="str">
        <x:v>Saúde e segurança</x:v>
      </x:c>
    </x:row>
    <x:row r="89">
      <x:c r="A89" s="19"/>
      <x:c r="B89" s="19"/>
      <x:c r="C89" s="19" t="str">
        <x:v>Consulta emergencial</x:v>
      </x:c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  <x:c r="P89" s="19" t="str">
        <x:v>Saúde e segurança</x:v>
      </x:c>
    </x:row>
    <x:row r="90">
      <x:c r="A90" s="19"/>
      <x:c r="B90" s="19"/>
      <x:c r="C90" s="19" t="str">
        <x:v>Seguro</x:v>
      </x:c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  <x:c r="P90" s="19" t="str">
        <x:v>Saúde e segurança</x:v>
      </x:c>
    </x:row>
    <x:row r="91">
      <x:c r="A91" s="19"/>
      <x:c r="B91" s="19"/>
      <x:c r="C91" s="19" t="str">
        <x:v>Absorventes/produtos pessoais</x:v>
      </x:c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  <x:c r="P91" s="19" t="str">
        <x:v>Saúde e segurança</x:v>
      </x:c>
    </x:row>
    <x:row r="92">
      <x:c r="A92" s="19"/>
      <x:c r="B92" s="19"/>
      <x:c r="C92" s="19" t="str">
        <x:v>Medicamentos</x:v>
      </x:c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  <x:c r="P92" s="19" t="str">
        <x:v>Saúde e segurança</x:v>
      </x:c>
    </x:row>
    <x:row r="93">
      <x:c r="A93" s="19"/>
      <x:c r="B93" s="19"/>
      <x:c r="C93" s="19" t="str">
        <x:v>Máscaras</x:v>
      </x:c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  <x:c r="P93" s="19" t="str">
        <x:v>Saúde e segurança</x:v>
      </x:c>
    </x:row>
    <x:row r="94">
      <x:c r="A94" s="19"/>
      <x:c r="B94" s="19"/>
      <x:c r="C94" s="19" t="str">
        <x:v>Álcool em gel</x:v>
      </x:c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 t="str">
        <x:v>Saúde e segurança</x:v>
      </x:c>
    </x:row>
    <x:row r="95">
      <x:c r="A95" s="19"/>
      <x:c r="B95" s="19"/>
      <x:c r="C95" s="19" t="str">
        <x:v>Repelente</x:v>
      </x:c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 t="str">
        <x:v>Saúde e segurança</x:v>
      </x:c>
    </x:row>
    <x:row r="96">
      <x:c r="A96" s="19"/>
      <x:c r="B96" s="19"/>
      <x:c r="C96" s="19" t="str">
        <x:v>Protetor solar</x:v>
      </x:c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 t="str">
        <x:v>Saúde e segurança</x:v>
      </x:c>
    </x:row>
    <x:row r="97">
      <x:c r="A97" s="19"/>
      <x:c r="B97" s="19"/>
      <x:c r="C97" s="19" t="str">
        <x:v>Curativos</x:v>
      </x:c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 t="str">
        <x:v>Saúde e segurança</x:v>
      </x:c>
    </x:row>
    <x:row r="98">
      <x:c r="A98" s="19"/>
      <x:c r="B98" s="19"/>
      <x:c r="C98" s="19" t="str">
        <x:v>Documento</x:v>
      </x:c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  <x:c r="P98" s="19" t="str">
        <x:v>Documentos e taxas</x:v>
      </x:c>
    </x:row>
    <x:row r="99">
      <x:c r="A99" s="19"/>
      <x:c r="B99" s="19"/>
      <x:c r="C99" s="19" t="str">
        <x:v>Segunda via</x:v>
      </x:c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 t="str">
        <x:v>Documentos e taxas</x:v>
      </x:c>
    </x:row>
    <x:row r="100">
      <x:c r="A100" s="19"/>
      <x:c r="B100" s="19"/>
      <x:c r="C100" s="19" t="str">
        <x:v>Taxas bancárias</x:v>
      </x:c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  <x:c r="P100" s="19" t="str">
        <x:v>Documentos e taxas</x:v>
      </x:c>
    </x:row>
    <x:row r="101">
      <x:c r="A101" s="19"/>
      <x:c r="B101" s="19"/>
      <x:c r="C101" s="19" t="str">
        <x:v>IOF</x:v>
      </x:c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 t="str">
        <x:v>Documentos e taxas</x:v>
      </x:c>
    </x:row>
    <x:row r="102">
      <x:c r="A102" s="19"/>
      <x:c r="B102" s="19"/>
      <x:c r="C102" s="19" t="str">
        <x:v>Câmbio</x:v>
      </x:c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 t="str">
        <x:v>Documentos e taxas</x:v>
      </x:c>
    </x:row>
    <x:row r="103">
      <x:c r="A103" s="19"/>
      <x:c r="B103" s="19"/>
      <x:c r="C103" s="19" t="str">
        <x:v>Multas</x:v>
      </x:c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 t="str">
        <x:v>Documentos e taxas</x:v>
      </x:c>
    </x:row>
    <x:row r="104">
      <x:c r="A104" s="19"/>
      <x:c r="B104" s="19"/>
      <x:c r="C104" s="19" t="str">
        <x:v>Remarcações</x:v>
      </x:c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  <x:c r="P104" s="19" t="str">
        <x:v>Documentos e taxas</x:v>
      </x:c>
    </x:row>
    <x:row r="105">
      <x:c r="A105" s="19"/>
      <x:c r="B105" s="19"/>
      <x:c r="C105" s="19" t="str">
        <x:v>Cancelamentos</x:v>
      </x:c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  <x:c r="P105" s="19" t="str">
        <x:v>Documentos e taxas</x:v>
      </x:c>
    </x:row>
    <x:row r="106">
      <x:c r="A106" s="19"/>
      <x:c r="B106" s="19"/>
      <x:c r="C106" s="19" t="str">
        <x:v>Impressões</x:v>
      </x:c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  <x:c r="P106" s="19" t="str">
        <x:v>Documentos e taxas</x:v>
      </x:c>
    </x:row>
    <x:row r="107">
      <x:c r="A107" s="19"/>
      <x:c r="B107" s="19"/>
      <x:c r="C107" s="19" t="str">
        <x:v>Cópias</x:v>
      </x:c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  <x:c r="P107" s="19" t="str">
        <x:v>Documentos e taxas</x:v>
      </x:c>
    </x:row>
    <x:row r="108">
      <x:c r="A108" s="19"/>
      <x:c r="B108" s="19"/>
      <x:c r="C108" s="19" t="str">
        <x:v>Guarda-volumes</x:v>
      </x:c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  <x:c r="P108" s="19" t="str">
        <x:v>Documentos e taxas</x:v>
      </x:c>
    </x:row>
    <x:row r="109">
      <x:c r="A109" s="19"/>
      <x:c r="B109" s="19"/>
      <x:c r="C109" s="19" t="str">
        <x:v>Flores</x:v>
      </x:c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  <x:c r="P109" s="19" t="str">
        <x:v>Presentes e relacionamento</x:v>
      </x:c>
    </x:row>
    <x:row r="110">
      <x:c r="A110" s="19"/>
      <x:c r="B110" s="19"/>
      <x:c r="C110" s="19" t="str">
        <x:v>Chocolates</x:v>
      </x:c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  <x:c r="P110" s="19" t="str">
        <x:v>Presentes e relacionamento</x:v>
      </x:c>
    </x:row>
    <x:row r="111">
      <x:c r="A111" s="19"/>
      <x:c r="B111" s="19"/>
      <x:c r="C111" s="19" t="str">
        <x:v>Cartas</x:v>
      </x:c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  <x:c r="P111" s="19" t="str">
        <x:v>Presentes e relacionamento</x:v>
      </x:c>
    </x:row>
    <x:row r="112">
      <x:c r="A112" s="19"/>
      <x:c r="B112" s="19"/>
      <x:c r="C112" s="19" t="str">
        <x:v>Presentes surpresa</x:v>
      </x:c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  <x:c r="P112" s="19" t="str">
        <x:v>Presentes e relacionamento</x:v>
      </x:c>
    </x:row>
    <x:row r="113">
      <x:c r="A113" s="19"/>
      <x:c r="B113" s="19"/>
      <x:c r="C113" s="19" t="str">
        <x:v>Aniversário de namoro</x:v>
      </x:c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  <x:c r="P113" s="19" t="str">
        <x:v>Presentes e relacionamento</x:v>
      </x:c>
    </x:row>
    <x:row r="114">
      <x:c r="A114" s="19"/>
      <x:c r="B114" s="19"/>
      <x:c r="C114" s="19" t="str">
        <x:v>Aniversário pessoal</x:v>
      </x:c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  <x:c r="P114" s="19" t="str">
        <x:v>Presentes e relacionamento</x:v>
      </x:c>
    </x:row>
    <x:row r="115">
      <x:c r="A115" s="19"/>
      <x:c r="B115" s="19"/>
      <x:c r="C115" s="19" t="str">
        <x:v>Datas especiais</x:v>
      </x:c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  <x:c r="P115" s="19" t="str">
        <x:v>Presentes e relacionamento</x:v>
      </x:c>
    </x:row>
    <x:row r="116">
      <x:c r="A116" s="19"/>
      <x:c r="B116" s="19"/>
      <x:c r="C116" s="19" t="str">
        <x:v>Mimos</x:v>
      </x:c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  <x:c r="P116" s="19" t="str">
        <x:v>Presentes e relacionamento</x:v>
      </x:c>
    </x:row>
    <x:row r="117">
      <x:c r="A117" s="19"/>
      <x:c r="B117" s="19"/>
      <x:c r="C117" s="19" t="str">
        <x:v>Decoração</x:v>
      </x:c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  <x:c r="P117" s="19" t="str">
        <x:v>Presentes e relacionamento</x:v>
      </x:c>
    </x:row>
    <x:row r="118">
      <x:c r="A118" s="19"/>
      <x:c r="B118" s="19"/>
      <x:c r="C118" s="19" t="str">
        <x:v>Álbum de fotos</x:v>
      </x:c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  <x:c r="P118" s="19" t="str">
        <x:v>Presentes e relacionamento</x:v>
      </x:c>
    </x:row>
    <x:row r="119">
      <x:c r="A119" s="19"/>
      <x:c r="B119" s="19"/>
      <x:c r="C119" s="19" t="str">
        <x:v>Lembranças</x:v>
      </x:c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  <x:c r="P119" s="19" t="str">
        <x:v>Presentes e relacionamento</x:v>
      </x:c>
    </x:row>
    <x:row r="120">
      <x:c r="A120" s="19"/>
      <x:c r="B120" s="19"/>
      <x:c r="C120" s="19" t="str">
        <x:v>Cabelo</x:v>
      </x:c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  <x:c r="P120" s="19" t="str">
        <x:v>Beleza e autocuidado</x:v>
      </x:c>
    </x:row>
    <x:row r="121">
      <x:c r="A121" s="19"/>
      <x:c r="B121" s="19"/>
      <x:c r="C121" s="19" t="str">
        <x:v>Unhas</x:v>
      </x:c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  <x:c r="P121" s="19" t="str">
        <x:v>Beleza e autocuidado</x:v>
      </x:c>
    </x:row>
    <x:row r="122">
      <x:c r="A122" s="19"/>
      <x:c r="B122" s="19"/>
      <x:c r="C122" s="19" t="str">
        <x:v>Maquiagem</x:v>
      </x:c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  <x:c r="P122" s="19" t="str">
        <x:v>Beleza e autocuidado</x:v>
      </x:c>
    </x:row>
    <x:row r="123">
      <x:c r="A123" s="19"/>
      <x:c r="B123" s="19"/>
      <x:c r="C123" s="19" t="str">
        <x:v>Barba</x:v>
      </x:c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  <x:c r="P123" s="19" t="str">
        <x:v>Beleza e autocuidado</x:v>
      </x:c>
    </x:row>
    <x:row r="124">
      <x:c r="A124" s="19"/>
      <x:c r="B124" s="19"/>
      <x:c r="C124" s="19" t="str">
        <x:v>Roupa especial</x:v>
      </x:c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  <x:c r="P124" s="19" t="str">
        <x:v>Beleza e autocuidado</x:v>
      </x:c>
    </x:row>
    <x:row r="125">
      <x:c r="A125" s="19"/>
      <x:c r="B125" s="19"/>
      <x:c r="C125" s="19" t="str">
        <x:v>Perfume</x:v>
      </x:c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  <x:c r="P125" s="19" t="str">
        <x:v>Beleza e autocuidado</x:v>
      </x:c>
    </x:row>
    <x:row r="126">
      <x:c r="A126" s="19"/>
      <x:c r="B126" s="19"/>
      <x:c r="C126" s="19" t="str">
        <x:v>Acessórios</x:v>
      </x:c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  <x:c r="P126" s="19" t="str">
        <x:v>Beleza e autocuidado</x:v>
      </x:c>
    </x:row>
    <x:row r="127">
      <x:c r="A127" s="19"/>
      <x:c r="B127" s="19"/>
      <x:c r="C127" s="19" t="str">
        <x:v>Cuidados pessoais</x:v>
      </x:c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  <x:c r="P127" s="19" t="str">
        <x:v>Beleza e autocuidado</x:v>
      </x:c>
    </x:row>
    <x:row r="128">
      <x:c r="A128" s="19"/>
      <x:c r="B128" s="19"/>
      <x:c r="C128" s="19" t="str">
        <x:v>Coworking</x:v>
      </x:c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  <x:c r="P128" s="19" t="str">
        <x:v>Trabalho e estudo</x:v>
      </x:c>
    </x:row>
    <x:row r="129">
      <x:c r="A129" s="19"/>
      <x:c r="B129" s="19"/>
      <x:c r="C129" s="19" t="str">
        <x:v>Internet extra</x:v>
      </x:c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  <x:c r="P129" s="19" t="str">
        <x:v>Trabalho e estudo</x:v>
      </x:c>
    </x:row>
    <x:row r="130">
      <x:c r="A130" s="19"/>
      <x:c r="B130" s="19"/>
      <x:c r="C130" s="19" t="str">
        <x:v>Impressões</x:v>
      </x:c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  <x:c r="P130" s="19" t="str">
        <x:v>Trabalho e estudo</x:v>
      </x:c>
    </x:row>
    <x:row r="131">
      <x:c r="A131" s="19"/>
      <x:c r="B131" s="19"/>
      <x:c r="C131" s="19" t="str">
        <x:v>Materiais de estudo</x:v>
      </x:c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 t="str">
        <x:v>Trabalho e estudo</x:v>
      </x:c>
    </x:row>
    <x:row r="132">
      <x:c r="A132" s="19"/>
      <x:c r="B132" s="19"/>
      <x:c r="C132" s="19" t="str">
        <x:v>Transporte para compromissos</x:v>
      </x:c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  <x:c r="O132" s="19"/>
      <x:c r="P132" s="19" t="str">
        <x:v>Trabalho e estudo</x:v>
      </x:c>
    </x:row>
    <x:row r="133">
      <x:c r="A133" s="19"/>
      <x:c r="B133" s="19"/>
      <x:c r="C133" s="19" t="str">
        <x:v>Alimentação em horário de trabalho</x:v>
      </x:c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  <x:c r="O133" s="19"/>
      <x:c r="P133" s="19" t="str">
        <x:v>Trabalho e estudo</x:v>
      </x:c>
    </x:row>
    <x:row r="134">
      <x:c r="A134" s="19"/>
      <x:c r="B134" s="19"/>
      <x:c r="C134" s="19" t="str">
        <x:v>Adaptações de agenda</x:v>
      </x:c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  <x:c r="O134" s="19"/>
      <x:c r="P134" s="19" t="str">
        <x:v>Trabalho e estudo</x:v>
      </x:c>
    </x:row>
    <x:row r="135">
      <x:c r="A135" s="19"/>
      <x:c r="B135" s="19"/>
      <x:c r="C135" s="19" t="str">
        <x:v>Pet sitter</x:v>
      </x:c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  <x:c r="O135" s="19"/>
      <x:c r="P135" s="19" t="str">
        <x:v>Pets, família e casa</x:v>
      </x:c>
    </x:row>
    <x:row r="136">
      <x:c r="A136" s="19"/>
      <x:c r="B136" s="19"/>
      <x:c r="C136" s="19" t="str">
        <x:v>Hospedagem de pet</x:v>
      </x:c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  <x:c r="O136" s="19"/>
      <x:c r="P136" s="19" t="str">
        <x:v>Pets, família e casa</x:v>
      </x:c>
    </x:row>
    <x:row r="137">
      <x:c r="A137" s="19"/>
      <x:c r="B137" s="19"/>
      <x:c r="C137" s="19" t="str">
        <x:v>Ajuda para família</x:v>
      </x:c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  <x:c r="O137" s="19"/>
      <x:c r="P137" s="19" t="str">
        <x:v>Pets, família e casa</x:v>
      </x:c>
    </x:row>
    <x:row r="138">
      <x:c r="A138" s="19"/>
      <x:c r="B138" s="19"/>
      <x:c r="C138" s="19" t="str">
        <x:v>Cuidador</x:v>
      </x:c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  <x:c r="O138" s="19"/>
      <x:c r="P138" s="19" t="str">
        <x:v>Pets, família e casa</x:v>
      </x:c>
    </x:row>
    <x:row r="139">
      <x:c r="A139" s="19"/>
      <x:c r="B139" s="19"/>
      <x:c r="C139" s="19" t="str">
        <x:v>Organização da casa antes da viagem</x:v>
      </x:c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  <x:c r="O139" s="19"/>
      <x:c r="P139" s="19" t="str">
        <x:v>Pets, família e casa</x:v>
      </x:c>
    </x:row>
    <x:row r="140">
      <x:c r="A140" s="19"/>
      <x:c r="B140" s="19"/>
      <x:c r="C140" s="19" t="str">
        <x:v>Serviços domésticos</x:v>
      </x:c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  <x:c r="O140" s="19"/>
      <x:c r="P140" s="19" t="str">
        <x:v>Pets, família e casa</x:v>
      </x:c>
    </x:row>
    <x:row r="141">
      <x:c r="A141" s="19"/>
      <x:c r="B141" s="19"/>
      <x:c r="C141" s="19" t="str">
        <x:v>Emergência</x:v>
      </x:c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  <x:c r="O141" s="19"/>
      <x:c r="P141" s="19" t="str">
        <x:v>Imprevistos</x:v>
      </x:c>
    </x:row>
    <x:row r="142">
      <x:c r="A142" s="19"/>
      <x:c r="B142" s="19"/>
      <x:c r="C142" s="19" t="str">
        <x:v>Mudança de plano</x:v>
      </x:c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  <x:c r="O142" s="19"/>
      <x:c r="P142" s="19" t="str">
        <x:v>Imprevistos</x:v>
      </x:c>
    </x:row>
    <x:row r="143">
      <x:c r="A143" s="19"/>
      <x:c r="B143" s="19"/>
      <x:c r="C143" s="19" t="str">
        <x:v>Hospedagem extra</x:v>
      </x:c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  <x:c r="O143" s="19"/>
      <x:c r="P143" s="19" t="str">
        <x:v>Imprevistos</x:v>
      </x:c>
    </x:row>
    <x:row r="144">
      <x:c r="A144" s="19"/>
      <x:c r="B144" s="19"/>
      <x:c r="C144" s="19" t="str">
        <x:v>Transporte extra</x:v>
      </x:c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  <x:c r="O144" s="19"/>
      <x:c r="P144" s="19" t="str">
        <x:v>Imprevistos</x:v>
      </x:c>
    </x:row>
    <x:row r="145">
      <x:c r="A145" s="19"/>
      <x:c r="B145" s="19"/>
      <x:c r="C145" s="19" t="str">
        <x:v>Alimentação extra</x:v>
      </x:c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  <x:c r="O145" s="19"/>
      <x:c r="P145" s="19" t="str">
        <x:v>Imprevistos</x:v>
      </x:c>
    </x:row>
    <x:row r="146">
      <x:c r="A146" s="19"/>
      <x:c r="B146" s="19"/>
      <x:c r="C146" s="19" t="str">
        <x:v>Perda de item</x:v>
      </x:c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  <x:c r="O146" s="19"/>
      <x:c r="P146" s="19" t="str">
        <x:v>Imprevistos</x:v>
      </x:c>
    </x:row>
    <x:row r="147">
      <x:c r="A147" s="19"/>
      <x:c r="B147" s="19"/>
      <x:c r="C147" s="19" t="str">
        <x:v>Roupa extra</x:v>
      </x:c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  <x:c r="O147" s="19"/>
      <x:c r="P147" s="19" t="str">
        <x:v>Imprevistos</x:v>
      </x:c>
    </x:row>
    <x:row r="148">
      <x:c r="A148" s="19"/>
      <x:c r="B148" s="19"/>
      <x:c r="C148" s="19" t="str">
        <x:v>Remédio extra</x:v>
      </x:c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  <x:c r="O148" s="19"/>
      <x:c r="P148" s="19" t="str">
        <x:v>Imprevistos</x:v>
      </x:c>
    </x:row>
    <x:row r="149">
      <x:c r="A149" s="19"/>
      <x:c r="B149" s="19"/>
      <x:c r="C149" s="19" t="str">
        <x:v>Taxas inesperadas</x:v>
      </x:c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  <x:c r="O149" s="19"/>
      <x:c r="P149" s="19" t="str">
        <x:v>Imprevistos</x:v>
      </x:c>
    </x:row>
    <x:row r="150">
      <x:c r="A150" s="19"/>
      <x:c r="B150" s="19"/>
      <x:c r="C150" s="19" t="str">
        <x:v>Outros</x:v>
      </x:c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  <x:c r="O150" s="19"/>
      <x:c r="P150" s="19" t="str">
        <x:v>Imprevistos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19a62d9d13664ef0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5.5" customHeight="1">
      <x:c r="A1" s="4" t="str">
        <x:v>Documentação</x:v>
      </x:c>
      <x:c r="B1" s="4"/>
      <x:c r="C1" s="4"/>
      <x:c r="D1" s="4"/>
      <x:c r="E1" s="4"/>
      <x:c r="F1" s="4"/>
      <x:c r="G1" s="4"/>
      <x:c r="H1" s="4"/>
    </x:row>
    <x:row r="2" ht="21" customHeight="1">
      <x:c r="A2" s="9" t="str">
        <x:v>Manual completo para manter a planilha correta, útil e simples de atualizar.</x:v>
      </x:c>
      <x:c r="B2" s="9"/>
      <x:c r="C2" s="9"/>
      <x:c r="D2" s="9"/>
      <x:c r="E2" s="9"/>
      <x:c r="F2" s="9"/>
      <x:c r="G2" s="9"/>
      <x:c r="H2" s="9"/>
    </x:row>
    <x:row r="4">
      <x:c r="A4" s="14" t="str">
        <x:v>Seção</x:v>
      </x:c>
      <x:c r="B4" s="14" t="str">
        <x:v>Explicação</x:v>
      </x:c>
      <x:c r="C4" s="14" t="str"/>
      <x:c r="D4" s="14" t="str"/>
      <x:c r="E4" s="14" t="str"/>
      <x:c r="F4" s="14" t="str"/>
      <x:c r="G4" s="14" t="str"/>
      <x:c r="H4" s="14" t="str"/>
    </x:row>
    <x:row r="5" ht="25.5" customHeight="1">
      <x:c r="A5" s="197" t="str">
        <x:v>Objetivo da planilha</x:v>
      </x:c>
      <x:c r="B5" s="198" t="str">
        <x:v>Organizar viagens de relacionamento à distância em ambos os sentidos, comparando custos planejados, gastos reais, acertos, parcelamentos e metas de economia.</x:v>
      </x:c>
      <x:c r="C5" s="198"/>
      <x:c r="D5" s="198"/>
      <x:c r="E5" s="198"/>
      <x:c r="F5" s="198"/>
      <x:c r="G5" s="198"/>
      <x:c r="H5" s="198"/>
    </x:row>
    <x:row r="6" ht="25.5" customHeight="1">
      <x:c r="A6" s="197"/>
      <x:c r="B6" s="198"/>
      <x:c r="C6" s="198"/>
      <x:c r="D6" s="198"/>
      <x:c r="E6" s="198"/>
      <x:c r="F6" s="198"/>
      <x:c r="G6" s="198"/>
      <x:c r="H6" s="198"/>
    </x:row>
    <x:row r="7" ht="25.5" customHeight="1">
      <x:c r="A7" s="201" t="str">
        <x:v>Como cadastrar uma nova viagem</x:v>
      </x:c>
      <x:c r="B7" s="198" t="str">
        <x:v>Use Planejamento de Viagens. Preencha ID, datas, pessoa viajando, cidades, status e links importantes. Os totais financeiros serão calculados a partir das abas de custos planejados e histórico.</x:v>
      </x:c>
      <x:c r="C7" s="198"/>
      <x:c r="D7" s="198"/>
      <x:c r="E7" s="198"/>
      <x:c r="F7" s="198"/>
      <x:c r="G7" s="198"/>
      <x:c r="H7" s="198"/>
    </x:row>
    <x:row r="8" ht="25.5" customHeight="1">
      <x:c r="A8" s="201"/>
      <x:c r="B8" s="198"/>
      <x:c r="C8" s="198"/>
      <x:c r="D8" s="198"/>
      <x:c r="E8" s="198"/>
      <x:c r="F8" s="198"/>
      <x:c r="G8" s="198"/>
      <x:c r="H8" s="198"/>
    </x:row>
    <x:row r="9" ht="25.5" customHeight="1">
      <x:c r="A9" s="197" t="str">
        <x:v>Como planejar custos</x:v>
      </x:c>
      <x:c r="B9" s="198" t="str">
        <x:v>Use Custos Planejados - Pedro ou Custos Planejados - Camilly conforme quem está organizando aquele conjunto de gastos. Cada linha representa um gasto previsto.</x:v>
      </x:c>
      <x:c r="C9" s="198"/>
      <x:c r="D9" s="198"/>
      <x:c r="E9" s="198"/>
      <x:c r="F9" s="198"/>
      <x:c r="G9" s="198"/>
      <x:c r="H9" s="198"/>
    </x:row>
    <x:row r="10" ht="25.5" customHeight="1">
      <x:c r="A10" s="197"/>
      <x:c r="B10" s="198"/>
      <x:c r="C10" s="198"/>
      <x:c r="D10" s="198"/>
      <x:c r="E10" s="198"/>
      <x:c r="F10" s="198"/>
      <x:c r="G10" s="198"/>
      <x:c r="H10" s="198"/>
    </x:row>
    <x:row r="11" ht="25.5" customHeight="1">
      <x:c r="A11" s="201" t="str">
        <x:v>Como registrar gastos reais</x:v>
      </x:c>
      <x:c r="B11" s="198" t="str">
        <x:v>Use Histórico de Gastos. Preencha quem pagou, categoria, valor, forma de pagamento e percentuais de divisão. A planilha calcula responsabilidades e compensação.</x:v>
      </x:c>
      <x:c r="C11" s="198"/>
      <x:c r="D11" s="198"/>
      <x:c r="E11" s="198"/>
      <x:c r="F11" s="198"/>
      <x:c r="G11" s="198"/>
      <x:c r="H11" s="198"/>
    </x:row>
    <x:row r="12" ht="25.5" customHeight="1">
      <x:c r="A12" s="201"/>
      <x:c r="B12" s="198"/>
      <x:c r="C12" s="198"/>
      <x:c r="D12" s="198"/>
      <x:c r="E12" s="198"/>
      <x:c r="F12" s="198"/>
      <x:c r="G12" s="198"/>
      <x:c r="H12" s="198"/>
    </x:row>
    <x:row r="13" ht="25.5" customHeight="1">
      <x:c r="A13" s="197" t="str">
        <x:v>Como funciona a divisão</x:v>
      </x:c>
      <x:c r="B13" s="198" t="str">
        <x:v>Percentual Pedro e Percentual Camilly definem a responsabilidade de cada um. Se Pedro pagou mais que sua responsabilidade, Camilly aparece devendo a diferença; se pagou menos, Pedro deve compensar Camilly.</x:v>
      </x:c>
      <x:c r="C13" s="198"/>
      <x:c r="D13" s="198"/>
      <x:c r="E13" s="198"/>
      <x:c r="F13" s="198"/>
      <x:c r="G13" s="198"/>
      <x:c r="H13" s="198"/>
    </x:row>
    <x:row r="14" ht="25.5" customHeight="1">
      <x:c r="A14" s="197"/>
      <x:c r="B14" s="198"/>
      <x:c r="C14" s="198"/>
      <x:c r="D14" s="198"/>
      <x:c r="E14" s="198"/>
      <x:c r="F14" s="198"/>
      <x:c r="G14" s="198"/>
      <x:c r="H14" s="198"/>
    </x:row>
    <x:row r="15" ht="25.5" customHeight="1">
      <x:c r="A15" s="201" t="str">
        <x:v>Como ler o Dashboard</x:v>
      </x:c>
      <x:c r="B15" s="198" t="str">
        <x:v>Os cartões mostram totais, médias, compensação, próxima viagem, metas e status geral. Os gráficos usam os registros de exemplo e se atualizam quando as tabelas forem editadas.</x:v>
      </x:c>
      <x:c r="C15" s="198"/>
      <x:c r="D15" s="198"/>
      <x:c r="E15" s="198"/>
      <x:c r="F15" s="198"/>
      <x:c r="G15" s="198"/>
      <x:c r="H15" s="198"/>
    </x:row>
    <x:row r="16" ht="25.5" customHeight="1">
      <x:c r="A16" s="201"/>
      <x:c r="B16" s="198"/>
      <x:c r="C16" s="198"/>
      <x:c r="D16" s="198"/>
      <x:c r="E16" s="198"/>
      <x:c r="F16" s="198"/>
      <x:c r="G16" s="198"/>
      <x:c r="H16" s="198"/>
    </x:row>
    <x:row r="17" ht="25.5" customHeight="1">
      <x:c r="A17" s="197" t="str">
        <x:v>Como usar filtros</x:v>
      </x:c>
      <x:c r="B17" s="198" t="str">
        <x:v>Os seletores no topo do Dashboard ajudam a orientar a análise. Para filtros detalhados, use os filtros das tabelas nativas do Excel em cada aba.</x:v>
      </x:c>
      <x:c r="C17" s="198"/>
      <x:c r="D17" s="198"/>
      <x:c r="E17" s="198"/>
      <x:c r="F17" s="198"/>
      <x:c r="G17" s="198"/>
      <x:c r="H17" s="198"/>
    </x:row>
    <x:row r="18" ht="25.5" customHeight="1">
      <x:c r="A18" s="197"/>
      <x:c r="B18" s="198"/>
      <x:c r="C18" s="198"/>
      <x:c r="D18" s="198"/>
      <x:c r="E18" s="198"/>
      <x:c r="F18" s="198"/>
      <x:c r="G18" s="198"/>
      <x:c r="H18" s="198"/>
    </x:row>
    <x:row r="19" ht="25.5" customHeight="1">
      <x:c r="A19" s="201" t="str">
        <x:v>Como usar o simulador</x:v>
      </x:c>
      <x:c r="B19" s="198" t="str">
        <x:v>Preencha os campos em azul no Simulador de Viagem. Os resultados mostram custo total, custo por dia, divisão por pessoa, valor recomendado de economia mensal e alerta de risco.</x:v>
      </x:c>
      <x:c r="C19" s="198"/>
      <x:c r="D19" s="198"/>
      <x:c r="E19" s="198"/>
      <x:c r="F19" s="198"/>
      <x:c r="G19" s="198"/>
      <x:c r="H19" s="198"/>
    </x:row>
    <x:row r="20" ht="25.5" customHeight="1">
      <x:c r="A20" s="201"/>
      <x:c r="B20" s="198"/>
      <x:c r="C20" s="198"/>
      <x:c r="D20" s="198"/>
      <x:c r="E20" s="198"/>
      <x:c r="F20" s="198"/>
      <x:c r="G20" s="198"/>
      <x:c r="H20" s="198"/>
    </x:row>
    <x:row r="21" ht="25.5" customHeight="1">
      <x:c r="A21" s="197" t="str">
        <x:v>Como atualizar categorias</x:v>
      </x:c>
      <x:c r="B21" s="198" t="str">
        <x:v>Edite a Base de Categorias para incluir novas categorias, subcategorias, status, cidades e formas de pagamento. Os menus suspensos usam essa base.</x:v>
      </x:c>
      <x:c r="C21" s="198"/>
      <x:c r="D21" s="198"/>
      <x:c r="E21" s="198"/>
      <x:c r="F21" s="198"/>
      <x:c r="G21" s="198"/>
      <x:c r="H21" s="198"/>
    </x:row>
    <x:row r="22" ht="25.5" customHeight="1">
      <x:c r="A22" s="197"/>
      <x:c r="B22" s="198"/>
      <x:c r="C22" s="198"/>
      <x:c r="D22" s="198"/>
      <x:c r="E22" s="198"/>
      <x:c r="F22" s="198"/>
      <x:c r="G22" s="198"/>
      <x:c r="H22" s="198"/>
    </x:row>
    <x:row r="23" ht="25.5" customHeight="1">
      <x:c r="A23" s="201" t="str">
        <x:v>Boas práticas</x:v>
      </x:c>
      <x:c r="B23" s="198" t="str">
        <x:v>Cadastre gastos logo após ocorrerem, salve comprovantes, mantenha percentuais revisados antes do acerto e confira alertas de parcelas e checklist antes da viagem.</x:v>
      </x:c>
      <x:c r="C23" s="198"/>
      <x:c r="D23" s="198"/>
      <x:c r="E23" s="198"/>
      <x:c r="F23" s="198"/>
      <x:c r="G23" s="198"/>
      <x:c r="H23" s="198"/>
    </x:row>
    <x:row r="24" ht="25.5" customHeight="1">
      <x:c r="A24" s="201"/>
      <x:c r="B24" s="198"/>
      <x:c r="C24" s="198"/>
      <x:c r="D24" s="198"/>
      <x:c r="E24" s="198"/>
      <x:c r="F24" s="198"/>
      <x:c r="G24" s="198"/>
      <x:c r="H24" s="198"/>
    </x:row>
    <x:row r="25" ht="25.5" customHeight="1">
      <x:c r="A25" s="197" t="str">
        <x:v>Campos manuais</x:v>
      </x:c>
      <x:c r="B25" s="198" t="str">
        <x:v>Células em azul indicam entradas manuais. São exemplos: datas, valores de gastos, links, status, responsáveis, percentuais de divisão e observações.</x:v>
      </x:c>
      <x:c r="C25" s="198"/>
      <x:c r="D25" s="198"/>
      <x:c r="E25" s="198"/>
      <x:c r="F25" s="198"/>
      <x:c r="G25" s="198"/>
      <x:c r="H25" s="198"/>
    </x:row>
    <x:row r="26" ht="25.5" customHeight="1">
      <x:c r="A26" s="197"/>
      <x:c r="B26" s="198"/>
      <x:c r="C26" s="198"/>
      <x:c r="D26" s="198"/>
      <x:c r="E26" s="198"/>
      <x:c r="F26" s="198"/>
      <x:c r="G26" s="198"/>
      <x:c r="H26" s="198"/>
    </x:row>
    <x:row r="27" ht="25.5" customHeight="1">
      <x:c r="A27" s="201" t="str">
        <x:v>Campos automáticos</x:v>
      </x:c>
      <x:c r="B27" s="198" t="str">
        <x:v>Células em cinza são calculadas. Evite editar fórmulas de totais, diferenças, responsabilidades, acertos, alertas, rankings e cartões do Dashboard.</x:v>
      </x:c>
      <x:c r="C27" s="198"/>
      <x:c r="D27" s="198"/>
      <x:c r="E27" s="198"/>
      <x:c r="F27" s="198"/>
      <x:c r="G27" s="198"/>
      <x:c r="H27" s="198"/>
    </x:row>
    <x:row r="28" ht="25.5" customHeight="1">
      <x:c r="A28" s="201"/>
      <x:c r="B28" s="198"/>
      <x:c r="C28" s="198"/>
      <x:c r="D28" s="198"/>
      <x:c r="E28" s="198"/>
      <x:c r="F28" s="198"/>
      <x:c r="G28" s="198"/>
      <x:c r="H28" s="198"/>
    </x:row>
  </x:sheetData>
  <x:mergeCells>
    <x:mergeCell ref="A1:H1"/>
    <x:mergeCell ref="A2:H2"/>
    <x:mergeCell ref="B4:H4"/>
    <x:mergeCell ref="A5:A6"/>
    <x:mergeCell ref="B5:H6"/>
    <x:mergeCell ref="A7:A8"/>
    <x:mergeCell ref="B7:H8"/>
    <x:mergeCell ref="A9:A10"/>
    <x:mergeCell ref="B9:H10"/>
    <x:mergeCell ref="A11:A12"/>
    <x:mergeCell ref="B11:H12"/>
    <x:mergeCell ref="A13:A14"/>
    <x:mergeCell ref="B13:H14"/>
    <x:mergeCell ref="A15:A16"/>
    <x:mergeCell ref="B15:H16"/>
    <x:mergeCell ref="A17:A18"/>
    <x:mergeCell ref="B17:H18"/>
    <x:mergeCell ref="A19:A20"/>
    <x:mergeCell ref="B19:H20"/>
    <x:mergeCell ref="A21:A22"/>
    <x:mergeCell ref="B21:H22"/>
    <x:mergeCell ref="A23:A24"/>
    <x:mergeCell ref="B23:H24"/>
    <x:mergeCell ref="A25:A26"/>
    <x:mergeCell ref="B25:H26"/>
    <x:mergeCell ref="A27:A28"/>
    <x:mergeCell ref="B27:H28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5.5" customHeight="1">
      <x:c r="A1" s="4" t="str">
        <x:v>Guia Rápido</x:v>
      </x:c>
      <x:c r="B1" s="4"/>
      <x:c r="C1" s="4"/>
      <x:c r="D1" s="4"/>
      <x:c r="E1" s="4"/>
      <x:c r="F1" s="4"/>
      <x:c r="G1" s="4"/>
      <x:c r="H1" s="4"/>
    </x:row>
    <x:row r="2" ht="21" customHeight="1">
      <x:c r="A2" s="9" t="str">
        <x:v>Comece por aqui: um guia de uma página para Pedro e Camilly usarem a planilha sem complicação.</x:v>
      </x:c>
      <x:c r="B2" s="9"/>
      <x:c r="C2" s="9"/>
      <x:c r="D2" s="9"/>
      <x:c r="E2" s="9"/>
      <x:c r="F2" s="9"/>
      <x:c r="G2" s="9"/>
      <x:c r="H2" s="9"/>
    </x:row>
    <x:row r="4">
      <x:c r="A4" s="29" t="str">
        <x:v>Pergunta</x:v>
      </x:c>
      <x:c r="B4" s="29" t="str">
        <x:v>Resposta</x:v>
      </x:c>
      <x:c r="C4" s="29" t="str"/>
      <x:c r="D4" s="29" t="str"/>
      <x:c r="E4" s="29" t="str"/>
      <x:c r="F4" s="29" t="str"/>
      <x:c r="G4" s="29" t="str"/>
      <x:c r="H4" s="29" t="str"/>
    </x:row>
    <x:row r="5" ht="24" customHeight="1">
      <x:c r="A5" s="206" t="str">
        <x:v>Como começar?</x:v>
      </x:c>
      <x:c r="B5" s="198" t="str">
        <x:v>Revise Configurações, veja os exemplos e depois cadastre ou edite suas viagens em Planejamento de Viagens.</x:v>
      </x:c>
      <x:c r="C5" s="198"/>
      <x:c r="D5" s="198"/>
      <x:c r="E5" s="198"/>
      <x:c r="F5" s="198"/>
      <x:c r="G5" s="198"/>
      <x:c r="H5" s="198"/>
    </x:row>
    <x:row r="6" ht="24" customHeight="1">
      <x:c r="A6" s="206"/>
      <x:c r="B6" s="198"/>
      <x:c r="C6" s="198"/>
      <x:c r="D6" s="198"/>
      <x:c r="E6" s="198"/>
      <x:c r="F6" s="198"/>
      <x:c r="G6" s="198"/>
      <x:c r="H6" s="198"/>
    </x:row>
    <x:row r="8" ht="24" customHeight="1">
      <x:c r="A8" s="210" t="str">
        <x:v>Onde eu cadastro uma viagem?</x:v>
      </x:c>
      <x:c r="B8" s="198" t="str">
        <x:v>Na aba Planejamento de Viagens, uma linha por visita.</x:v>
      </x:c>
      <x:c r="C8" s="198"/>
      <x:c r="D8" s="198"/>
      <x:c r="E8" s="198"/>
      <x:c r="F8" s="198"/>
      <x:c r="G8" s="198"/>
      <x:c r="H8" s="198"/>
    </x:row>
    <x:row r="9" ht="24" customHeight="1">
      <x:c r="A9" s="210"/>
      <x:c r="B9" s="198"/>
      <x:c r="C9" s="198"/>
      <x:c r="D9" s="198"/>
      <x:c r="E9" s="198"/>
      <x:c r="F9" s="198"/>
      <x:c r="G9" s="198"/>
      <x:c r="H9" s="198"/>
    </x:row>
    <x:row r="11" ht="24" customHeight="1">
      <x:c r="A11" s="206" t="str">
        <x:v>Onde eu coloco os gastos planejados?</x:v>
      </x:c>
      <x:c r="B11" s="198" t="str">
        <x:v>Em Custos Planejados - Pedro e Custos Planejados - Camilly.</x:v>
      </x:c>
      <x:c r="C11" s="198"/>
      <x:c r="D11" s="198"/>
      <x:c r="E11" s="198"/>
      <x:c r="F11" s="198"/>
      <x:c r="G11" s="198"/>
      <x:c r="H11" s="198"/>
    </x:row>
    <x:row r="12" ht="24" customHeight="1">
      <x:c r="A12" s="206"/>
      <x:c r="B12" s="198"/>
      <x:c r="C12" s="198"/>
      <x:c r="D12" s="198"/>
      <x:c r="E12" s="198"/>
      <x:c r="F12" s="198"/>
      <x:c r="G12" s="198"/>
      <x:c r="H12" s="198"/>
    </x:row>
    <x:row r="14" ht="24" customHeight="1">
      <x:c r="A14" s="210" t="str">
        <x:v>Onde eu registro os gastos reais?</x:v>
      </x:c>
      <x:c r="B14" s="198" t="str">
        <x:v>Na aba Histórico de Gastos, preenchendo quem pagou e como o valor deve ser dividido.</x:v>
      </x:c>
      <x:c r="C14" s="198"/>
      <x:c r="D14" s="198"/>
      <x:c r="E14" s="198"/>
      <x:c r="F14" s="198"/>
      <x:c r="G14" s="198"/>
      <x:c r="H14" s="198"/>
    </x:row>
    <x:row r="15" ht="24" customHeight="1">
      <x:c r="A15" s="210"/>
      <x:c r="B15" s="198"/>
      <x:c r="C15" s="198"/>
      <x:c r="D15" s="198"/>
      <x:c r="E15" s="198"/>
      <x:c r="F15" s="198"/>
      <x:c r="G15" s="198"/>
      <x:c r="H15" s="198"/>
    </x:row>
    <x:row r="17" ht="24" customHeight="1">
      <x:c r="A17" s="206" t="str">
        <x:v>Como sei quem deve para quem?</x:v>
      </x:c>
      <x:c r="B17" s="198" t="str">
        <x:v>Veja a aba Divisão e Acertos. Ela mostra a frase de compensação e o valor sugerido.</x:v>
      </x:c>
      <x:c r="C17" s="198"/>
      <x:c r="D17" s="198"/>
      <x:c r="E17" s="198"/>
      <x:c r="F17" s="198"/>
      <x:c r="G17" s="198"/>
      <x:c r="H17" s="198"/>
    </x:row>
    <x:row r="18" ht="24" customHeight="1">
      <x:c r="A18" s="206"/>
      <x:c r="B18" s="198"/>
      <x:c r="C18" s="198"/>
      <x:c r="D18" s="198"/>
      <x:c r="E18" s="198"/>
      <x:c r="F18" s="198"/>
      <x:c r="G18" s="198"/>
      <x:c r="H18" s="198"/>
    </x:row>
    <x:row r="20" ht="24" customHeight="1">
      <x:c r="A20" s="210" t="str">
        <x:v>Como uso o simulador?</x:v>
      </x:c>
      <x:c r="B20" s="198" t="str">
        <x:v>Abra Simulador de Viagem, preencha os campos em azul e leia os resultados à direita.</x:v>
      </x:c>
      <x:c r="C20" s="198"/>
      <x:c r="D20" s="198"/>
      <x:c r="E20" s="198"/>
      <x:c r="F20" s="198"/>
      <x:c r="G20" s="198"/>
      <x:c r="H20" s="198"/>
    </x:row>
    <x:row r="21" ht="24" customHeight="1">
      <x:c r="A21" s="210"/>
      <x:c r="B21" s="198"/>
      <x:c r="C21" s="198"/>
      <x:c r="D21" s="198"/>
      <x:c r="E21" s="198"/>
      <x:c r="F21" s="198"/>
      <x:c r="G21" s="198"/>
      <x:c r="H21" s="198"/>
    </x:row>
    <x:row r="23" ht="24" customHeight="1">
      <x:c r="A23" s="206" t="str">
        <x:v>Como vejo o histórico?</x:v>
      </x:c>
      <x:c r="B23" s="198" t="str">
        <x:v>Use Histórico de Gastos para detalhes e Comparativo de Viagens para análise entre visitas.</x:v>
      </x:c>
      <x:c r="C23" s="198"/>
      <x:c r="D23" s="198"/>
      <x:c r="E23" s="198"/>
      <x:c r="F23" s="198"/>
      <x:c r="G23" s="198"/>
      <x:c r="H23" s="198"/>
    </x:row>
    <x:row r="24" ht="24" customHeight="1">
      <x:c r="A24" s="206"/>
      <x:c r="B24" s="198"/>
      <x:c r="C24" s="198"/>
      <x:c r="D24" s="198"/>
      <x:c r="E24" s="198"/>
      <x:c r="F24" s="198"/>
      <x:c r="G24" s="198"/>
      <x:c r="H24" s="198"/>
    </x:row>
    <x:row r="26" ht="24" customHeight="1">
      <x:c r="A26" s="210" t="str">
        <x:v>O que eu devo preencher manualmente?</x:v>
      </x:c>
      <x:c r="B26" s="198" t="str">
        <x:v>Campos em azul: viagens, custos, gastos, prazos, status, links, percentuais e observações.</x:v>
      </x:c>
      <x:c r="C26" s="198"/>
      <x:c r="D26" s="198"/>
      <x:c r="E26" s="198"/>
      <x:c r="F26" s="198"/>
      <x:c r="G26" s="198"/>
      <x:c r="H26" s="198"/>
    </x:row>
    <x:row r="27" ht="24" customHeight="1">
      <x:c r="A27" s="210"/>
      <x:c r="B27" s="198"/>
      <x:c r="C27" s="198"/>
      <x:c r="D27" s="198"/>
      <x:c r="E27" s="198"/>
      <x:c r="F27" s="198"/>
      <x:c r="G27" s="198"/>
      <x:c r="H27" s="198"/>
    </x:row>
    <x:row r="29" ht="24" customHeight="1">
      <x:c r="A29" s="206" t="str">
        <x:v>O que a planilha calcula sozinha?</x:v>
      </x:c>
      <x:c r="B29" s="198" t="str">
        <x:v>Campos em cinza: totais, diferenças, percentuais, acertos, alertas, rankings, metas e indicadores do Dashboard.</x:v>
      </x:c>
      <x:c r="C29" s="198"/>
      <x:c r="D29" s="198"/>
      <x:c r="E29" s="198"/>
      <x:c r="F29" s="198"/>
      <x:c r="G29" s="198"/>
      <x:c r="H29" s="198"/>
    </x:row>
    <x:row r="30" ht="24" customHeight="1">
      <x:c r="A30" s="206"/>
      <x:c r="B30" s="198"/>
      <x:c r="C30" s="198"/>
      <x:c r="D30" s="198"/>
      <x:c r="E30" s="198"/>
      <x:c r="F30" s="198"/>
      <x:c r="G30" s="198"/>
      <x:c r="H30" s="198"/>
    </x:row>
  </x:sheetData>
  <x:mergeCells>
    <x:mergeCell ref="A1:H1"/>
    <x:mergeCell ref="A2:H2"/>
    <x:mergeCell ref="B4:H4"/>
    <x:mergeCell ref="A5:A6"/>
    <x:mergeCell ref="B5:H6"/>
    <x:mergeCell ref="A8:A9"/>
    <x:mergeCell ref="B8:H9"/>
    <x:mergeCell ref="A11:A12"/>
    <x:mergeCell ref="B11:H12"/>
    <x:mergeCell ref="A14:A15"/>
    <x:mergeCell ref="B14:H15"/>
    <x:mergeCell ref="A17:A18"/>
    <x:mergeCell ref="B17:H18"/>
    <x:mergeCell ref="A20:A21"/>
    <x:mergeCell ref="B20:H21"/>
    <x:mergeCell ref="A23:A24"/>
    <x:mergeCell ref="B23:H24"/>
    <x:mergeCell ref="A26:A27"/>
    <x:mergeCell ref="B26:H27"/>
    <x:mergeCell ref="A29:A30"/>
    <x:mergeCell ref="B29:H30"/>
  </x:mergeCells>
  <x:pageMargins left="0.7" right="0.7" top="0.75" bottom="0.75" header="0.3" footer="0.3"/>
</x:worksheet>
</file>